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0CF70F-778C-4716-B874-419BDAE8285F}" xr6:coauthVersionLast="47" xr6:coauthVersionMax="47" xr10:uidLastSave="{00000000-0000-0000-0000-000000000000}"/>
  <bookViews>
    <workbookView xWindow="-110" yWindow="-110" windowWidth="19420" windowHeight="10420" tabRatio="735" xr2:uid="{BDF4F3D2-D225-4C47-AD2F-B0F4443588FB}"/>
  </bookViews>
  <sheets>
    <sheet name="Valuation" sheetId="36" r:id="rId1"/>
    <sheet name="1BS" sheetId="24" r:id="rId2"/>
    <sheet name="1IS" sheetId="23" r:id="rId3"/>
    <sheet name="1CF" sheetId="26" r:id="rId4"/>
    <sheet name="Equity" sheetId="25" r:id="rId5"/>
    <sheet name="Report" sheetId="27" r:id="rId6"/>
    <sheet name="Rev" sheetId="28" r:id="rId7"/>
    <sheet name="WC" sheetId="29" r:id="rId8"/>
    <sheet name="FA" sheetId="30" r:id="rId9"/>
    <sheet name="Debt" sheetId="31" r:id="rId10"/>
    <sheet name="FI&amp;FE" sheetId="32" r:id="rId11"/>
    <sheet name="BS" sheetId="11" r:id="rId12"/>
    <sheet name="IS" sheetId="8" r:id="rId13"/>
    <sheet name="CF" sheetId="7" r:id="rId14"/>
    <sheet name="Beta" sheetId="12" r:id="rId15"/>
  </sheets>
  <definedNames>
    <definedName name="o28\">WC!$P$33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36" l="1"/>
  <c r="L36" i="36"/>
  <c r="M36" i="36"/>
  <c r="N36" i="36"/>
  <c r="J36" i="36"/>
  <c r="Q44" i="27"/>
  <c r="R44" i="27"/>
  <c r="S44" i="27"/>
  <c r="T44" i="27"/>
  <c r="P44" i="27"/>
  <c r="O75" i="27"/>
  <c r="P75" i="27"/>
  <c r="N75" i="27"/>
  <c r="O74" i="27"/>
  <c r="P74" i="27"/>
  <c r="N74" i="27"/>
  <c r="N71" i="27"/>
  <c r="E79" i="27"/>
  <c r="F79" i="27"/>
  <c r="E80" i="27"/>
  <c r="F80" i="27"/>
  <c r="E81" i="27"/>
  <c r="F81" i="27"/>
  <c r="E83" i="27"/>
  <c r="F83" i="27"/>
  <c r="E84" i="27"/>
  <c r="F84" i="27"/>
  <c r="E85" i="27"/>
  <c r="F85" i="27"/>
  <c r="N42" i="27"/>
  <c r="O42" i="27"/>
  <c r="M42" i="27"/>
  <c r="D79" i="27"/>
  <c r="E77" i="27"/>
  <c r="F77" i="27"/>
  <c r="E76" i="27"/>
  <c r="F76" i="27"/>
  <c r="E75" i="27"/>
  <c r="F75" i="27"/>
  <c r="D75" i="27"/>
  <c r="E73" i="27"/>
  <c r="E74" i="27" s="1"/>
  <c r="F73" i="27"/>
  <c r="F74" i="27" s="1"/>
  <c r="D73" i="27"/>
  <c r="D74" i="27" s="1"/>
  <c r="D76" i="27"/>
  <c r="W49" i="27"/>
  <c r="N39" i="27"/>
  <c r="O39" i="27"/>
  <c r="P39" i="27"/>
  <c r="M39" i="27"/>
  <c r="W48" i="27"/>
  <c r="Z46" i="27"/>
  <c r="X46" i="27"/>
  <c r="Y46" i="27"/>
  <c r="W46" i="27"/>
  <c r="B14" i="36" l="1"/>
  <c r="M14" i="36"/>
  <c r="M13" i="36"/>
  <c r="G1" i="12"/>
  <c r="B13" i="36"/>
  <c r="M65" i="36"/>
  <c r="P54" i="30"/>
  <c r="Z41" i="24"/>
  <c r="D51" i="36"/>
  <c r="D50" i="36"/>
  <c r="D54" i="36"/>
  <c r="D120" i="36"/>
  <c r="H72" i="36"/>
  <c r="L65" i="36"/>
  <c r="H74" i="36"/>
  <c r="H73" i="36"/>
  <c r="P25" i="25" l="1"/>
  <c r="M46" i="26" l="1"/>
  <c r="Q54" i="29"/>
  <c r="R54" i="29" s="1"/>
  <c r="P54" i="29"/>
  <c r="O54" i="29"/>
  <c r="M53" i="26"/>
  <c r="O84" i="28"/>
  <c r="O81" i="28"/>
  <c r="O87" i="28" s="1"/>
  <c r="P87" i="28" s="1"/>
  <c r="P34" i="25"/>
  <c r="P37" i="25"/>
  <c r="P5" i="25" s="1"/>
  <c r="R47" i="23"/>
  <c r="T47" i="23" s="1"/>
  <c r="S47" i="23"/>
  <c r="U47" i="23" s="1"/>
  <c r="Q47" i="23"/>
  <c r="L57" i="26"/>
  <c r="P118" i="28"/>
  <c r="L53" i="26"/>
  <c r="P47" i="23"/>
  <c r="P19" i="25"/>
  <c r="O76" i="29"/>
  <c r="O57" i="29"/>
  <c r="Q49" i="29"/>
  <c r="O49" i="29"/>
  <c r="O47" i="29"/>
  <c r="E44" i="27"/>
  <c r="C38" i="27"/>
  <c r="D39" i="27"/>
  <c r="E39" i="27"/>
  <c r="D27" i="27"/>
  <c r="E27" i="27"/>
  <c r="C27" i="27"/>
  <c r="J63" i="36"/>
  <c r="K63" i="36"/>
  <c r="I63" i="36"/>
  <c r="J62" i="36"/>
  <c r="K62" i="36"/>
  <c r="I62" i="36"/>
  <c r="J61" i="36"/>
  <c r="K61" i="36"/>
  <c r="J60" i="36"/>
  <c r="K60" i="36"/>
  <c r="I60" i="36"/>
  <c r="J59" i="36"/>
  <c r="K59" i="36"/>
  <c r="I59" i="36"/>
  <c r="T54" i="29" l="1"/>
  <c r="S54" i="29"/>
  <c r="B15" i="36"/>
  <c r="I61" i="36" s="1"/>
  <c r="N33" i="32"/>
  <c r="H32" i="32"/>
  <c r="D79" i="30"/>
  <c r="E79" i="30"/>
  <c r="F79" i="30"/>
  <c r="G79" i="30"/>
  <c r="H79" i="30"/>
  <c r="I79" i="30"/>
  <c r="C79" i="30"/>
  <c r="Q51" i="25"/>
  <c r="R51" i="25"/>
  <c r="S51" i="25"/>
  <c r="T51" i="25"/>
  <c r="U51" i="25"/>
  <c r="P51" i="25"/>
  <c r="N17" i="28"/>
  <c r="I9" i="28"/>
  <c r="H9" i="28"/>
  <c r="J9" i="28"/>
  <c r="K9" i="28"/>
  <c r="L9" i="28"/>
  <c r="M9" i="28"/>
  <c r="N9" i="28"/>
  <c r="O9" i="28"/>
  <c r="P96" i="24"/>
  <c r="Z10" i="24"/>
  <c r="Y10" i="24"/>
  <c r="U12" i="26"/>
  <c r="T12" i="26"/>
  <c r="U11" i="26"/>
  <c r="T11" i="26"/>
  <c r="T35" i="26" s="1"/>
  <c r="Z40" i="24"/>
  <c r="O15" i="32"/>
  <c r="P15" i="32" s="1"/>
  <c r="O20" i="32"/>
  <c r="O19" i="32"/>
  <c r="O26" i="23"/>
  <c r="P14" i="23"/>
  <c r="P13" i="23"/>
  <c r="P9" i="23"/>
  <c r="P55" i="29"/>
  <c r="P48" i="29"/>
  <c r="Q48" i="29" s="1"/>
  <c r="O48" i="29"/>
  <c r="O55" i="29"/>
  <c r="R46" i="23"/>
  <c r="S46" i="23" s="1"/>
  <c r="P117" i="25"/>
  <c r="P119" i="25"/>
  <c r="P131" i="25"/>
  <c r="M137" i="25"/>
  <c r="L134" i="25"/>
  <c r="O134" i="25"/>
  <c r="O135" i="25"/>
  <c r="O136" i="25"/>
  <c r="N136" i="25"/>
  <c r="Q118" i="28"/>
  <c r="W13" i="31"/>
  <c r="W14" i="31"/>
  <c r="J19" i="31"/>
  <c r="J20" i="31" s="1"/>
  <c r="K19" i="31"/>
  <c r="K20" i="31" s="1"/>
  <c r="L19" i="31"/>
  <c r="L21" i="31" s="1"/>
  <c r="M19" i="31"/>
  <c r="M21" i="31" s="1"/>
  <c r="N19" i="31"/>
  <c r="N20" i="31"/>
  <c r="J21" i="31"/>
  <c r="K21" i="31"/>
  <c r="N21" i="31"/>
  <c r="I21" i="31"/>
  <c r="I20" i="31"/>
  <c r="I19" i="31"/>
  <c r="L3" i="31"/>
  <c r="O75" i="29"/>
  <c r="O68" i="29"/>
  <c r="O67" i="29"/>
  <c r="N49" i="29"/>
  <c r="N48" i="29"/>
  <c r="O46" i="29"/>
  <c r="O45" i="29"/>
  <c r="P57" i="24"/>
  <c r="P58" i="24"/>
  <c r="P59" i="24"/>
  <c r="P60" i="24"/>
  <c r="P61" i="24"/>
  <c r="P56" i="24"/>
  <c r="R15" i="32" l="1"/>
  <c r="Q15" i="32"/>
  <c r="S15" i="32"/>
  <c r="T15" i="32" s="1"/>
  <c r="R48" i="29"/>
  <c r="T48" i="29"/>
  <c r="S48" i="29"/>
  <c r="Q55" i="29"/>
  <c r="T46" i="23"/>
  <c r="M20" i="31"/>
  <c r="L20" i="31"/>
  <c r="O44" i="29"/>
  <c r="R55" i="29" l="1"/>
  <c r="S55" i="29" l="1"/>
  <c r="T55" i="29" s="1"/>
  <c r="O112" i="25" l="1"/>
  <c r="Z68" i="24"/>
  <c r="Z3" i="24" l="1"/>
  <c r="M136" i="25"/>
  <c r="L136" i="25"/>
  <c r="M135" i="25"/>
  <c r="N135" i="25"/>
  <c r="L135" i="25"/>
  <c r="M134" i="25"/>
  <c r="N134" i="25"/>
  <c r="O131" i="25"/>
  <c r="N131" i="25"/>
  <c r="O69" i="29"/>
  <c r="P35" i="29"/>
  <c r="Q35" i="29"/>
  <c r="R35" i="29"/>
  <c r="S35" i="29"/>
  <c r="T35" i="29"/>
  <c r="O35" i="29"/>
  <c r="P55" i="24"/>
  <c r="AD8" i="26"/>
  <c r="J30" i="36"/>
  <c r="K30" i="36"/>
  <c r="I30" i="36"/>
  <c r="K28" i="36"/>
  <c r="J28" i="36"/>
  <c r="I28" i="36"/>
  <c r="G27" i="36"/>
  <c r="H27" i="36"/>
  <c r="I27" i="36"/>
  <c r="I25" i="36" s="1"/>
  <c r="J27" i="36"/>
  <c r="J25" i="36" s="1"/>
  <c r="K27" i="36"/>
  <c r="E27" i="36"/>
  <c r="F27" i="36"/>
  <c r="G25" i="36" s="1"/>
  <c r="D27" i="36"/>
  <c r="J34" i="36"/>
  <c r="K34" i="36"/>
  <c r="L34" i="36"/>
  <c r="M34" i="36"/>
  <c r="N34" i="36"/>
  <c r="I34" i="36"/>
  <c r="J10" i="36"/>
  <c r="M12" i="36" s="1"/>
  <c r="D95" i="36"/>
  <c r="D122" i="36"/>
  <c r="D97" i="36"/>
  <c r="D91" i="36"/>
  <c r="H76" i="36"/>
  <c r="D96" i="36"/>
  <c r="P65" i="36"/>
  <c r="D20" i="36"/>
  <c r="S16" i="36"/>
  <c r="S15" i="36"/>
  <c r="J29" i="36"/>
  <c r="S14" i="36"/>
  <c r="N28" i="27"/>
  <c r="O28" i="27"/>
  <c r="M28" i="27"/>
  <c r="N62" i="27"/>
  <c r="O62" i="27"/>
  <c r="M62" i="27"/>
  <c r="N57" i="27"/>
  <c r="M57" i="27"/>
  <c r="L61" i="27"/>
  <c r="N59" i="27"/>
  <c r="O59" i="27"/>
  <c r="M59" i="27"/>
  <c r="N58" i="27"/>
  <c r="O58" i="27"/>
  <c r="M58" i="27"/>
  <c r="O57" i="27"/>
  <c r="N43" i="27"/>
  <c r="O43" i="27"/>
  <c r="M43" i="27"/>
  <c r="M59" i="23"/>
  <c r="N59" i="23"/>
  <c r="O59" i="23"/>
  <c r="K59" i="23"/>
  <c r="L59" i="23"/>
  <c r="N41" i="27"/>
  <c r="O41" i="27"/>
  <c r="N40" i="27"/>
  <c r="O40" i="27"/>
  <c r="M41" i="27"/>
  <c r="M54" i="23"/>
  <c r="M40" i="27"/>
  <c r="N38" i="27"/>
  <c r="O38" i="27"/>
  <c r="N37" i="27"/>
  <c r="O37" i="27"/>
  <c r="M38" i="27"/>
  <c r="M6" i="27"/>
  <c r="P100" i="25"/>
  <c r="Q100" i="25"/>
  <c r="R100" i="25"/>
  <c r="S100" i="25"/>
  <c r="T100" i="25"/>
  <c r="U100" i="25"/>
  <c r="P93" i="25"/>
  <c r="Q93" i="25"/>
  <c r="R93" i="25"/>
  <c r="S93" i="25"/>
  <c r="T93" i="25"/>
  <c r="U93" i="25"/>
  <c r="P86" i="25"/>
  <c r="Q86" i="25"/>
  <c r="R86" i="25"/>
  <c r="S86" i="25"/>
  <c r="T86" i="25"/>
  <c r="U86" i="25"/>
  <c r="P79" i="25"/>
  <c r="Q79" i="25"/>
  <c r="R79" i="25"/>
  <c r="S79" i="25"/>
  <c r="T79" i="25"/>
  <c r="U79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P58" i="25"/>
  <c r="Q58" i="25"/>
  <c r="R58" i="25"/>
  <c r="S58" i="25"/>
  <c r="T58" i="25"/>
  <c r="U58" i="25"/>
  <c r="H58" i="25"/>
  <c r="I58" i="25"/>
  <c r="J58" i="25"/>
  <c r="K58" i="25"/>
  <c r="L58" i="25"/>
  <c r="M58" i="25"/>
  <c r="N58" i="25"/>
  <c r="O58" i="25"/>
  <c r="P20" i="32"/>
  <c r="O17" i="32"/>
  <c r="N57" i="31"/>
  <c r="N56" i="31"/>
  <c r="N13" i="31"/>
  <c r="N18" i="31" s="1"/>
  <c r="M13" i="31"/>
  <c r="M63" i="31"/>
  <c r="M62" i="31"/>
  <c r="N63" i="31"/>
  <c r="N62" i="31" s="1"/>
  <c r="L64" i="31"/>
  <c r="N64" i="31"/>
  <c r="P25" i="31"/>
  <c r="O25" i="31"/>
  <c r="P28" i="31"/>
  <c r="Q28" i="31" s="1"/>
  <c r="R28" i="31" s="1"/>
  <c r="S28" i="31" s="1"/>
  <c r="T28" i="31" s="1"/>
  <c r="O28" i="31"/>
  <c r="D89" i="31"/>
  <c r="E89" i="31"/>
  <c r="F89" i="31"/>
  <c r="G89" i="31"/>
  <c r="H89" i="31"/>
  <c r="I89" i="31"/>
  <c r="J89" i="31"/>
  <c r="K89" i="31"/>
  <c r="L89" i="31"/>
  <c r="M89" i="31"/>
  <c r="N89" i="31"/>
  <c r="C89" i="31"/>
  <c r="C91" i="31" s="1"/>
  <c r="P25" i="32"/>
  <c r="Q25" i="32"/>
  <c r="R25" i="32"/>
  <c r="S25" i="32"/>
  <c r="T25" i="32"/>
  <c r="P26" i="32"/>
  <c r="Q26" i="32"/>
  <c r="R26" i="32"/>
  <c r="S26" i="32"/>
  <c r="T26" i="32"/>
  <c r="O26" i="32"/>
  <c r="O25" i="32"/>
  <c r="D28" i="32"/>
  <c r="D24" i="32"/>
  <c r="E24" i="32"/>
  <c r="F24" i="32"/>
  <c r="G24" i="32"/>
  <c r="H24" i="32"/>
  <c r="I24" i="32"/>
  <c r="J24" i="32"/>
  <c r="K24" i="32"/>
  <c r="L24" i="32"/>
  <c r="M24" i="32"/>
  <c r="N24" i="32"/>
  <c r="D25" i="32"/>
  <c r="E25" i="32"/>
  <c r="F25" i="32"/>
  <c r="G25" i="32"/>
  <c r="H25" i="32"/>
  <c r="I25" i="32"/>
  <c r="J25" i="32"/>
  <c r="K25" i="32"/>
  <c r="L25" i="32"/>
  <c r="M25" i="32"/>
  <c r="N25" i="32"/>
  <c r="D26" i="32"/>
  <c r="E26" i="32"/>
  <c r="F26" i="32"/>
  <c r="G26" i="32"/>
  <c r="H26" i="32"/>
  <c r="I26" i="32"/>
  <c r="J26" i="32"/>
  <c r="K26" i="32"/>
  <c r="L26" i="32"/>
  <c r="M26" i="32"/>
  <c r="N26" i="32"/>
  <c r="D27" i="32"/>
  <c r="E27" i="32"/>
  <c r="F27" i="32"/>
  <c r="G27" i="32"/>
  <c r="H27" i="32"/>
  <c r="I27" i="32"/>
  <c r="J27" i="32"/>
  <c r="K27" i="32"/>
  <c r="L27" i="32"/>
  <c r="M27" i="32"/>
  <c r="N27" i="32"/>
  <c r="C25" i="32"/>
  <c r="C26" i="32"/>
  <c r="C27" i="32"/>
  <c r="C24" i="32"/>
  <c r="C2" i="32"/>
  <c r="E12" i="32"/>
  <c r="F12" i="32"/>
  <c r="G12" i="32"/>
  <c r="H12" i="32"/>
  <c r="I12" i="32"/>
  <c r="J12" i="32"/>
  <c r="K12" i="32"/>
  <c r="L12" i="32"/>
  <c r="M12" i="32"/>
  <c r="N12" i="32"/>
  <c r="D20" i="32"/>
  <c r="D12" i="32" s="1"/>
  <c r="C20" i="32"/>
  <c r="C12" i="32" s="1"/>
  <c r="N2" i="32"/>
  <c r="M2" i="32"/>
  <c r="L2" i="32"/>
  <c r="N29" i="32"/>
  <c r="N28" i="32" s="1"/>
  <c r="F29" i="32"/>
  <c r="F28" i="32" s="1"/>
  <c r="D23" i="32"/>
  <c r="E23" i="32" s="1"/>
  <c r="F23" i="32" s="1"/>
  <c r="G23" i="32" s="1"/>
  <c r="H23" i="32" s="1"/>
  <c r="I23" i="32" s="1"/>
  <c r="J23" i="32" s="1"/>
  <c r="K23" i="32" s="1"/>
  <c r="L23" i="32" s="1"/>
  <c r="M23" i="32" s="1"/>
  <c r="N23" i="32" s="1"/>
  <c r="O23" i="32" s="1"/>
  <c r="P23" i="32" s="1"/>
  <c r="Q23" i="32" s="1"/>
  <c r="R23" i="32" s="1"/>
  <c r="S23" i="32" s="1"/>
  <c r="T23" i="32" s="1"/>
  <c r="O11" i="32"/>
  <c r="P11" i="32" s="1"/>
  <c r="O10" i="32"/>
  <c r="P10" i="32" s="1"/>
  <c r="O9" i="32"/>
  <c r="P9" i="32" s="1"/>
  <c r="O8" i="32"/>
  <c r="H2" i="32"/>
  <c r="O7" i="32"/>
  <c r="O6" i="32"/>
  <c r="P6" i="32" s="1"/>
  <c r="J2" i="32"/>
  <c r="G2" i="32"/>
  <c r="M29" i="32"/>
  <c r="M28" i="32" s="1"/>
  <c r="L29" i="32"/>
  <c r="L28" i="32" s="1"/>
  <c r="K29" i="32"/>
  <c r="J29" i="32"/>
  <c r="I29" i="32"/>
  <c r="I28" i="32" s="1"/>
  <c r="H29" i="32"/>
  <c r="H28" i="32" s="1"/>
  <c r="G29" i="32"/>
  <c r="E29" i="32"/>
  <c r="E28" i="32" s="1"/>
  <c r="D29" i="32"/>
  <c r="C29" i="32"/>
  <c r="C28" i="32" s="1"/>
  <c r="K2" i="32"/>
  <c r="F2" i="32"/>
  <c r="E2" i="32"/>
  <c r="D1" i="32"/>
  <c r="E1" i="32" s="1"/>
  <c r="F1" i="32" s="1"/>
  <c r="G1" i="32" s="1"/>
  <c r="H1" i="32" s="1"/>
  <c r="I1" i="32" s="1"/>
  <c r="J1" i="32" s="1"/>
  <c r="K1" i="32" s="1"/>
  <c r="L1" i="32" s="1"/>
  <c r="M1" i="32" s="1"/>
  <c r="N1" i="32" s="1"/>
  <c r="G64" i="31"/>
  <c r="F64" i="31"/>
  <c r="H64" i="31"/>
  <c r="J64" i="31"/>
  <c r="I64" i="31"/>
  <c r="K64" i="31"/>
  <c r="I63" i="31"/>
  <c r="H63" i="31"/>
  <c r="G63" i="31"/>
  <c r="F63" i="31"/>
  <c r="L57" i="31"/>
  <c r="L56" i="31" s="1"/>
  <c r="M57" i="31"/>
  <c r="M56" i="31" s="1"/>
  <c r="F56" i="31"/>
  <c r="F58" i="31" s="1"/>
  <c r="F57" i="31"/>
  <c r="L15" i="31"/>
  <c r="L63" i="31" s="1"/>
  <c r="K15" i="31"/>
  <c r="K63" i="31" s="1"/>
  <c r="K14" i="31"/>
  <c r="J15" i="31"/>
  <c r="J63" i="31" s="1"/>
  <c r="J14" i="31"/>
  <c r="I14" i="31"/>
  <c r="M18" i="31"/>
  <c r="D5" i="31"/>
  <c r="D11" i="31" s="1"/>
  <c r="E5" i="31"/>
  <c r="E11" i="31" s="1"/>
  <c r="W106" i="30"/>
  <c r="V106" i="30"/>
  <c r="Y98" i="30"/>
  <c r="E87" i="30"/>
  <c r="O155" i="30"/>
  <c r="O154" i="30"/>
  <c r="O153" i="30"/>
  <c r="B132" i="30"/>
  <c r="B133" i="30"/>
  <c r="B134" i="30"/>
  <c r="B135" i="30"/>
  <c r="B136" i="30"/>
  <c r="B131" i="30"/>
  <c r="B110" i="30"/>
  <c r="S18" i="36" l="1"/>
  <c r="M9" i="36"/>
  <c r="L66" i="36" s="1"/>
  <c r="O28" i="32"/>
  <c r="P28" i="32" s="1"/>
  <c r="O1" i="32"/>
  <c r="P1" i="32" s="1"/>
  <c r="Q1" i="32" s="1"/>
  <c r="R1" i="32" s="1"/>
  <c r="S1" i="32" s="1"/>
  <c r="T1" i="32" s="1"/>
  <c r="I64" i="36"/>
  <c r="K64" i="36"/>
  <c r="I29" i="36"/>
  <c r="K29" i="36"/>
  <c r="J64" i="36"/>
  <c r="K25" i="36"/>
  <c r="F25" i="36"/>
  <c r="E25" i="36"/>
  <c r="N65" i="36"/>
  <c r="Q65" i="36"/>
  <c r="D94" i="36"/>
  <c r="M15" i="36"/>
  <c r="H25" i="36"/>
  <c r="O65" i="36"/>
  <c r="G28" i="32"/>
  <c r="J28" i="32"/>
  <c r="K28" i="32"/>
  <c r="O5" i="32"/>
  <c r="P19" i="32"/>
  <c r="Q19" i="32" s="1"/>
  <c r="R19" i="32" s="1"/>
  <c r="S19" i="32" s="1"/>
  <c r="P7" i="32"/>
  <c r="Q7" i="32" s="1"/>
  <c r="Q11" i="32"/>
  <c r="R9" i="32"/>
  <c r="Q6" i="32"/>
  <c r="R6" i="32" s="1"/>
  <c r="Q20" i="32"/>
  <c r="R20" i="32" s="1"/>
  <c r="P8" i="32"/>
  <c r="Q8" i="32" s="1"/>
  <c r="Q10" i="32"/>
  <c r="R10" i="32" s="1"/>
  <c r="P17" i="32"/>
  <c r="Q17" i="32" s="1"/>
  <c r="Q9" i="32"/>
  <c r="I2" i="32"/>
  <c r="D2" i="32"/>
  <c r="F55" i="31"/>
  <c r="Q28" i="32" l="1"/>
  <c r="R28" i="32" s="1"/>
  <c r="S20" i="36"/>
  <c r="M11" i="36"/>
  <c r="S19" i="36"/>
  <c r="R7" i="32"/>
  <c r="P5" i="32"/>
  <c r="Q5" i="32" s="1"/>
  <c r="R17" i="32"/>
  <c r="S9" i="32"/>
  <c r="T9" i="32" s="1"/>
  <c r="S10" i="32"/>
  <c r="T10" i="32" s="1"/>
  <c r="S20" i="32"/>
  <c r="T20" i="32" s="1"/>
  <c r="S6" i="32"/>
  <c r="T6" i="32" s="1"/>
  <c r="R8" i="32"/>
  <c r="T19" i="32"/>
  <c r="S7" i="32"/>
  <c r="T7" i="32" s="1"/>
  <c r="R11" i="32"/>
  <c r="S11" i="32" s="1"/>
  <c r="T28" i="32" l="1"/>
  <c r="S28" i="32"/>
  <c r="S17" i="32"/>
  <c r="T17" i="32" s="1"/>
  <c r="R5" i="32"/>
  <c r="S8" i="32"/>
  <c r="T8" i="32" s="1"/>
  <c r="T11" i="32"/>
  <c r="S5" i="32" l="1"/>
  <c r="T5" i="32" l="1"/>
  <c r="O62" i="30" l="1"/>
  <c r="C88" i="31"/>
  <c r="C54" i="31"/>
  <c r="C23" i="31"/>
  <c r="C5" i="31"/>
  <c r="C11" i="31" s="1"/>
  <c r="D51" i="30" l="1"/>
  <c r="E51" i="30"/>
  <c r="F51" i="30"/>
  <c r="G51" i="30"/>
  <c r="G10" i="30" s="1"/>
  <c r="H51" i="30"/>
  <c r="H10" i="30" s="1"/>
  <c r="I51" i="30"/>
  <c r="J51" i="30"/>
  <c r="K51" i="30"/>
  <c r="L51" i="30"/>
  <c r="M51" i="30"/>
  <c r="N51" i="30"/>
  <c r="D52" i="30"/>
  <c r="E52" i="30"/>
  <c r="E50" i="30" s="1"/>
  <c r="F52" i="30"/>
  <c r="G52" i="30"/>
  <c r="G11" i="30" s="1"/>
  <c r="H52" i="30"/>
  <c r="I52" i="30"/>
  <c r="J52" i="30"/>
  <c r="K52" i="30"/>
  <c r="K53" i="30" s="1"/>
  <c r="L52" i="30"/>
  <c r="L11" i="30" s="1"/>
  <c r="M52" i="30"/>
  <c r="M11" i="30" s="1"/>
  <c r="M9" i="30" s="1"/>
  <c r="N52" i="30"/>
  <c r="C52" i="30"/>
  <c r="C11" i="30" s="1"/>
  <c r="C51" i="30"/>
  <c r="D87" i="30"/>
  <c r="F87" i="30"/>
  <c r="G87" i="30"/>
  <c r="G35" i="30" s="1"/>
  <c r="H87" i="30"/>
  <c r="H35" i="30" s="1"/>
  <c r="I87" i="30"/>
  <c r="I35" i="30" s="1"/>
  <c r="I34" i="30" s="1"/>
  <c r="J87" i="30"/>
  <c r="K87" i="30"/>
  <c r="L87" i="30"/>
  <c r="M87" i="30"/>
  <c r="N87" i="30"/>
  <c r="D88" i="30"/>
  <c r="D86" i="30" s="1"/>
  <c r="E88" i="30"/>
  <c r="E36" i="30" s="1"/>
  <c r="F88" i="30"/>
  <c r="F89" i="30" s="1"/>
  <c r="G88" i="30"/>
  <c r="H88" i="30"/>
  <c r="I88" i="30"/>
  <c r="J88" i="30"/>
  <c r="K88" i="30"/>
  <c r="L88" i="30"/>
  <c r="L89" i="30" s="1"/>
  <c r="L90" i="30" s="1"/>
  <c r="M88" i="30"/>
  <c r="M89" i="30" s="1"/>
  <c r="M90" i="30" s="1"/>
  <c r="N88" i="30"/>
  <c r="N89" i="30" s="1"/>
  <c r="N90" i="30" s="1"/>
  <c r="N91" i="30" s="1"/>
  <c r="N144" i="30" s="1"/>
  <c r="C88" i="30"/>
  <c r="C87" i="30"/>
  <c r="C35" i="30" s="1"/>
  <c r="I32" i="30"/>
  <c r="I28" i="30"/>
  <c r="F19" i="30"/>
  <c r="F20" i="30" s="1"/>
  <c r="F21" i="30" s="1"/>
  <c r="E19" i="30"/>
  <c r="E20" i="30" s="1"/>
  <c r="E21" i="30" s="1"/>
  <c r="E18" i="30"/>
  <c r="F18" i="30"/>
  <c r="G18" i="30"/>
  <c r="G19" i="30" s="1"/>
  <c r="G20" i="30" s="1"/>
  <c r="G21" i="30" s="1"/>
  <c r="H18" i="30"/>
  <c r="I18" i="30"/>
  <c r="J18" i="30"/>
  <c r="J16" i="30" s="1"/>
  <c r="K18" i="30"/>
  <c r="L18" i="30"/>
  <c r="M18" i="30"/>
  <c r="N18" i="30"/>
  <c r="D18" i="30"/>
  <c r="E17" i="30"/>
  <c r="F17" i="30"/>
  <c r="G17" i="30"/>
  <c r="G16" i="30" s="1"/>
  <c r="H17" i="30"/>
  <c r="I17" i="30"/>
  <c r="J17" i="30"/>
  <c r="K17" i="30"/>
  <c r="L17" i="30"/>
  <c r="M17" i="30"/>
  <c r="N17" i="30"/>
  <c r="N16" i="30" s="1"/>
  <c r="D17" i="30"/>
  <c r="F152" i="30"/>
  <c r="F158" i="30" s="1"/>
  <c r="F161" i="30" s="1"/>
  <c r="E158" i="30"/>
  <c r="F54" i="24"/>
  <c r="K86" i="30"/>
  <c r="I89" i="30"/>
  <c r="E78" i="30"/>
  <c r="F78" i="30"/>
  <c r="G78" i="30"/>
  <c r="H78" i="30"/>
  <c r="I78" i="30"/>
  <c r="J78" i="30"/>
  <c r="J28" i="30" s="1"/>
  <c r="K78" i="30"/>
  <c r="K77" i="30" s="1"/>
  <c r="L78" i="30"/>
  <c r="L28" i="30" s="1"/>
  <c r="M78" i="30"/>
  <c r="N78" i="30"/>
  <c r="J79" i="30"/>
  <c r="J80" i="30" s="1"/>
  <c r="J81" i="30" s="1"/>
  <c r="J82" i="30" s="1"/>
  <c r="K79" i="30"/>
  <c r="L79" i="30"/>
  <c r="M79" i="30"/>
  <c r="M77" i="30" s="1"/>
  <c r="N79" i="30"/>
  <c r="D78" i="30"/>
  <c r="D28" i="30" s="1"/>
  <c r="E77" i="30"/>
  <c r="H80" i="30"/>
  <c r="H30" i="30" s="1"/>
  <c r="C78" i="30"/>
  <c r="G70" i="30"/>
  <c r="I64" i="30"/>
  <c r="I65" i="30" s="1"/>
  <c r="I66" i="30" s="1"/>
  <c r="G71" i="30"/>
  <c r="H72" i="30" s="1"/>
  <c r="H71" i="30"/>
  <c r="I71" i="30"/>
  <c r="J71" i="30"/>
  <c r="K71" i="30"/>
  <c r="L71" i="30"/>
  <c r="M71" i="30"/>
  <c r="N71" i="30"/>
  <c r="N72" i="30" s="1"/>
  <c r="F71" i="30"/>
  <c r="F72" i="30" s="1"/>
  <c r="H70" i="30"/>
  <c r="I70" i="30"/>
  <c r="J70" i="30"/>
  <c r="K70" i="30"/>
  <c r="K69" i="30" s="1"/>
  <c r="L70" i="30"/>
  <c r="M70" i="30"/>
  <c r="M69" i="30" s="1"/>
  <c r="N70" i="30"/>
  <c r="O70" i="30" s="1"/>
  <c r="F70" i="30"/>
  <c r="K64" i="30"/>
  <c r="F64" i="30"/>
  <c r="E61" i="30"/>
  <c r="K10" i="30"/>
  <c r="H11" i="30"/>
  <c r="Q4" i="30"/>
  <c r="R4" i="30" s="1"/>
  <c r="S4" i="30" s="1"/>
  <c r="H8" i="30"/>
  <c r="I8" i="30"/>
  <c r="J8" i="30"/>
  <c r="P8" i="30"/>
  <c r="C8" i="30"/>
  <c r="D4" i="30"/>
  <c r="D8" i="30" s="1"/>
  <c r="D88" i="31"/>
  <c r="E88" i="31" s="1"/>
  <c r="F88" i="31" s="1"/>
  <c r="G88" i="31" s="1"/>
  <c r="H88" i="31" s="1"/>
  <c r="I88" i="31" s="1"/>
  <c r="J88" i="31" s="1"/>
  <c r="K88" i="31" s="1"/>
  <c r="L88" i="31" s="1"/>
  <c r="M88" i="31" s="1"/>
  <c r="N88" i="31" s="1"/>
  <c r="O88" i="31" s="1"/>
  <c r="P88" i="31" s="1"/>
  <c r="Q88" i="31" s="1"/>
  <c r="R88" i="31" s="1"/>
  <c r="S88" i="31" s="1"/>
  <c r="T88" i="31" s="1"/>
  <c r="L77" i="31"/>
  <c r="K77" i="31"/>
  <c r="J77" i="31"/>
  <c r="I77" i="31"/>
  <c r="H77" i="31"/>
  <c r="G77" i="31"/>
  <c r="F77" i="31"/>
  <c r="M64" i="31"/>
  <c r="O64" i="31" s="1"/>
  <c r="L62" i="31"/>
  <c r="K62" i="31"/>
  <c r="J62" i="31"/>
  <c r="K57" i="31"/>
  <c r="K56" i="31" s="1"/>
  <c r="K58" i="31" s="1"/>
  <c r="H57" i="31"/>
  <c r="D54" i="31"/>
  <c r="E54" i="31" s="1"/>
  <c r="F54" i="31" s="1"/>
  <c r="G54" i="31" s="1"/>
  <c r="H54" i="31" s="1"/>
  <c r="I54" i="31" s="1"/>
  <c r="J54" i="31" s="1"/>
  <c r="K54" i="31" s="1"/>
  <c r="L54" i="31" s="1"/>
  <c r="M54" i="31" s="1"/>
  <c r="N54" i="31" s="1"/>
  <c r="O54" i="31" s="1"/>
  <c r="P54" i="31" s="1"/>
  <c r="Q54" i="31" s="1"/>
  <c r="R54" i="31" s="1"/>
  <c r="S54" i="31" s="1"/>
  <c r="T54" i="31" s="1"/>
  <c r="L48" i="31"/>
  <c r="H48" i="31"/>
  <c r="D31" i="31"/>
  <c r="E31" i="31" s="1"/>
  <c r="F31" i="31" s="1"/>
  <c r="G31" i="31" s="1"/>
  <c r="H31" i="31" s="1"/>
  <c r="I31" i="31" s="1"/>
  <c r="J31" i="31" s="1"/>
  <c r="K31" i="31" s="1"/>
  <c r="L31" i="31" s="1"/>
  <c r="M31" i="31" s="1"/>
  <c r="N31" i="31" s="1"/>
  <c r="O31" i="31" s="1"/>
  <c r="P31" i="31" s="1"/>
  <c r="Q31" i="31" s="1"/>
  <c r="R31" i="31" s="1"/>
  <c r="S31" i="31" s="1"/>
  <c r="L26" i="31"/>
  <c r="K26" i="31"/>
  <c r="H26" i="31"/>
  <c r="Q25" i="31"/>
  <c r="R25" i="31" s="1"/>
  <c r="L25" i="31"/>
  <c r="H25" i="31"/>
  <c r="D23" i="31"/>
  <c r="E23" i="31" s="1"/>
  <c r="F23" i="31" s="1"/>
  <c r="G23" i="31" s="1"/>
  <c r="H23" i="31" s="1"/>
  <c r="I23" i="31" s="1"/>
  <c r="J23" i="31" s="1"/>
  <c r="K23" i="31" s="1"/>
  <c r="L23" i="31" s="1"/>
  <c r="M23" i="31" s="1"/>
  <c r="N23" i="31" s="1"/>
  <c r="O23" i="31" s="1"/>
  <c r="P23" i="31" s="1"/>
  <c r="Q23" i="31" s="1"/>
  <c r="R23" i="31" s="1"/>
  <c r="S23" i="31" s="1"/>
  <c r="T23" i="31" s="1"/>
  <c r="X14" i="31"/>
  <c r="L13" i="31"/>
  <c r="I13" i="31"/>
  <c r="I18" i="31" s="1"/>
  <c r="H13" i="31"/>
  <c r="H18" i="31" s="1"/>
  <c r="G13" i="31"/>
  <c r="G18" i="31" s="1"/>
  <c r="F13" i="31"/>
  <c r="F18" i="31" s="1"/>
  <c r="D13" i="31"/>
  <c r="D18" i="31" s="1"/>
  <c r="C13" i="31"/>
  <c r="C18" i="31" s="1"/>
  <c r="K13" i="31"/>
  <c r="K18" i="31" s="1"/>
  <c r="E13" i="31"/>
  <c r="E18" i="31" s="1"/>
  <c r="J57" i="31"/>
  <c r="J56" i="31" s="1"/>
  <c r="J58" i="31" s="1"/>
  <c r="I57" i="31"/>
  <c r="I56" i="31" s="1"/>
  <c r="I58" i="31" s="1"/>
  <c r="G57" i="31"/>
  <c r="G56" i="31" s="1"/>
  <c r="G58" i="31" s="1"/>
  <c r="E26" i="31"/>
  <c r="D26" i="31"/>
  <c r="C26" i="31"/>
  <c r="K25" i="31"/>
  <c r="J25" i="31"/>
  <c r="G5" i="31"/>
  <c r="F5" i="31"/>
  <c r="E25" i="31"/>
  <c r="D25" i="31"/>
  <c r="C25" i="31"/>
  <c r="M5" i="31"/>
  <c r="L5" i="31"/>
  <c r="H5" i="31"/>
  <c r="C24" i="31"/>
  <c r="D4" i="31"/>
  <c r="E4" i="31" s="1"/>
  <c r="F4" i="31" s="1"/>
  <c r="G4" i="31" s="1"/>
  <c r="H4" i="31" s="1"/>
  <c r="I4" i="31" s="1"/>
  <c r="J4" i="31" s="1"/>
  <c r="K4" i="31" s="1"/>
  <c r="L4" i="31" s="1"/>
  <c r="M4" i="31" s="1"/>
  <c r="N4" i="31" s="1"/>
  <c r="O4" i="31" s="1"/>
  <c r="P4" i="31" s="1"/>
  <c r="Q4" i="31" s="1"/>
  <c r="R4" i="31" s="1"/>
  <c r="S4" i="31" s="1"/>
  <c r="T4" i="31" s="1"/>
  <c r="Y129" i="30"/>
  <c r="B120" i="30"/>
  <c r="Y118" i="30"/>
  <c r="O118" i="30" s="1"/>
  <c r="B114" i="30"/>
  <c r="B125" i="30" s="1"/>
  <c r="B113" i="30"/>
  <c r="B124" i="30" s="1"/>
  <c r="B112" i="30"/>
  <c r="B123" i="30" s="1"/>
  <c r="B111" i="30"/>
  <c r="B122" i="30" s="1"/>
  <c r="B121" i="30"/>
  <c r="Y107" i="30"/>
  <c r="X106" i="30"/>
  <c r="X117" i="30" s="1"/>
  <c r="X128" i="30" s="1"/>
  <c r="O95" i="30"/>
  <c r="O97" i="30" s="1"/>
  <c r="K89" i="30"/>
  <c r="L86" i="30"/>
  <c r="J89" i="30"/>
  <c r="E89" i="30"/>
  <c r="E90" i="30" s="1"/>
  <c r="C86" i="30"/>
  <c r="M80" i="30"/>
  <c r="M30" i="30" s="1"/>
  <c r="E80" i="30"/>
  <c r="E30" i="30" s="1"/>
  <c r="L80" i="30"/>
  <c r="I77" i="30"/>
  <c r="F80" i="30"/>
  <c r="F30" i="30" s="1"/>
  <c r="D80" i="30"/>
  <c r="D30" i="30" s="1"/>
  <c r="O78" i="30"/>
  <c r="H77" i="30"/>
  <c r="J77" i="30"/>
  <c r="L69" i="30"/>
  <c r="K72" i="30"/>
  <c r="E69" i="30"/>
  <c r="D69" i="30"/>
  <c r="C69" i="30"/>
  <c r="F65" i="30"/>
  <c r="N64" i="30"/>
  <c r="N65" i="30" s="1"/>
  <c r="N66" i="30" s="1"/>
  <c r="M64" i="30"/>
  <c r="M65" i="30" s="1"/>
  <c r="M66" i="30" s="1"/>
  <c r="L64" i="30"/>
  <c r="L65" i="30" s="1"/>
  <c r="L66" i="30" s="1"/>
  <c r="K65" i="30"/>
  <c r="K66" i="30" s="1"/>
  <c r="J64" i="30"/>
  <c r="J65" i="30" s="1"/>
  <c r="J66" i="30" s="1"/>
  <c r="H64" i="30"/>
  <c r="H65" i="30" s="1"/>
  <c r="H66" i="30" s="1"/>
  <c r="G64" i="30"/>
  <c r="G65" i="30" s="1"/>
  <c r="G66" i="30" s="1"/>
  <c r="P62" i="30"/>
  <c r="N61" i="30"/>
  <c r="M61" i="30"/>
  <c r="L61" i="30"/>
  <c r="K61" i="30"/>
  <c r="J61" i="30"/>
  <c r="I61" i="30"/>
  <c r="H61" i="30"/>
  <c r="G61" i="30"/>
  <c r="F61" i="30"/>
  <c r="D61" i="30"/>
  <c r="C61" i="30"/>
  <c r="N11" i="30"/>
  <c r="L53" i="30"/>
  <c r="L54" i="30" s="1"/>
  <c r="J53" i="30"/>
  <c r="F11" i="30"/>
  <c r="I50" i="30"/>
  <c r="D50" i="30"/>
  <c r="C39" i="30"/>
  <c r="C38" i="30"/>
  <c r="K37" i="30"/>
  <c r="C37" i="30"/>
  <c r="L36" i="30"/>
  <c r="K36" i="30"/>
  <c r="J36" i="30"/>
  <c r="I36" i="30"/>
  <c r="C36" i="30"/>
  <c r="N35" i="30"/>
  <c r="M35" i="30"/>
  <c r="L35" i="30"/>
  <c r="F35" i="30"/>
  <c r="E35" i="30"/>
  <c r="D35" i="30"/>
  <c r="H32" i="30"/>
  <c r="G32" i="30"/>
  <c r="F32" i="30"/>
  <c r="E32" i="30"/>
  <c r="D32" i="30"/>
  <c r="C32" i="30"/>
  <c r="I31" i="30"/>
  <c r="H31" i="30"/>
  <c r="G31" i="30"/>
  <c r="F31" i="30"/>
  <c r="E31" i="30"/>
  <c r="D31" i="30"/>
  <c r="C31" i="30"/>
  <c r="C30" i="30"/>
  <c r="M29" i="30"/>
  <c r="L29" i="30"/>
  <c r="K29" i="30"/>
  <c r="I29" i="30"/>
  <c r="H29" i="30"/>
  <c r="E29" i="30"/>
  <c r="D29" i="30"/>
  <c r="N28" i="30"/>
  <c r="M28" i="30"/>
  <c r="M27" i="30" s="1"/>
  <c r="K28" i="30"/>
  <c r="I27" i="30"/>
  <c r="G28" i="30"/>
  <c r="F28" i="30"/>
  <c r="C28" i="30"/>
  <c r="I16" i="30"/>
  <c r="H19" i="30"/>
  <c r="H20" i="30" s="1"/>
  <c r="M16" i="30"/>
  <c r="J12" i="30"/>
  <c r="C12" i="30"/>
  <c r="J11" i="30"/>
  <c r="I11" i="30"/>
  <c r="D11" i="30"/>
  <c r="M10" i="30"/>
  <c r="L10" i="30"/>
  <c r="I10" i="30"/>
  <c r="F10" i="30"/>
  <c r="E10" i="30"/>
  <c r="D10" i="30"/>
  <c r="E4" i="30"/>
  <c r="F4" i="30" s="1"/>
  <c r="G4" i="30" s="1"/>
  <c r="H4" i="30" s="1"/>
  <c r="I4" i="30" s="1"/>
  <c r="J4" i="30" s="1"/>
  <c r="K4" i="30" s="1"/>
  <c r="L4" i="30" s="1"/>
  <c r="M4" i="30" s="1"/>
  <c r="N4" i="30" s="1"/>
  <c r="O4" i="30" s="1"/>
  <c r="P4" i="30" s="1"/>
  <c r="O80" i="29"/>
  <c r="O79" i="29"/>
  <c r="O78" i="29"/>
  <c r="O77" i="29"/>
  <c r="O74" i="29"/>
  <c r="O73" i="29"/>
  <c r="O72" i="29"/>
  <c r="O71" i="29"/>
  <c r="O70" i="29"/>
  <c r="P58" i="29"/>
  <c r="O58" i="29"/>
  <c r="O62" i="29"/>
  <c r="O61" i="29"/>
  <c r="O59" i="29"/>
  <c r="C43" i="29"/>
  <c r="Q9" i="24"/>
  <c r="R9" i="24"/>
  <c r="S9" i="24"/>
  <c r="T9" i="24"/>
  <c r="U9" i="24"/>
  <c r="Q8" i="24"/>
  <c r="R8" i="24"/>
  <c r="S8" i="24"/>
  <c r="T8" i="24"/>
  <c r="U8" i="24"/>
  <c r="AC9" i="24"/>
  <c r="P9" i="24"/>
  <c r="P8" i="24"/>
  <c r="AJ55" i="26"/>
  <c r="AI55" i="26"/>
  <c r="AH55" i="26"/>
  <c r="AG55" i="26"/>
  <c r="AF55" i="26"/>
  <c r="AE55" i="26"/>
  <c r="AD55" i="26"/>
  <c r="AC55" i="26"/>
  <c r="AJ46" i="26"/>
  <c r="AI46" i="26"/>
  <c r="AH46" i="26"/>
  <c r="AG46" i="26"/>
  <c r="AF46" i="26"/>
  <c r="AE46" i="26"/>
  <c r="AD46" i="26"/>
  <c r="AC46" i="26"/>
  <c r="AJ45" i="26"/>
  <c r="AI45" i="26"/>
  <c r="AH45" i="26"/>
  <c r="AG45" i="26"/>
  <c r="AF45" i="26"/>
  <c r="AE45" i="26"/>
  <c r="AD45" i="26"/>
  <c r="AC45" i="26"/>
  <c r="AJ44" i="26"/>
  <c r="AI44" i="26"/>
  <c r="AH44" i="26"/>
  <c r="AG44" i="26"/>
  <c r="AF44" i="26"/>
  <c r="AE44" i="26"/>
  <c r="AD44" i="26"/>
  <c r="AC44" i="26"/>
  <c r="AD43" i="26"/>
  <c r="AC43" i="26"/>
  <c r="AJ42" i="26"/>
  <c r="AI42" i="26"/>
  <c r="AH42" i="26"/>
  <c r="AG42" i="26"/>
  <c r="AF42" i="26"/>
  <c r="AE42" i="26"/>
  <c r="AD42" i="26"/>
  <c r="AC42" i="26"/>
  <c r="AD41" i="26"/>
  <c r="AC41" i="26"/>
  <c r="AJ35" i="26"/>
  <c r="AI35" i="26"/>
  <c r="AH35" i="26"/>
  <c r="AG35" i="26"/>
  <c r="AF35" i="26"/>
  <c r="AE35" i="26"/>
  <c r="AD35" i="26"/>
  <c r="AC35" i="26"/>
  <c r="AJ34" i="26"/>
  <c r="AI34" i="26"/>
  <c r="AH34" i="26"/>
  <c r="AG34" i="26"/>
  <c r="AF34" i="26"/>
  <c r="AE34" i="26"/>
  <c r="AD34" i="26"/>
  <c r="AC34" i="26"/>
  <c r="AD33" i="26"/>
  <c r="AC33" i="26"/>
  <c r="AJ32" i="26"/>
  <c r="R32" i="26" s="1"/>
  <c r="AI32" i="26"/>
  <c r="Q32" i="26" s="1"/>
  <c r="AH32" i="26"/>
  <c r="P32" i="26" s="1"/>
  <c r="AG32" i="26"/>
  <c r="O32" i="26" s="1"/>
  <c r="AF32" i="26"/>
  <c r="N32" i="26" s="1"/>
  <c r="AE32" i="26"/>
  <c r="AD32" i="26"/>
  <c r="AC32" i="26"/>
  <c r="AD31" i="26"/>
  <c r="AC31" i="26"/>
  <c r="AJ30" i="26"/>
  <c r="AI30" i="26"/>
  <c r="AH30" i="26"/>
  <c r="AG30" i="26"/>
  <c r="AF30" i="26"/>
  <c r="AE30" i="26"/>
  <c r="AD30" i="26"/>
  <c r="AC30" i="26"/>
  <c r="AD29" i="26"/>
  <c r="AC29" i="26"/>
  <c r="AD9" i="26"/>
  <c r="AD10" i="26"/>
  <c r="AE10" i="26"/>
  <c r="AF10" i="26"/>
  <c r="AG10" i="26"/>
  <c r="AH10" i="26"/>
  <c r="AI10" i="26"/>
  <c r="AJ10" i="26"/>
  <c r="AD11" i="26"/>
  <c r="AE11" i="26"/>
  <c r="AF11" i="26"/>
  <c r="AG11" i="26"/>
  <c r="AH11" i="26"/>
  <c r="AI11" i="26"/>
  <c r="AJ11" i="26"/>
  <c r="AD12" i="26"/>
  <c r="AE12" i="26"/>
  <c r="AF12" i="26"/>
  <c r="AG12" i="26"/>
  <c r="AH12" i="26"/>
  <c r="AI12" i="26"/>
  <c r="AJ12" i="26"/>
  <c r="AD13" i="26"/>
  <c r="AE13" i="26"/>
  <c r="AF13" i="26"/>
  <c r="AG13" i="26"/>
  <c r="AH13" i="26"/>
  <c r="AI13" i="26"/>
  <c r="AJ13" i="26"/>
  <c r="AC9" i="26"/>
  <c r="AC10" i="26"/>
  <c r="AC11" i="26"/>
  <c r="AC12" i="26"/>
  <c r="AC13" i="26"/>
  <c r="AC8" i="26"/>
  <c r="AD16" i="26"/>
  <c r="AD17" i="26"/>
  <c r="AD18" i="26"/>
  <c r="AD19" i="26"/>
  <c r="AD20" i="26"/>
  <c r="AE20" i="26"/>
  <c r="AF20" i="26"/>
  <c r="AG20" i="26"/>
  <c r="AH20" i="26"/>
  <c r="AI20" i="26"/>
  <c r="AJ20" i="26"/>
  <c r="AD21" i="26"/>
  <c r="AE21" i="26"/>
  <c r="AF21" i="26"/>
  <c r="AG21" i="26"/>
  <c r="AH21" i="26"/>
  <c r="AI21" i="26"/>
  <c r="AJ21" i="26"/>
  <c r="AD22" i="26"/>
  <c r="AE22" i="26"/>
  <c r="AF22" i="26"/>
  <c r="AG22" i="26"/>
  <c r="AH22" i="26"/>
  <c r="AI22" i="26"/>
  <c r="AJ22" i="26"/>
  <c r="AD23" i="26"/>
  <c r="AE23" i="26"/>
  <c r="AF23" i="26"/>
  <c r="AG23" i="26"/>
  <c r="AH23" i="26"/>
  <c r="AI23" i="26"/>
  <c r="AJ23" i="26"/>
  <c r="AD24" i="26"/>
  <c r="AE24" i="26"/>
  <c r="AF24" i="26"/>
  <c r="AG24" i="26"/>
  <c r="AH24" i="26"/>
  <c r="AI24" i="26"/>
  <c r="AJ24" i="26"/>
  <c r="AC17" i="26"/>
  <c r="AC18" i="26"/>
  <c r="AC19" i="26"/>
  <c r="AC20" i="26"/>
  <c r="AC21" i="26"/>
  <c r="AC22" i="26"/>
  <c r="AC23" i="26"/>
  <c r="AC24" i="26"/>
  <c r="AC16" i="26"/>
  <c r="Z4" i="24"/>
  <c r="Z5" i="24"/>
  <c r="Z6" i="24"/>
  <c r="AA6" i="24"/>
  <c r="AB6" i="24"/>
  <c r="AC6" i="24"/>
  <c r="AD6" i="24"/>
  <c r="AE6" i="24"/>
  <c r="AF6" i="24"/>
  <c r="Z7" i="24"/>
  <c r="Z8" i="24"/>
  <c r="AA8" i="24"/>
  <c r="AB8" i="24"/>
  <c r="AC8" i="24"/>
  <c r="AD8" i="24"/>
  <c r="AE8" i="24"/>
  <c r="AF8" i="24"/>
  <c r="Z9" i="24"/>
  <c r="AA9" i="24"/>
  <c r="AB9" i="24"/>
  <c r="AE9" i="24"/>
  <c r="AF9" i="24"/>
  <c r="Z11" i="24"/>
  <c r="Z12" i="24"/>
  <c r="Z13" i="24"/>
  <c r="Z14" i="24"/>
  <c r="Z15" i="24"/>
  <c r="Z16" i="24"/>
  <c r="Z17" i="24"/>
  <c r="Z18" i="24"/>
  <c r="Z20" i="24"/>
  <c r="Z21" i="24"/>
  <c r="Z22" i="24"/>
  <c r="Z23" i="24"/>
  <c r="Z24" i="24"/>
  <c r="Z25" i="24"/>
  <c r="Z26" i="24"/>
  <c r="Z27" i="24"/>
  <c r="Z28" i="24"/>
  <c r="Z29" i="24"/>
  <c r="Z30" i="24"/>
  <c r="AA30" i="24"/>
  <c r="AB30" i="24"/>
  <c r="AC30" i="24"/>
  <c r="AD30" i="24"/>
  <c r="AE30" i="24"/>
  <c r="AF30" i="24"/>
  <c r="Z31" i="24"/>
  <c r="AA31" i="24"/>
  <c r="AB31" i="24"/>
  <c r="AC31" i="24"/>
  <c r="AD31" i="24"/>
  <c r="AE31" i="24"/>
  <c r="AF31" i="24"/>
  <c r="Z32" i="24"/>
  <c r="AA32" i="24"/>
  <c r="AB32" i="24"/>
  <c r="AC32" i="24"/>
  <c r="AD32" i="24"/>
  <c r="AE32" i="24"/>
  <c r="AF32" i="24"/>
  <c r="Z33" i="24"/>
  <c r="AA33" i="24"/>
  <c r="AB33" i="24"/>
  <c r="AC33" i="24"/>
  <c r="AD33" i="24"/>
  <c r="AE33" i="24"/>
  <c r="AF33" i="24"/>
  <c r="Z34" i="24"/>
  <c r="AA34" i="24"/>
  <c r="AB34" i="24"/>
  <c r="AC34" i="24"/>
  <c r="AD34" i="24"/>
  <c r="AE34" i="24"/>
  <c r="AF34" i="24"/>
  <c r="Z35" i="24"/>
  <c r="AA35" i="24"/>
  <c r="AB35" i="24"/>
  <c r="AC35" i="24"/>
  <c r="AD35" i="24"/>
  <c r="AE35" i="24"/>
  <c r="AF35" i="24"/>
  <c r="Z36" i="24"/>
  <c r="AA36" i="24"/>
  <c r="AB36" i="24"/>
  <c r="AC36" i="24"/>
  <c r="AD36" i="24"/>
  <c r="AE36" i="24"/>
  <c r="AF36" i="24"/>
  <c r="Z37" i="24"/>
  <c r="AA37" i="24"/>
  <c r="AB37" i="24"/>
  <c r="AC37" i="24"/>
  <c r="AD37" i="24"/>
  <c r="AE37" i="24"/>
  <c r="AF37" i="24"/>
  <c r="Z38" i="24"/>
  <c r="Z39" i="24"/>
  <c r="Z42" i="24"/>
  <c r="Z43" i="24"/>
  <c r="Z44" i="24"/>
  <c r="Z45" i="24"/>
  <c r="Z46" i="24"/>
  <c r="Z47" i="24"/>
  <c r="Z48" i="24"/>
  <c r="Z49" i="24"/>
  <c r="Z50" i="24"/>
  <c r="Z51" i="24"/>
  <c r="Z52" i="24"/>
  <c r="Z53" i="24"/>
  <c r="AA53" i="24"/>
  <c r="AB53" i="24"/>
  <c r="AC53" i="24"/>
  <c r="AD53" i="24"/>
  <c r="AE53" i="24"/>
  <c r="AF53" i="24"/>
  <c r="Z54" i="24"/>
  <c r="Z55" i="24"/>
  <c r="AA55" i="24"/>
  <c r="Z56" i="24"/>
  <c r="AA56" i="24"/>
  <c r="Z57" i="24"/>
  <c r="AA57" i="24"/>
  <c r="Z58" i="24"/>
  <c r="AA58" i="24"/>
  <c r="Z59" i="24"/>
  <c r="AA59" i="24"/>
  <c r="Z60" i="24"/>
  <c r="AA60" i="24"/>
  <c r="Z61" i="24"/>
  <c r="AA61" i="24"/>
  <c r="Z62" i="24"/>
  <c r="Z63" i="24"/>
  <c r="Z64" i="24"/>
  <c r="Z65" i="24"/>
  <c r="Z66" i="24"/>
  <c r="Z67" i="24"/>
  <c r="AA67" i="24"/>
  <c r="AB67" i="24"/>
  <c r="AC67" i="24"/>
  <c r="AD67" i="24"/>
  <c r="AE67" i="24"/>
  <c r="AF67" i="24"/>
  <c r="Z69" i="24"/>
  <c r="Z70" i="24"/>
  <c r="Z71" i="24"/>
  <c r="Z72" i="24"/>
  <c r="Z73" i="24"/>
  <c r="Z74" i="24"/>
  <c r="Z75" i="24"/>
  <c r="Z76" i="24"/>
  <c r="Z77" i="24"/>
  <c r="Z78" i="24"/>
  <c r="Z79" i="24"/>
  <c r="Z80" i="24"/>
  <c r="Z81" i="24"/>
  <c r="Z82" i="24"/>
  <c r="Z83" i="24"/>
  <c r="Z84" i="24"/>
  <c r="Z85" i="24"/>
  <c r="Z86" i="24"/>
  <c r="AA86" i="24"/>
  <c r="AB86" i="24"/>
  <c r="AC86" i="24"/>
  <c r="AD86" i="24"/>
  <c r="AE86" i="24"/>
  <c r="AF86" i="24"/>
  <c r="Z87" i="24"/>
  <c r="AA87" i="24"/>
  <c r="AB87" i="24"/>
  <c r="AC87" i="24"/>
  <c r="AD87" i="24"/>
  <c r="AE87" i="24"/>
  <c r="AF87" i="24"/>
  <c r="Z88" i="24"/>
  <c r="AA88" i="24"/>
  <c r="AB88" i="24"/>
  <c r="AC88" i="24"/>
  <c r="AD88" i="24"/>
  <c r="AE88" i="24"/>
  <c r="AF88" i="24"/>
  <c r="Z89" i="24"/>
  <c r="AA89" i="24"/>
  <c r="AB89" i="24"/>
  <c r="AC89" i="24"/>
  <c r="AD89" i="24"/>
  <c r="AE89" i="24"/>
  <c r="AF89" i="24"/>
  <c r="Z90" i="24"/>
  <c r="AA90" i="24"/>
  <c r="AB90" i="24"/>
  <c r="AC90" i="24"/>
  <c r="AD90" i="24"/>
  <c r="AE90" i="24"/>
  <c r="AF90" i="24"/>
  <c r="Z91" i="24"/>
  <c r="AA91" i="24"/>
  <c r="AB91" i="24"/>
  <c r="AC91" i="24"/>
  <c r="AD91" i="24"/>
  <c r="AE91" i="24"/>
  <c r="AF91" i="24"/>
  <c r="Z92" i="24"/>
  <c r="AA92" i="24"/>
  <c r="AB92" i="24"/>
  <c r="AC92" i="24"/>
  <c r="AD92" i="24"/>
  <c r="AE92" i="24"/>
  <c r="AF92" i="24"/>
  <c r="Z93" i="24"/>
  <c r="Z94" i="24"/>
  <c r="AA94" i="24"/>
  <c r="AB94" i="24"/>
  <c r="AC94" i="24"/>
  <c r="AD94" i="24"/>
  <c r="AE94" i="24"/>
  <c r="AF94" i="24"/>
  <c r="Z95" i="24"/>
  <c r="AA95" i="24"/>
  <c r="AB95" i="24"/>
  <c r="AC95" i="24"/>
  <c r="AD95" i="24"/>
  <c r="AE95" i="24"/>
  <c r="AF95" i="24"/>
  <c r="Z96" i="24"/>
  <c r="AA96" i="24"/>
  <c r="Z97" i="24"/>
  <c r="AA97" i="24"/>
  <c r="AB97" i="24"/>
  <c r="AC97" i="24"/>
  <c r="AD97" i="24"/>
  <c r="AE97" i="24"/>
  <c r="AF97" i="24"/>
  <c r="Z98" i="24"/>
  <c r="AA98" i="24"/>
  <c r="AB98" i="24"/>
  <c r="AC98" i="24"/>
  <c r="AD98" i="24"/>
  <c r="AE98" i="24"/>
  <c r="AF98" i="24"/>
  <c r="Z99" i="24"/>
  <c r="AA99" i="24"/>
  <c r="AB99" i="24"/>
  <c r="AC99" i="24"/>
  <c r="AD99" i="24"/>
  <c r="AE99" i="24"/>
  <c r="AF99" i="24"/>
  <c r="Z100" i="24"/>
  <c r="Z101" i="24"/>
  <c r="Z102" i="24"/>
  <c r="Z103" i="24"/>
  <c r="Z104" i="24"/>
  <c r="AA104" i="24"/>
  <c r="AB104" i="24"/>
  <c r="AC104" i="24"/>
  <c r="AD104" i="24"/>
  <c r="AE104" i="24"/>
  <c r="AF104" i="24"/>
  <c r="Z105" i="24"/>
  <c r="Z106" i="24"/>
  <c r="AA106" i="24"/>
  <c r="AB106" i="24"/>
  <c r="AC106" i="24"/>
  <c r="AD106" i="24"/>
  <c r="AE106" i="24"/>
  <c r="AF106" i="24"/>
  <c r="Z107" i="24"/>
  <c r="AA107" i="24"/>
  <c r="AB107" i="24"/>
  <c r="AC107" i="24"/>
  <c r="AD107" i="24"/>
  <c r="AE107" i="24"/>
  <c r="AF107" i="24"/>
  <c r="Z108" i="24"/>
  <c r="AA108" i="24"/>
  <c r="AB108" i="24"/>
  <c r="AC108" i="24"/>
  <c r="AD108" i="24"/>
  <c r="AE108" i="24"/>
  <c r="AF108" i="24"/>
  <c r="Z109" i="24"/>
  <c r="AA109" i="24"/>
  <c r="AB109" i="24"/>
  <c r="AC109" i="24"/>
  <c r="AD109" i="24"/>
  <c r="AE109" i="24"/>
  <c r="AF109" i="24"/>
  <c r="Z110" i="24"/>
  <c r="Z111" i="24"/>
  <c r="AA111" i="24"/>
  <c r="AB111" i="24"/>
  <c r="AC111" i="24"/>
  <c r="AD111" i="24"/>
  <c r="AE111" i="24"/>
  <c r="AF111" i="24"/>
  <c r="Z112" i="24"/>
  <c r="AA112" i="24"/>
  <c r="AB112" i="24"/>
  <c r="AC112" i="24"/>
  <c r="AD112" i="24"/>
  <c r="AE112" i="24"/>
  <c r="AF112" i="24"/>
  <c r="Z113" i="24"/>
  <c r="AA113" i="24"/>
  <c r="AB113" i="24"/>
  <c r="AC113" i="24"/>
  <c r="AD113" i="24"/>
  <c r="AE113" i="24"/>
  <c r="AF113" i="24"/>
  <c r="Z114" i="24"/>
  <c r="AA114" i="24"/>
  <c r="AB114" i="24"/>
  <c r="AC114" i="24"/>
  <c r="AD114" i="24"/>
  <c r="AE114" i="24"/>
  <c r="AF114" i="24"/>
  <c r="Z115" i="24"/>
  <c r="Z116" i="24"/>
  <c r="Z117" i="24"/>
  <c r="Z118" i="24"/>
  <c r="Z119" i="24"/>
  <c r="AA119" i="24"/>
  <c r="AB119" i="24"/>
  <c r="AC119" i="24"/>
  <c r="AD119" i="24"/>
  <c r="AE119" i="24"/>
  <c r="AF119" i="24"/>
  <c r="Z120" i="24"/>
  <c r="AA120" i="24"/>
  <c r="AB120" i="24"/>
  <c r="AC120" i="24"/>
  <c r="AD120" i="24"/>
  <c r="AE120" i="24"/>
  <c r="AF120" i="24"/>
  <c r="Z121" i="24"/>
  <c r="AA121" i="24"/>
  <c r="AB121" i="24"/>
  <c r="AC121" i="24"/>
  <c r="AD121" i="24"/>
  <c r="AE121" i="24"/>
  <c r="AF121" i="24"/>
  <c r="Z122" i="24"/>
  <c r="AA122" i="24"/>
  <c r="AB122" i="24"/>
  <c r="AC122" i="24"/>
  <c r="AD122" i="24"/>
  <c r="AE122" i="24"/>
  <c r="AF122" i="24"/>
  <c r="Z123" i="24"/>
  <c r="AA123" i="24"/>
  <c r="AB123" i="24"/>
  <c r="AC123" i="24"/>
  <c r="AD123" i="24"/>
  <c r="AE123" i="24"/>
  <c r="AF123" i="24"/>
  <c r="Z124" i="24"/>
  <c r="Y8" i="24"/>
  <c r="Y9" i="24"/>
  <c r="Y11" i="24"/>
  <c r="Y12" i="24"/>
  <c r="Y13" i="24"/>
  <c r="Y14" i="24"/>
  <c r="Y15" i="24"/>
  <c r="Y16" i="24"/>
  <c r="Y17" i="24"/>
  <c r="Y18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Y38" i="24"/>
  <c r="Y39" i="24"/>
  <c r="Y40" i="24"/>
  <c r="Y41" i="24"/>
  <c r="Y42" i="24"/>
  <c r="Y43" i="24"/>
  <c r="Y44" i="24"/>
  <c r="Y45" i="24"/>
  <c r="Y46" i="24"/>
  <c r="Y47" i="24"/>
  <c r="Y48" i="24"/>
  <c r="Y49" i="24"/>
  <c r="Y50" i="24"/>
  <c r="Y51" i="24"/>
  <c r="Y52" i="24"/>
  <c r="Y53" i="24"/>
  <c r="Y54" i="24"/>
  <c r="Y55" i="24"/>
  <c r="Y56" i="24"/>
  <c r="Y57" i="24"/>
  <c r="Y58" i="24"/>
  <c r="Y59" i="24"/>
  <c r="Y60" i="24"/>
  <c r="Y61" i="24"/>
  <c r="Y62" i="24"/>
  <c r="Y63" i="24"/>
  <c r="Y64" i="24"/>
  <c r="Y65" i="24"/>
  <c r="Y66" i="24"/>
  <c r="Y67" i="24"/>
  <c r="Y68" i="24"/>
  <c r="Y69" i="24"/>
  <c r="Y70" i="24"/>
  <c r="Y71" i="24"/>
  <c r="Y72" i="24"/>
  <c r="Y73" i="24"/>
  <c r="Y74" i="24"/>
  <c r="Y75" i="24"/>
  <c r="Y76" i="24"/>
  <c r="Y77" i="24"/>
  <c r="Y78" i="24"/>
  <c r="Y79" i="24"/>
  <c r="Y80" i="24"/>
  <c r="Y81" i="24"/>
  <c r="Y82" i="24"/>
  <c r="Y83" i="24"/>
  <c r="Y84" i="24"/>
  <c r="Y85" i="24"/>
  <c r="Y86" i="24"/>
  <c r="Y87" i="24"/>
  <c r="Y88" i="24"/>
  <c r="Y89" i="24"/>
  <c r="Y90" i="24"/>
  <c r="Y91" i="24"/>
  <c r="Y92" i="24"/>
  <c r="Y93" i="24"/>
  <c r="Y94" i="24"/>
  <c r="Y95" i="24"/>
  <c r="Y96" i="24"/>
  <c r="Y97" i="24"/>
  <c r="Y98" i="24"/>
  <c r="Y99" i="24"/>
  <c r="Y100" i="24"/>
  <c r="Y101" i="24"/>
  <c r="Y102" i="24"/>
  <c r="Y103" i="24"/>
  <c r="Y104" i="24"/>
  <c r="Y105" i="24"/>
  <c r="Y106" i="24"/>
  <c r="Y107" i="24"/>
  <c r="Y108" i="24"/>
  <c r="Y109" i="24"/>
  <c r="Y110" i="24"/>
  <c r="Y111" i="24"/>
  <c r="Y112" i="24"/>
  <c r="Y113" i="24"/>
  <c r="Y114" i="24"/>
  <c r="Y115" i="24"/>
  <c r="Y116" i="24"/>
  <c r="Y117" i="24"/>
  <c r="Y118" i="24"/>
  <c r="Y119" i="24"/>
  <c r="Y120" i="24"/>
  <c r="Y121" i="24"/>
  <c r="Y122" i="24"/>
  <c r="Y123" i="24"/>
  <c r="Y124" i="24"/>
  <c r="Y7" i="24"/>
  <c r="Y4" i="24"/>
  <c r="Y5" i="24"/>
  <c r="Y6" i="24"/>
  <c r="Y3" i="24"/>
  <c r="AD6" i="26"/>
  <c r="AC6" i="26"/>
  <c r="M13" i="26"/>
  <c r="N13" i="26"/>
  <c r="O13" i="26"/>
  <c r="P13" i="26"/>
  <c r="Q13" i="26"/>
  <c r="R13" i="26"/>
  <c r="Q109" i="24"/>
  <c r="R109" i="24"/>
  <c r="S109" i="24"/>
  <c r="T109" i="24"/>
  <c r="U109" i="24"/>
  <c r="Q108" i="24"/>
  <c r="R108" i="24"/>
  <c r="S108" i="24"/>
  <c r="T108" i="24"/>
  <c r="U108" i="24"/>
  <c r="X21" i="23"/>
  <c r="X12" i="23"/>
  <c r="X3" i="23"/>
  <c r="W3" i="23"/>
  <c r="W21" i="23"/>
  <c r="W12" i="23"/>
  <c r="O30" i="23"/>
  <c r="O54" i="23"/>
  <c r="Q29" i="23"/>
  <c r="D83" i="29"/>
  <c r="E83" i="29"/>
  <c r="F83" i="29"/>
  <c r="G83" i="29"/>
  <c r="H83" i="29"/>
  <c r="I83" i="29"/>
  <c r="J83" i="29"/>
  <c r="K83" i="29"/>
  <c r="L83" i="29"/>
  <c r="M83" i="29"/>
  <c r="N83" i="29"/>
  <c r="D84" i="29"/>
  <c r="E84" i="29"/>
  <c r="F84" i="29"/>
  <c r="G84" i="29"/>
  <c r="H84" i="29"/>
  <c r="I84" i="29"/>
  <c r="J84" i="29"/>
  <c r="K84" i="29"/>
  <c r="L84" i="29"/>
  <c r="M84" i="29"/>
  <c r="N84" i="29"/>
  <c r="D85" i="29"/>
  <c r="E85" i="29"/>
  <c r="F85" i="29"/>
  <c r="G85" i="29"/>
  <c r="H85" i="29"/>
  <c r="I85" i="29"/>
  <c r="J85" i="29"/>
  <c r="K85" i="29"/>
  <c r="L85" i="29"/>
  <c r="M85" i="29"/>
  <c r="N85" i="29"/>
  <c r="D86" i="29"/>
  <c r="E86" i="29"/>
  <c r="F86" i="29"/>
  <c r="G86" i="29"/>
  <c r="H86" i="29"/>
  <c r="I86" i="29"/>
  <c r="J86" i="29"/>
  <c r="K86" i="29"/>
  <c r="L86" i="29"/>
  <c r="M86" i="29"/>
  <c r="N86" i="29"/>
  <c r="D87" i="29"/>
  <c r="E87" i="29"/>
  <c r="F87" i="29"/>
  <c r="G87" i="29"/>
  <c r="H87" i="29"/>
  <c r="I87" i="29"/>
  <c r="J87" i="29"/>
  <c r="K87" i="29"/>
  <c r="L87" i="29"/>
  <c r="M87" i="29"/>
  <c r="N87" i="29"/>
  <c r="D88" i="29"/>
  <c r="E88" i="29"/>
  <c r="F88" i="29"/>
  <c r="G88" i="29"/>
  <c r="H88" i="29"/>
  <c r="I88" i="29"/>
  <c r="J88" i="29"/>
  <c r="K88" i="29"/>
  <c r="L88" i="29"/>
  <c r="M88" i="29"/>
  <c r="N88" i="29"/>
  <c r="C84" i="29"/>
  <c r="C85" i="29"/>
  <c r="C86" i="29"/>
  <c r="C87" i="29"/>
  <c r="C88" i="29"/>
  <c r="O8" i="31" l="1"/>
  <c r="O63" i="31"/>
  <c r="F37" i="30"/>
  <c r="F90" i="30"/>
  <c r="F38" i="30" s="1"/>
  <c r="E97" i="30"/>
  <c r="L12" i="30"/>
  <c r="K27" i="30"/>
  <c r="M50" i="30"/>
  <c r="Q8" i="30"/>
  <c r="E86" i="30"/>
  <c r="O51" i="30"/>
  <c r="O53" i="30" s="1"/>
  <c r="E11" i="30"/>
  <c r="E9" i="30" s="1"/>
  <c r="M36" i="30"/>
  <c r="N36" i="30" s="1"/>
  <c r="L50" i="30"/>
  <c r="E53" i="30"/>
  <c r="E54" i="30" s="1"/>
  <c r="E55" i="30" s="1"/>
  <c r="E14" i="30" s="1"/>
  <c r="O28" i="30"/>
  <c r="P43" i="24" s="1"/>
  <c r="M86" i="30"/>
  <c r="O8" i="30"/>
  <c r="G8" i="30"/>
  <c r="K11" i="30"/>
  <c r="K9" i="30" s="1"/>
  <c r="D27" i="30"/>
  <c r="D36" i="30"/>
  <c r="M53" i="30"/>
  <c r="N8" i="30"/>
  <c r="F8" i="30"/>
  <c r="O66" i="30"/>
  <c r="O65" i="30" s="1"/>
  <c r="O64" i="30" s="1"/>
  <c r="F86" i="30"/>
  <c r="N38" i="30"/>
  <c r="M8" i="30"/>
  <c r="E8" i="30"/>
  <c r="F36" i="30"/>
  <c r="F34" i="30" s="1"/>
  <c r="N37" i="30"/>
  <c r="N86" i="30"/>
  <c r="L8" i="30"/>
  <c r="J72" i="30"/>
  <c r="J50" i="30"/>
  <c r="N10" i="30"/>
  <c r="N97" i="30" s="1"/>
  <c r="L81" i="30"/>
  <c r="L82" i="30" s="1"/>
  <c r="P95" i="30"/>
  <c r="Q95" i="30" s="1"/>
  <c r="R95" i="30" s="1"/>
  <c r="R129" i="30" s="1"/>
  <c r="K8" i="30"/>
  <c r="L16" i="30"/>
  <c r="G89" i="30"/>
  <c r="G90" i="30" s="1"/>
  <c r="J86" i="30"/>
  <c r="N53" i="30"/>
  <c r="N54" i="30" s="1"/>
  <c r="N13" i="30" s="1"/>
  <c r="AE33" i="26"/>
  <c r="C29" i="30"/>
  <c r="C27" i="30" s="1"/>
  <c r="F24" i="31"/>
  <c r="F11" i="31"/>
  <c r="S25" i="31"/>
  <c r="T25" i="31" s="1"/>
  <c r="G24" i="31"/>
  <c r="G11" i="31"/>
  <c r="L18" i="31"/>
  <c r="L90" i="31"/>
  <c r="L91" i="31" s="1"/>
  <c r="H24" i="31"/>
  <c r="H11" i="31"/>
  <c r="L24" i="31"/>
  <c r="L11" i="31"/>
  <c r="M11" i="31"/>
  <c r="M90" i="31"/>
  <c r="M91" i="31" s="1"/>
  <c r="H55" i="31"/>
  <c r="H56" i="31"/>
  <c r="H58" i="31" s="1"/>
  <c r="O107" i="30"/>
  <c r="O17" i="30" s="1"/>
  <c r="P46" i="24" s="1"/>
  <c r="K55" i="31"/>
  <c r="I48" i="31"/>
  <c r="X13" i="31"/>
  <c r="O62" i="31"/>
  <c r="O15" i="31" s="1"/>
  <c r="K48" i="31"/>
  <c r="C90" i="31"/>
  <c r="F26" i="31"/>
  <c r="D24" i="31"/>
  <c r="D28" i="31" s="1"/>
  <c r="J48" i="31"/>
  <c r="G26" i="31"/>
  <c r="C77" i="30"/>
  <c r="G50" i="30"/>
  <c r="H9" i="30"/>
  <c r="F97" i="30"/>
  <c r="H53" i="30"/>
  <c r="H54" i="30" s="1"/>
  <c r="H55" i="30" s="1"/>
  <c r="H14" i="30" s="1"/>
  <c r="E12" i="30"/>
  <c r="J54" i="30"/>
  <c r="I97" i="30"/>
  <c r="J10" i="30"/>
  <c r="J9" i="30" s="1"/>
  <c r="E13" i="30"/>
  <c r="D53" i="30"/>
  <c r="F91" i="30"/>
  <c r="F39" i="30" s="1"/>
  <c r="J35" i="30"/>
  <c r="J34" i="30" s="1"/>
  <c r="G36" i="30"/>
  <c r="G34" i="30" s="1"/>
  <c r="J90" i="30"/>
  <c r="J91" i="30" s="1"/>
  <c r="J39" i="30" s="1"/>
  <c r="D34" i="30"/>
  <c r="L34" i="30"/>
  <c r="H16" i="30"/>
  <c r="L19" i="30"/>
  <c r="L20" i="30" s="1"/>
  <c r="L21" i="30" s="1"/>
  <c r="M19" i="30"/>
  <c r="M20" i="30" s="1"/>
  <c r="M21" i="30" s="1"/>
  <c r="F16" i="30"/>
  <c r="H21" i="30"/>
  <c r="G152" i="30"/>
  <c r="E161" i="30"/>
  <c r="I90" i="30"/>
  <c r="I37" i="30"/>
  <c r="H89" i="30"/>
  <c r="K35" i="30"/>
  <c r="K34" i="30" s="1"/>
  <c r="H86" i="30"/>
  <c r="K90" i="30"/>
  <c r="H36" i="30"/>
  <c r="H34" i="30" s="1"/>
  <c r="E34" i="30"/>
  <c r="M34" i="30"/>
  <c r="C34" i="30"/>
  <c r="J32" i="30"/>
  <c r="J30" i="30"/>
  <c r="M81" i="30"/>
  <c r="M82" i="30" s="1"/>
  <c r="M143" i="30" s="1"/>
  <c r="L30" i="30"/>
  <c r="K80" i="30"/>
  <c r="K81" i="30" s="1"/>
  <c r="J29" i="30"/>
  <c r="J27" i="30" s="1"/>
  <c r="L31" i="30"/>
  <c r="L27" i="30"/>
  <c r="G77" i="30"/>
  <c r="G29" i="30"/>
  <c r="G27" i="30" s="1"/>
  <c r="M31" i="30"/>
  <c r="M32" i="30"/>
  <c r="E28" i="30"/>
  <c r="E27" i="30" s="1"/>
  <c r="G72" i="30"/>
  <c r="G73" i="30" s="1"/>
  <c r="G74" i="30" s="1"/>
  <c r="F73" i="30"/>
  <c r="J73" i="30"/>
  <c r="J74" i="30" s="1"/>
  <c r="J69" i="30"/>
  <c r="H69" i="30"/>
  <c r="G69" i="30"/>
  <c r="F69" i="30"/>
  <c r="P70" i="30"/>
  <c r="Q70" i="30" s="1"/>
  <c r="K73" i="30"/>
  <c r="K74" i="30" s="1"/>
  <c r="N73" i="30"/>
  <c r="N74" i="30" s="1"/>
  <c r="N142" i="30" s="1"/>
  <c r="F74" i="30"/>
  <c r="L55" i="30"/>
  <c r="L141" i="30" s="1"/>
  <c r="L13" i="30"/>
  <c r="G97" i="30"/>
  <c r="I53" i="30"/>
  <c r="H97" i="30"/>
  <c r="H50" i="30"/>
  <c r="K54" i="30"/>
  <c r="K55" i="30" s="1"/>
  <c r="G9" i="30"/>
  <c r="K50" i="30"/>
  <c r="L97" i="30"/>
  <c r="N9" i="30"/>
  <c r="F9" i="30"/>
  <c r="C50" i="30"/>
  <c r="T4" i="30"/>
  <c r="T8" i="30" s="1"/>
  <c r="S8" i="30"/>
  <c r="R8" i="30"/>
  <c r="C10" i="30"/>
  <c r="C9" i="30" s="1"/>
  <c r="G28" i="31"/>
  <c r="G55" i="31"/>
  <c r="G62" i="31" s="1"/>
  <c r="I55" i="31"/>
  <c r="I62" i="31" s="1"/>
  <c r="F90" i="31"/>
  <c r="F91" i="31" s="1"/>
  <c r="G90" i="31"/>
  <c r="G91" i="31" s="1"/>
  <c r="P64" i="31"/>
  <c r="H90" i="31"/>
  <c r="H91" i="31" s="1"/>
  <c r="H62" i="31"/>
  <c r="F62" i="31"/>
  <c r="J5" i="31"/>
  <c r="J11" i="31" s="1"/>
  <c r="D48" i="31"/>
  <c r="I5" i="31"/>
  <c r="K5" i="31"/>
  <c r="I25" i="31"/>
  <c r="I26" i="31"/>
  <c r="E48" i="31"/>
  <c r="J26" i="31"/>
  <c r="F48" i="31"/>
  <c r="E24" i="31"/>
  <c r="M24" i="31"/>
  <c r="M28" i="31" s="1"/>
  <c r="G48" i="31"/>
  <c r="F25" i="31"/>
  <c r="G25" i="31"/>
  <c r="L55" i="31"/>
  <c r="N34" i="30"/>
  <c r="G91" i="30"/>
  <c r="G39" i="30" s="1"/>
  <c r="G38" i="30"/>
  <c r="K16" i="30"/>
  <c r="N19" i="30"/>
  <c r="N20" i="30" s="1"/>
  <c r="N21" i="30" s="1"/>
  <c r="E37" i="30"/>
  <c r="M37" i="30"/>
  <c r="J38" i="30"/>
  <c r="D9" i="30"/>
  <c r="L9" i="30"/>
  <c r="G37" i="30"/>
  <c r="Q62" i="30"/>
  <c r="G80" i="30"/>
  <c r="G30" i="30" s="1"/>
  <c r="N80" i="30"/>
  <c r="R118" i="30"/>
  <c r="S95" i="30"/>
  <c r="T95" i="30" s="1"/>
  <c r="T129" i="30" s="1"/>
  <c r="I19" i="30"/>
  <c r="I20" i="30" s="1"/>
  <c r="H28" i="30"/>
  <c r="H27" i="30" s="1"/>
  <c r="F29" i="30"/>
  <c r="F27" i="30" s="1"/>
  <c r="J31" i="30"/>
  <c r="I86" i="30"/>
  <c r="J19" i="30"/>
  <c r="F53" i="30"/>
  <c r="F50" i="30"/>
  <c r="N55" i="30"/>
  <c r="N50" i="30"/>
  <c r="F77" i="30"/>
  <c r="E91" i="30"/>
  <c r="E39" i="30" s="1"/>
  <c r="E38" i="30"/>
  <c r="M91" i="30"/>
  <c r="O91" i="30" s="1"/>
  <c r="M38" i="30"/>
  <c r="O129" i="30"/>
  <c r="M97" i="30"/>
  <c r="K19" i="30"/>
  <c r="K20" i="30" s="1"/>
  <c r="K21" i="30" s="1"/>
  <c r="J37" i="30"/>
  <c r="G53" i="30"/>
  <c r="H73" i="30"/>
  <c r="H74" i="30" s="1"/>
  <c r="P78" i="30"/>
  <c r="P153" i="30"/>
  <c r="I9" i="30"/>
  <c r="K12" i="30"/>
  <c r="I72" i="30"/>
  <c r="I73" i="30" s="1"/>
  <c r="I74" i="30" s="1"/>
  <c r="I69" i="30"/>
  <c r="L72" i="30"/>
  <c r="L73" i="30" s="1"/>
  <c r="L74" i="30" s="1"/>
  <c r="L142" i="30" s="1"/>
  <c r="D77" i="30"/>
  <c r="L77" i="30"/>
  <c r="G86" i="30"/>
  <c r="M72" i="30"/>
  <c r="M73" i="30" s="1"/>
  <c r="M74" i="30" s="1"/>
  <c r="N77" i="30"/>
  <c r="I80" i="30"/>
  <c r="I30" i="30" s="1"/>
  <c r="O87" i="30"/>
  <c r="D89" i="30"/>
  <c r="P155" i="30"/>
  <c r="N69" i="30"/>
  <c r="P154" i="30"/>
  <c r="O66" i="29"/>
  <c r="O60" i="29"/>
  <c r="AD9" i="24"/>
  <c r="C83" i="29"/>
  <c r="D3" i="29"/>
  <c r="E3" i="29"/>
  <c r="F3" i="29"/>
  <c r="G3" i="29"/>
  <c r="H3" i="29"/>
  <c r="I3" i="29"/>
  <c r="J3" i="29"/>
  <c r="J44" i="29" s="1"/>
  <c r="K3" i="29"/>
  <c r="K44" i="29" s="1"/>
  <c r="L3" i="29"/>
  <c r="M3" i="29"/>
  <c r="N3" i="29"/>
  <c r="D4" i="29"/>
  <c r="E4" i="29"/>
  <c r="F4" i="29"/>
  <c r="G4" i="29"/>
  <c r="G45" i="29" s="1"/>
  <c r="H4" i="29"/>
  <c r="H45" i="29" s="1"/>
  <c r="I4" i="29"/>
  <c r="J4" i="29"/>
  <c r="K4" i="29"/>
  <c r="L4" i="29"/>
  <c r="M4" i="29"/>
  <c r="N4" i="29"/>
  <c r="D5" i="29"/>
  <c r="D46" i="29" s="1"/>
  <c r="E5" i="29"/>
  <c r="E46" i="29" s="1"/>
  <c r="F5" i="29"/>
  <c r="G5" i="29"/>
  <c r="H5" i="29"/>
  <c r="I5" i="29"/>
  <c r="J5" i="29"/>
  <c r="K5" i="29"/>
  <c r="L5" i="29"/>
  <c r="L46" i="29" s="1"/>
  <c r="M5" i="29"/>
  <c r="M46" i="29" s="1"/>
  <c r="N5" i="29"/>
  <c r="D6" i="29"/>
  <c r="E6" i="29"/>
  <c r="F6" i="29"/>
  <c r="G6" i="29"/>
  <c r="H6" i="29"/>
  <c r="I6" i="29"/>
  <c r="I47" i="29" s="1"/>
  <c r="J6" i="29"/>
  <c r="J47" i="29" s="1"/>
  <c r="K6" i="29"/>
  <c r="L6" i="29"/>
  <c r="M6" i="29"/>
  <c r="N6" i="29"/>
  <c r="D7" i="29"/>
  <c r="E7" i="29"/>
  <c r="F7" i="29"/>
  <c r="F48" i="29" s="1"/>
  <c r="G7" i="29"/>
  <c r="H7" i="29"/>
  <c r="I7" i="29"/>
  <c r="J7" i="29"/>
  <c r="K7" i="29"/>
  <c r="L7" i="29"/>
  <c r="M7" i="29"/>
  <c r="N7" i="29"/>
  <c r="D8" i="29"/>
  <c r="E8" i="29"/>
  <c r="F8" i="29"/>
  <c r="G8" i="29"/>
  <c r="H8" i="29"/>
  <c r="I8" i="29"/>
  <c r="J8" i="29"/>
  <c r="K8" i="29"/>
  <c r="K49" i="29" s="1"/>
  <c r="L8" i="29"/>
  <c r="L49" i="29" s="1"/>
  <c r="M8" i="29"/>
  <c r="N8" i="29"/>
  <c r="D9" i="29"/>
  <c r="E9" i="29"/>
  <c r="F9" i="29"/>
  <c r="G9" i="29"/>
  <c r="H9" i="29"/>
  <c r="H50" i="29" s="1"/>
  <c r="I9" i="29"/>
  <c r="I50" i="29" s="1"/>
  <c r="J9" i="29"/>
  <c r="K9" i="29"/>
  <c r="L9" i="29"/>
  <c r="M9" i="29"/>
  <c r="N9" i="29"/>
  <c r="D10" i="29"/>
  <c r="E10" i="29"/>
  <c r="E51" i="29" s="1"/>
  <c r="F10" i="29"/>
  <c r="F51" i="29" s="1"/>
  <c r="G10" i="29"/>
  <c r="H10" i="29"/>
  <c r="I10" i="29"/>
  <c r="J10" i="29"/>
  <c r="K10" i="29"/>
  <c r="L10" i="29"/>
  <c r="M10" i="29"/>
  <c r="N10" i="29"/>
  <c r="N51" i="29" s="1"/>
  <c r="D11" i="29"/>
  <c r="E11" i="29"/>
  <c r="F11" i="29"/>
  <c r="G11" i="29"/>
  <c r="H11" i="29"/>
  <c r="I11" i="29"/>
  <c r="J11" i="29"/>
  <c r="K11" i="29"/>
  <c r="K52" i="29" s="1"/>
  <c r="L11" i="29"/>
  <c r="M11" i="29"/>
  <c r="N11" i="29"/>
  <c r="D12" i="29"/>
  <c r="E12" i="29"/>
  <c r="F12" i="29"/>
  <c r="G12" i="29"/>
  <c r="G53" i="29" s="1"/>
  <c r="H12" i="29"/>
  <c r="I12" i="29"/>
  <c r="J12" i="29"/>
  <c r="K12" i="29"/>
  <c r="L12" i="29"/>
  <c r="M12" i="29"/>
  <c r="N12" i="29"/>
  <c r="D13" i="29"/>
  <c r="E13" i="29"/>
  <c r="F13" i="29"/>
  <c r="G13" i="29"/>
  <c r="H13" i="29"/>
  <c r="I13" i="29"/>
  <c r="J13" i="29"/>
  <c r="K13" i="29"/>
  <c r="L13" i="29"/>
  <c r="L54" i="29" s="1"/>
  <c r="M13" i="29"/>
  <c r="N13" i="29"/>
  <c r="D14" i="29"/>
  <c r="E14" i="29"/>
  <c r="F14" i="29"/>
  <c r="G14" i="29"/>
  <c r="H14" i="29"/>
  <c r="I14" i="29"/>
  <c r="J14" i="29"/>
  <c r="J55" i="29" s="1"/>
  <c r="K14" i="29"/>
  <c r="L14" i="29"/>
  <c r="M14" i="29"/>
  <c r="N14" i="29"/>
  <c r="D16" i="29"/>
  <c r="E16" i="29"/>
  <c r="F16" i="29"/>
  <c r="G16" i="29"/>
  <c r="H16" i="29"/>
  <c r="I16" i="29"/>
  <c r="J16" i="29"/>
  <c r="K16" i="29"/>
  <c r="L16" i="29"/>
  <c r="M16" i="29"/>
  <c r="N16" i="29"/>
  <c r="D17" i="29"/>
  <c r="E17" i="29"/>
  <c r="F17" i="29"/>
  <c r="G17" i="29"/>
  <c r="H17" i="29"/>
  <c r="H58" i="29" s="1"/>
  <c r="I17" i="29"/>
  <c r="I58" i="29" s="1"/>
  <c r="J17" i="29"/>
  <c r="K17" i="29"/>
  <c r="L17" i="29"/>
  <c r="M17" i="29"/>
  <c r="N17" i="29"/>
  <c r="D18" i="29"/>
  <c r="E18" i="29"/>
  <c r="F18" i="29"/>
  <c r="F59" i="29" s="1"/>
  <c r="G18" i="29"/>
  <c r="H18" i="29"/>
  <c r="I18" i="29"/>
  <c r="J18" i="29"/>
  <c r="K18" i="29"/>
  <c r="L18" i="29"/>
  <c r="M18" i="29"/>
  <c r="N18" i="29"/>
  <c r="N59" i="29" s="1"/>
  <c r="D19" i="29"/>
  <c r="E19" i="29"/>
  <c r="F19" i="29"/>
  <c r="G19" i="29"/>
  <c r="H19" i="29"/>
  <c r="I19" i="29"/>
  <c r="J19" i="29"/>
  <c r="J60" i="29" s="1"/>
  <c r="K19" i="29"/>
  <c r="K60" i="29" s="1"/>
  <c r="L19" i="29"/>
  <c r="M19" i="29"/>
  <c r="N19" i="29"/>
  <c r="D20" i="29"/>
  <c r="E20" i="29"/>
  <c r="F20" i="29"/>
  <c r="G20" i="29"/>
  <c r="H20" i="29"/>
  <c r="H61" i="29" s="1"/>
  <c r="I20" i="29"/>
  <c r="J20" i="29"/>
  <c r="K20" i="29"/>
  <c r="L20" i="29"/>
  <c r="M20" i="29"/>
  <c r="N20" i="29"/>
  <c r="D21" i="29"/>
  <c r="E21" i="29"/>
  <c r="F21" i="29"/>
  <c r="G21" i="29"/>
  <c r="H21" i="29"/>
  <c r="I21" i="29"/>
  <c r="J21" i="29"/>
  <c r="K21" i="29"/>
  <c r="L21" i="29"/>
  <c r="M21" i="29"/>
  <c r="N21" i="29"/>
  <c r="D22" i="29"/>
  <c r="E22" i="29"/>
  <c r="F22" i="29"/>
  <c r="G22" i="29"/>
  <c r="H22" i="29"/>
  <c r="I22" i="29"/>
  <c r="I63" i="29" s="1"/>
  <c r="J22" i="29"/>
  <c r="J63" i="29" s="1"/>
  <c r="K22" i="29"/>
  <c r="L22" i="29"/>
  <c r="M22" i="29"/>
  <c r="N22" i="29"/>
  <c r="D23" i="29"/>
  <c r="E23" i="29"/>
  <c r="F23" i="29"/>
  <c r="F64" i="29" s="1"/>
  <c r="G23" i="29"/>
  <c r="H23" i="29"/>
  <c r="I23" i="29"/>
  <c r="J23" i="29"/>
  <c r="K23" i="29"/>
  <c r="L23" i="29"/>
  <c r="M23" i="29"/>
  <c r="N23" i="29"/>
  <c r="N64" i="29" s="1"/>
  <c r="D24" i="29"/>
  <c r="E24" i="29"/>
  <c r="F24" i="29"/>
  <c r="G24" i="29"/>
  <c r="H24" i="29"/>
  <c r="I24" i="29"/>
  <c r="J24" i="29"/>
  <c r="K24" i="29"/>
  <c r="K65" i="29" s="1"/>
  <c r="L24" i="29"/>
  <c r="L65" i="29" s="1"/>
  <c r="O65" i="29" s="1"/>
  <c r="M24" i="29"/>
  <c r="N24" i="29"/>
  <c r="D25" i="29"/>
  <c r="E25" i="29"/>
  <c r="F25" i="29"/>
  <c r="G25" i="29"/>
  <c r="H25" i="29"/>
  <c r="H66" i="29" s="1"/>
  <c r="I25" i="29"/>
  <c r="I66" i="29" s="1"/>
  <c r="J25" i="29"/>
  <c r="K25" i="29"/>
  <c r="L25" i="29"/>
  <c r="M25" i="29"/>
  <c r="N25" i="29"/>
  <c r="D26" i="29"/>
  <c r="E26" i="29"/>
  <c r="F26" i="29"/>
  <c r="F67" i="29" s="1"/>
  <c r="G26" i="29"/>
  <c r="H26" i="29"/>
  <c r="I26" i="29"/>
  <c r="J26" i="29"/>
  <c r="K26" i="29"/>
  <c r="L26" i="29"/>
  <c r="M26" i="29"/>
  <c r="N26" i="29"/>
  <c r="N67" i="29" s="1"/>
  <c r="D27" i="29"/>
  <c r="E27" i="29"/>
  <c r="F27" i="29"/>
  <c r="G27" i="29"/>
  <c r="H27" i="29"/>
  <c r="I27" i="29"/>
  <c r="J27" i="29"/>
  <c r="K27" i="29"/>
  <c r="K68" i="29" s="1"/>
  <c r="L27" i="29"/>
  <c r="M27" i="29"/>
  <c r="N27" i="29"/>
  <c r="D28" i="29"/>
  <c r="E28" i="29"/>
  <c r="F28" i="29"/>
  <c r="G28" i="29"/>
  <c r="G69" i="29" s="1"/>
  <c r="H28" i="29"/>
  <c r="H69" i="29" s="1"/>
  <c r="I28" i="29"/>
  <c r="J28" i="29"/>
  <c r="K28" i="29"/>
  <c r="L28" i="29"/>
  <c r="M28" i="29"/>
  <c r="N28" i="29"/>
  <c r="D29" i="29"/>
  <c r="E29" i="29"/>
  <c r="F29" i="29"/>
  <c r="G29" i="29"/>
  <c r="H29" i="29"/>
  <c r="I29" i="29"/>
  <c r="J29" i="29"/>
  <c r="K29" i="29"/>
  <c r="L29" i="29"/>
  <c r="M29" i="29"/>
  <c r="N29" i="29"/>
  <c r="D30" i="29"/>
  <c r="E30" i="29"/>
  <c r="F30" i="29"/>
  <c r="G30" i="29"/>
  <c r="H30" i="29"/>
  <c r="I30" i="29"/>
  <c r="I71" i="29" s="1"/>
  <c r="J30" i="29"/>
  <c r="K30" i="29"/>
  <c r="L30" i="29"/>
  <c r="M30" i="29"/>
  <c r="N30" i="29"/>
  <c r="D31" i="29"/>
  <c r="E31" i="29"/>
  <c r="F31" i="29"/>
  <c r="G31" i="29"/>
  <c r="G72" i="29" s="1"/>
  <c r="H31" i="29"/>
  <c r="I31" i="29"/>
  <c r="J31" i="29"/>
  <c r="K31" i="29"/>
  <c r="L31" i="29"/>
  <c r="M31" i="29"/>
  <c r="N31" i="29"/>
  <c r="N72" i="29" s="1"/>
  <c r="D32" i="29"/>
  <c r="D73" i="29" s="1"/>
  <c r="E32" i="29"/>
  <c r="F32" i="29"/>
  <c r="G32" i="29"/>
  <c r="H32" i="29"/>
  <c r="I32" i="29"/>
  <c r="J32" i="29"/>
  <c r="K32" i="29"/>
  <c r="K73" i="29" s="1"/>
  <c r="L32" i="29"/>
  <c r="L73" i="29" s="1"/>
  <c r="M32" i="29"/>
  <c r="N32" i="29"/>
  <c r="D33" i="29"/>
  <c r="E33" i="29"/>
  <c r="F33" i="29"/>
  <c r="G33" i="29"/>
  <c r="H33" i="29"/>
  <c r="I33" i="29"/>
  <c r="I74" i="29" s="1"/>
  <c r="J33" i="29"/>
  <c r="K33" i="29"/>
  <c r="L33" i="29"/>
  <c r="M33" i="29"/>
  <c r="N33" i="29"/>
  <c r="D34" i="29"/>
  <c r="E34" i="29"/>
  <c r="F34" i="29"/>
  <c r="F75" i="29" s="1"/>
  <c r="G34" i="29"/>
  <c r="H34" i="29"/>
  <c r="I34" i="29"/>
  <c r="J34" i="29"/>
  <c r="K34" i="29"/>
  <c r="L34" i="29"/>
  <c r="M34" i="29"/>
  <c r="N34" i="29"/>
  <c r="N75" i="29" s="1"/>
  <c r="D35" i="29"/>
  <c r="E35" i="29"/>
  <c r="F35" i="29"/>
  <c r="G35" i="29"/>
  <c r="H35" i="29"/>
  <c r="I35" i="29"/>
  <c r="J35" i="29"/>
  <c r="K35" i="29"/>
  <c r="K76" i="29" s="1"/>
  <c r="L35" i="29"/>
  <c r="M35" i="29"/>
  <c r="N35" i="29"/>
  <c r="D36" i="29"/>
  <c r="E36" i="29"/>
  <c r="F36" i="29"/>
  <c r="G36" i="29"/>
  <c r="G77" i="29" s="1"/>
  <c r="H36" i="29"/>
  <c r="H77" i="29" s="1"/>
  <c r="I36" i="29"/>
  <c r="J36" i="29"/>
  <c r="K36" i="29"/>
  <c r="L36" i="29"/>
  <c r="M36" i="29"/>
  <c r="N36" i="29"/>
  <c r="D37" i="29"/>
  <c r="E37" i="29"/>
  <c r="F37" i="29"/>
  <c r="G37" i="29"/>
  <c r="H37" i="29"/>
  <c r="I37" i="29"/>
  <c r="J37" i="29"/>
  <c r="K37" i="29"/>
  <c r="L37" i="29"/>
  <c r="M37" i="29"/>
  <c r="N37" i="29"/>
  <c r="D38" i="29"/>
  <c r="E38" i="29"/>
  <c r="F38" i="29"/>
  <c r="G38" i="29"/>
  <c r="H38" i="29"/>
  <c r="I38" i="29"/>
  <c r="I79" i="29" s="1"/>
  <c r="J38" i="29"/>
  <c r="K38" i="29"/>
  <c r="L38" i="29"/>
  <c r="M38" i="29"/>
  <c r="N38" i="29"/>
  <c r="D39" i="29"/>
  <c r="E39" i="29"/>
  <c r="F39" i="29"/>
  <c r="F80" i="29" s="1"/>
  <c r="G39" i="29"/>
  <c r="H39" i="29"/>
  <c r="I39" i="29"/>
  <c r="J39" i="29"/>
  <c r="K39" i="29"/>
  <c r="L39" i="29"/>
  <c r="M39" i="29"/>
  <c r="N39" i="29"/>
  <c r="N80" i="29" s="1"/>
  <c r="D40" i="29"/>
  <c r="D60" i="29" s="1"/>
  <c r="E40" i="29"/>
  <c r="F40" i="29"/>
  <c r="G40" i="29"/>
  <c r="H40" i="29"/>
  <c r="I40" i="29"/>
  <c r="J40" i="29"/>
  <c r="K40" i="29"/>
  <c r="K69" i="29" s="1"/>
  <c r="L40" i="29"/>
  <c r="L45" i="29" s="1"/>
  <c r="M40" i="29"/>
  <c r="N40" i="29"/>
  <c r="D41" i="29"/>
  <c r="E41" i="29"/>
  <c r="F41" i="29"/>
  <c r="G41" i="29"/>
  <c r="H41" i="29"/>
  <c r="I41" i="29"/>
  <c r="J41" i="29"/>
  <c r="K41" i="29"/>
  <c r="L41" i="29"/>
  <c r="M41" i="29"/>
  <c r="N41" i="29"/>
  <c r="C41" i="29"/>
  <c r="C40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25" i="29"/>
  <c r="C16" i="29"/>
  <c r="C17" i="29"/>
  <c r="C18" i="29"/>
  <c r="C19" i="29"/>
  <c r="C20" i="29"/>
  <c r="C21" i="29"/>
  <c r="C22" i="29"/>
  <c r="C23" i="29"/>
  <c r="C24" i="29"/>
  <c r="C7" i="29"/>
  <c r="C8" i="29"/>
  <c r="C9" i="29"/>
  <c r="C10" i="29"/>
  <c r="C11" i="29"/>
  <c r="C12" i="29"/>
  <c r="C13" i="29"/>
  <c r="C14" i="29"/>
  <c r="C5" i="29"/>
  <c r="C6" i="29"/>
  <c r="C4" i="29"/>
  <c r="F44" i="29"/>
  <c r="I44" i="29"/>
  <c r="N44" i="29"/>
  <c r="C3" i="29"/>
  <c r="S2" i="29"/>
  <c r="T2" i="29"/>
  <c r="R2" i="29"/>
  <c r="F95" i="29"/>
  <c r="I94" i="29"/>
  <c r="F93" i="29"/>
  <c r="I92" i="29"/>
  <c r="I91" i="29"/>
  <c r="G91" i="29"/>
  <c r="F79" i="29"/>
  <c r="E61" i="29"/>
  <c r="M57" i="29"/>
  <c r="J53" i="29"/>
  <c r="N50" i="29"/>
  <c r="F50" i="29"/>
  <c r="N45" i="29"/>
  <c r="F45" i="29"/>
  <c r="H44" i="29"/>
  <c r="D43" i="29"/>
  <c r="E43" i="29" s="1"/>
  <c r="F43" i="29" s="1"/>
  <c r="G43" i="29" s="1"/>
  <c r="H43" i="29" s="1"/>
  <c r="I43" i="29" s="1"/>
  <c r="J43" i="29" s="1"/>
  <c r="K43" i="29" s="1"/>
  <c r="L43" i="29" s="1"/>
  <c r="M43" i="29" s="1"/>
  <c r="N43" i="29" s="1"/>
  <c r="O43" i="29" s="1"/>
  <c r="P43" i="29" s="1"/>
  <c r="Q43" i="29" s="1"/>
  <c r="R43" i="29" s="1"/>
  <c r="S43" i="29" s="1"/>
  <c r="L91" i="29"/>
  <c r="J92" i="29"/>
  <c r="H93" i="29"/>
  <c r="G93" i="29"/>
  <c r="F94" i="29"/>
  <c r="K80" i="29"/>
  <c r="G80" i="29"/>
  <c r="N79" i="29"/>
  <c r="H79" i="29"/>
  <c r="G79" i="29"/>
  <c r="N78" i="29"/>
  <c r="J78" i="29"/>
  <c r="I78" i="29"/>
  <c r="H78" i="29"/>
  <c r="G78" i="29"/>
  <c r="F78" i="29"/>
  <c r="N77" i="29"/>
  <c r="M77" i="29"/>
  <c r="K77" i="29"/>
  <c r="J77" i="29"/>
  <c r="I77" i="29"/>
  <c r="F77" i="29"/>
  <c r="E77" i="29"/>
  <c r="N76" i="29"/>
  <c r="I76" i="29"/>
  <c r="H76" i="29"/>
  <c r="G76" i="29"/>
  <c r="F76" i="29"/>
  <c r="I75" i="29"/>
  <c r="H75" i="29"/>
  <c r="G75" i="29"/>
  <c r="N74" i="29"/>
  <c r="J74" i="29"/>
  <c r="H74" i="29"/>
  <c r="G74" i="29"/>
  <c r="F74" i="29"/>
  <c r="N73" i="29"/>
  <c r="J73" i="29"/>
  <c r="I73" i="29"/>
  <c r="H73" i="29"/>
  <c r="G73" i="29"/>
  <c r="F73" i="29"/>
  <c r="I72" i="29"/>
  <c r="H72" i="29"/>
  <c r="F72" i="29"/>
  <c r="N71" i="29"/>
  <c r="H71" i="29"/>
  <c r="G71" i="29"/>
  <c r="F71" i="29"/>
  <c r="N70" i="29"/>
  <c r="K70" i="29"/>
  <c r="J70" i="29"/>
  <c r="I70" i="29"/>
  <c r="H70" i="29"/>
  <c r="G70" i="29"/>
  <c r="F70" i="29"/>
  <c r="N69" i="29"/>
  <c r="M69" i="29"/>
  <c r="L69" i="29"/>
  <c r="J69" i="29"/>
  <c r="I69" i="29"/>
  <c r="F69" i="29"/>
  <c r="E69" i="29"/>
  <c r="N68" i="29"/>
  <c r="I68" i="29"/>
  <c r="H68" i="29"/>
  <c r="G68" i="29"/>
  <c r="F68" i="29"/>
  <c r="K67" i="29"/>
  <c r="I67" i="29"/>
  <c r="H67" i="29"/>
  <c r="G67" i="29"/>
  <c r="N66" i="29"/>
  <c r="J66" i="29"/>
  <c r="G66" i="29"/>
  <c r="F66" i="29"/>
  <c r="N65" i="29"/>
  <c r="M65" i="29"/>
  <c r="J65" i="29"/>
  <c r="I65" i="29"/>
  <c r="H65" i="29"/>
  <c r="G65" i="29"/>
  <c r="F65" i="29"/>
  <c r="E65" i="29"/>
  <c r="J64" i="29"/>
  <c r="I64" i="29"/>
  <c r="H64" i="29"/>
  <c r="G64" i="29"/>
  <c r="N63" i="29"/>
  <c r="H63" i="29"/>
  <c r="G63" i="29"/>
  <c r="F63" i="29"/>
  <c r="N62" i="29"/>
  <c r="J62" i="29"/>
  <c r="I62" i="29"/>
  <c r="H62" i="29"/>
  <c r="G62" i="29"/>
  <c r="F62" i="29"/>
  <c r="N61" i="29"/>
  <c r="M61" i="29"/>
  <c r="J61" i="29"/>
  <c r="I61" i="29"/>
  <c r="G61" i="29"/>
  <c r="F61" i="29"/>
  <c r="N60" i="29"/>
  <c r="I60" i="29"/>
  <c r="H60" i="29"/>
  <c r="G60" i="29"/>
  <c r="F60" i="29"/>
  <c r="J59" i="29"/>
  <c r="Z17" i="29"/>
  <c r="N58" i="29"/>
  <c r="K58" i="29"/>
  <c r="J58" i="29"/>
  <c r="G58" i="29"/>
  <c r="F58" i="29"/>
  <c r="N57" i="29"/>
  <c r="P57" i="29" s="1"/>
  <c r="Q57" i="29" s="1"/>
  <c r="R57" i="29" s="1"/>
  <c r="S57" i="29" s="1"/>
  <c r="T57" i="29" s="1"/>
  <c r="K57" i="29"/>
  <c r="J57" i="29"/>
  <c r="I57" i="29"/>
  <c r="H57" i="29"/>
  <c r="G57" i="29"/>
  <c r="F57" i="29"/>
  <c r="E57" i="29"/>
  <c r="H55" i="29"/>
  <c r="G55" i="29"/>
  <c r="N54" i="29"/>
  <c r="J54" i="29"/>
  <c r="I54" i="29"/>
  <c r="H54" i="29"/>
  <c r="G54" i="29"/>
  <c r="F54" i="29"/>
  <c r="N53" i="29"/>
  <c r="M53" i="29"/>
  <c r="I53" i="29"/>
  <c r="H53" i="29"/>
  <c r="F53" i="29"/>
  <c r="E53" i="29"/>
  <c r="N52" i="29"/>
  <c r="M52" i="29"/>
  <c r="J52" i="29"/>
  <c r="I52" i="29"/>
  <c r="H52" i="29"/>
  <c r="G52" i="29"/>
  <c r="F52" i="29"/>
  <c r="E52" i="29"/>
  <c r="M51" i="29"/>
  <c r="K51" i="29"/>
  <c r="J51" i="29"/>
  <c r="I51" i="29"/>
  <c r="H51" i="29"/>
  <c r="G51" i="29"/>
  <c r="M50" i="29"/>
  <c r="K50" i="29"/>
  <c r="J50" i="29"/>
  <c r="G50" i="29"/>
  <c r="E50" i="29"/>
  <c r="M49" i="29"/>
  <c r="J49" i="29"/>
  <c r="I49" i="29"/>
  <c r="H49" i="29"/>
  <c r="G49" i="29"/>
  <c r="F49" i="29"/>
  <c r="E49" i="29"/>
  <c r="M48" i="29"/>
  <c r="J48" i="29"/>
  <c r="I48" i="29"/>
  <c r="H48" i="29"/>
  <c r="G48" i="29"/>
  <c r="E48" i="29"/>
  <c r="N47" i="29"/>
  <c r="M47" i="29"/>
  <c r="H47" i="29"/>
  <c r="G47" i="29"/>
  <c r="F47" i="29"/>
  <c r="E47" i="29"/>
  <c r="N46" i="29"/>
  <c r="J46" i="29"/>
  <c r="I46" i="29"/>
  <c r="H46" i="29"/>
  <c r="G46" i="29"/>
  <c r="F46" i="29"/>
  <c r="M45" i="29"/>
  <c r="J45" i="29"/>
  <c r="I45" i="29"/>
  <c r="E45" i="29"/>
  <c r="M44" i="29"/>
  <c r="G44" i="29"/>
  <c r="E44" i="29"/>
  <c r="D2" i="29"/>
  <c r="E2" i="29" s="1"/>
  <c r="F2" i="29" s="1"/>
  <c r="G2" i="29" s="1"/>
  <c r="H2" i="29" s="1"/>
  <c r="I2" i="29" s="1"/>
  <c r="J2" i="29" s="1"/>
  <c r="K2" i="29" s="1"/>
  <c r="L2" i="29" s="1"/>
  <c r="M2" i="29" s="1"/>
  <c r="N2" i="29" s="1"/>
  <c r="O2" i="29" s="1"/>
  <c r="P2" i="29" s="1"/>
  <c r="Q2" i="29" s="1"/>
  <c r="J82" i="24"/>
  <c r="C32" i="25"/>
  <c r="C18" i="25"/>
  <c r="I130" i="25"/>
  <c r="J130" i="25"/>
  <c r="K130" i="25"/>
  <c r="L130" i="25"/>
  <c r="M130" i="25"/>
  <c r="N130" i="25"/>
  <c r="O130" i="25"/>
  <c r="H130" i="25"/>
  <c r="I124" i="25"/>
  <c r="J124" i="25"/>
  <c r="K124" i="25"/>
  <c r="L124" i="25"/>
  <c r="M124" i="25"/>
  <c r="N124" i="25"/>
  <c r="O124" i="25"/>
  <c r="H124" i="25"/>
  <c r="O128" i="24"/>
  <c r="P67" i="24"/>
  <c r="Q61" i="24"/>
  <c r="AB61" i="24" s="1"/>
  <c r="P48" i="24"/>
  <c r="AA48" i="24" s="1"/>
  <c r="P37" i="24"/>
  <c r="P36" i="24"/>
  <c r="P35" i="24"/>
  <c r="P34" i="24"/>
  <c r="P33" i="24"/>
  <c r="P32" i="24"/>
  <c r="P30" i="24"/>
  <c r="P31" i="24"/>
  <c r="R91" i="24"/>
  <c r="S91" i="24" s="1"/>
  <c r="T91" i="24" s="1"/>
  <c r="U91" i="24" s="1"/>
  <c r="Q91" i="24"/>
  <c r="Q90" i="24"/>
  <c r="R90" i="24" s="1"/>
  <c r="S90" i="24" s="1"/>
  <c r="T90" i="24" s="1"/>
  <c r="U90" i="24" s="1"/>
  <c r="Q89" i="24"/>
  <c r="R89" i="24" s="1"/>
  <c r="S89" i="24" s="1"/>
  <c r="T89" i="24" s="1"/>
  <c r="U89" i="24" s="1"/>
  <c r="Q88" i="24"/>
  <c r="R88" i="24" s="1"/>
  <c r="S88" i="24" s="1"/>
  <c r="T88" i="24" s="1"/>
  <c r="U88" i="24" s="1"/>
  <c r="R87" i="24"/>
  <c r="S87" i="24" s="1"/>
  <c r="T87" i="24" s="1"/>
  <c r="U87" i="24" s="1"/>
  <c r="Q87" i="24"/>
  <c r="S86" i="24"/>
  <c r="T86" i="24" s="1"/>
  <c r="U86" i="24" s="1"/>
  <c r="R86" i="24"/>
  <c r="Q86" i="24"/>
  <c r="P91" i="24"/>
  <c r="P90" i="24"/>
  <c r="P89" i="24"/>
  <c r="P88" i="24"/>
  <c r="P87" i="24"/>
  <c r="P86" i="24"/>
  <c r="P92" i="24"/>
  <c r="P94" i="24"/>
  <c r="P95" i="24"/>
  <c r="P97" i="24"/>
  <c r="P99" i="24"/>
  <c r="P98" i="24"/>
  <c r="O53" i="23"/>
  <c r="O50" i="23"/>
  <c r="O48" i="23"/>
  <c r="O47" i="23"/>
  <c r="O46" i="23"/>
  <c r="O45" i="23"/>
  <c r="M37" i="27"/>
  <c r="P109" i="28"/>
  <c r="P110" i="28" s="1"/>
  <c r="O109" i="28"/>
  <c r="Q109" i="28"/>
  <c r="P106" i="28"/>
  <c r="O106" i="28"/>
  <c r="N106" i="28"/>
  <c r="P102" i="28"/>
  <c r="Q102" i="28"/>
  <c r="O102" i="28"/>
  <c r="P96" i="28"/>
  <c r="P80" i="28" a="1"/>
  <c r="P80" i="28" s="1"/>
  <c r="O79" i="28"/>
  <c r="P84" i="28"/>
  <c r="P81" i="28" s="1"/>
  <c r="P82" i="28" s="1"/>
  <c r="I84" i="28"/>
  <c r="K106" i="28"/>
  <c r="L106" i="28"/>
  <c r="M106" i="28"/>
  <c r="N102" i="28"/>
  <c r="J102" i="28"/>
  <c r="H83" i="28"/>
  <c r="I16" i="28"/>
  <c r="I15" i="28"/>
  <c r="O10" i="28"/>
  <c r="O52" i="30" l="1"/>
  <c r="O12" i="30"/>
  <c r="L32" i="30"/>
  <c r="L143" i="30"/>
  <c r="M142" i="30"/>
  <c r="O142" i="30" s="1"/>
  <c r="R109" i="30" s="1"/>
  <c r="O74" i="30"/>
  <c r="O63" i="30"/>
  <c r="Q118" i="30"/>
  <c r="P129" i="30"/>
  <c r="G158" i="30"/>
  <c r="G161" i="30" s="1"/>
  <c r="K97" i="30"/>
  <c r="P118" i="30"/>
  <c r="Q129" i="30"/>
  <c r="K14" i="30"/>
  <c r="P66" i="30"/>
  <c r="M54" i="30"/>
  <c r="M12" i="30"/>
  <c r="M41" i="30" s="1"/>
  <c r="M43" i="30" s="1"/>
  <c r="S129" i="30"/>
  <c r="P51" i="30"/>
  <c r="O10" i="30"/>
  <c r="K30" i="30"/>
  <c r="J97" i="30"/>
  <c r="J20" i="30"/>
  <c r="J21" i="30" s="1"/>
  <c r="D55" i="30"/>
  <c r="D14" i="30" s="1"/>
  <c r="D54" i="30"/>
  <c r="D13" i="30" s="1"/>
  <c r="O22" i="28"/>
  <c r="I3" i="31"/>
  <c r="I11" i="31"/>
  <c r="H28" i="31"/>
  <c r="K90" i="31"/>
  <c r="K91" i="31" s="1"/>
  <c r="K11" i="31"/>
  <c r="E28" i="31"/>
  <c r="P63" i="31"/>
  <c r="P62" i="31" s="1"/>
  <c r="D90" i="31"/>
  <c r="D91" i="31" s="1"/>
  <c r="N141" i="30"/>
  <c r="J55" i="30"/>
  <c r="J14" i="30" s="1"/>
  <c r="J13" i="30"/>
  <c r="H12" i="30"/>
  <c r="L14" i="30"/>
  <c r="H13" i="30"/>
  <c r="D12" i="30"/>
  <c r="D97" i="30"/>
  <c r="N39" i="30"/>
  <c r="Q153" i="30"/>
  <c r="R153" i="30" s="1"/>
  <c r="K91" i="30"/>
  <c r="K39" i="30" s="1"/>
  <c r="K38" i="30"/>
  <c r="H90" i="30"/>
  <c r="H37" i="30"/>
  <c r="I91" i="30"/>
  <c r="I39" i="30" s="1"/>
  <c r="I38" i="30"/>
  <c r="K82" i="30"/>
  <c r="K32" i="30" s="1"/>
  <c r="K31" i="30"/>
  <c r="O73" i="30"/>
  <c r="Q109" i="30"/>
  <c r="K13" i="30"/>
  <c r="I54" i="30"/>
  <c r="I12" i="30"/>
  <c r="I24" i="31"/>
  <c r="I28" i="31" s="1"/>
  <c r="I90" i="31"/>
  <c r="I91" i="31" s="1"/>
  <c r="K24" i="31"/>
  <c r="K3" i="31"/>
  <c r="F28" i="31"/>
  <c r="J24" i="31"/>
  <c r="J3" i="31"/>
  <c r="J13" i="31"/>
  <c r="E90" i="31"/>
  <c r="E91" i="31" s="1"/>
  <c r="Q64" i="31"/>
  <c r="P8" i="31"/>
  <c r="K41" i="30"/>
  <c r="Q78" i="30"/>
  <c r="P28" i="30"/>
  <c r="Q43" i="24" s="1"/>
  <c r="N12" i="30"/>
  <c r="P97" i="30"/>
  <c r="Q154" i="30"/>
  <c r="F54" i="30"/>
  <c r="F12" i="30"/>
  <c r="F41" i="30" s="1"/>
  <c r="I41" i="30"/>
  <c r="I21" i="30"/>
  <c r="L37" i="30"/>
  <c r="L41" i="30" s="1"/>
  <c r="R62" i="30"/>
  <c r="J41" i="30"/>
  <c r="G54" i="30"/>
  <c r="G12" i="30"/>
  <c r="G41" i="30" s="1"/>
  <c r="D90" i="30"/>
  <c r="D37" i="30"/>
  <c r="O39" i="30"/>
  <c r="P91" i="30"/>
  <c r="O90" i="30"/>
  <c r="P87" i="30"/>
  <c r="O35" i="30"/>
  <c r="P50" i="24" s="1"/>
  <c r="Q155" i="30"/>
  <c r="P107" i="30"/>
  <c r="M39" i="30"/>
  <c r="M144" i="30"/>
  <c r="O144" i="30" s="1"/>
  <c r="P144" i="30" s="1"/>
  <c r="Q144" i="30" s="1"/>
  <c r="R144" i="30" s="1"/>
  <c r="R70" i="30"/>
  <c r="N81" i="30"/>
  <c r="N82" i="30" s="1"/>
  <c r="O82" i="30" s="1"/>
  <c r="N30" i="30"/>
  <c r="D45" i="29"/>
  <c r="K53" i="29"/>
  <c r="K54" i="29"/>
  <c r="K75" i="29"/>
  <c r="L77" i="29"/>
  <c r="K78" i="29"/>
  <c r="D52" i="29"/>
  <c r="K48" i="29"/>
  <c r="H59" i="29"/>
  <c r="K64" i="29"/>
  <c r="K72" i="29"/>
  <c r="K74" i="29"/>
  <c r="L44" i="29"/>
  <c r="L50" i="29"/>
  <c r="O50" i="29" s="1"/>
  <c r="K47" i="29"/>
  <c r="D48" i="29"/>
  <c r="L48" i="29"/>
  <c r="K61" i="29"/>
  <c r="K63" i="29"/>
  <c r="K66" i="29"/>
  <c r="K79" i="29"/>
  <c r="K45" i="29"/>
  <c r="K46" i="29"/>
  <c r="L47" i="29"/>
  <c r="L60" i="29"/>
  <c r="L61" i="29"/>
  <c r="K62" i="29"/>
  <c r="K71" i="29"/>
  <c r="K94" i="29"/>
  <c r="L94" i="29" s="1"/>
  <c r="M94" i="29" s="1"/>
  <c r="D69" i="29"/>
  <c r="D47" i="29"/>
  <c r="D77" i="29"/>
  <c r="D58" i="29"/>
  <c r="D92" i="29"/>
  <c r="D44" i="29"/>
  <c r="D49" i="29"/>
  <c r="D54" i="29"/>
  <c r="D61" i="29"/>
  <c r="D50" i="29"/>
  <c r="D65" i="29"/>
  <c r="C73" i="29"/>
  <c r="C71" i="29"/>
  <c r="C66" i="29"/>
  <c r="C64" i="29"/>
  <c r="C62" i="29"/>
  <c r="C60" i="29"/>
  <c r="C58" i="29"/>
  <c r="C52" i="29"/>
  <c r="C50" i="29"/>
  <c r="C44" i="29"/>
  <c r="C65" i="29"/>
  <c r="C80" i="29"/>
  <c r="C48" i="29"/>
  <c r="C51" i="29"/>
  <c r="C74" i="29"/>
  <c r="C70" i="29"/>
  <c r="C61" i="29"/>
  <c r="C53" i="29"/>
  <c r="C49" i="29"/>
  <c r="C68" i="29"/>
  <c r="C72" i="29"/>
  <c r="C63" i="29"/>
  <c r="C57" i="29"/>
  <c r="C78" i="29"/>
  <c r="C46" i="29"/>
  <c r="C47" i="29"/>
  <c r="C54" i="29"/>
  <c r="C79" i="29"/>
  <c r="C77" i="29"/>
  <c r="C69" i="29"/>
  <c r="C76" i="29"/>
  <c r="C75" i="29"/>
  <c r="C67" i="29"/>
  <c r="C94" i="29"/>
  <c r="C45" i="29"/>
  <c r="P46" i="29"/>
  <c r="P77" i="29"/>
  <c r="I55" i="29"/>
  <c r="D95" i="29"/>
  <c r="D91" i="29"/>
  <c r="R65" i="29"/>
  <c r="P50" i="29"/>
  <c r="P65" i="29"/>
  <c r="E73" i="29"/>
  <c r="M73" i="29"/>
  <c r="D80" i="29"/>
  <c r="L80" i="29"/>
  <c r="L52" i="29"/>
  <c r="O52" i="29" s="1"/>
  <c r="P45" i="29"/>
  <c r="Q45" i="29" s="1"/>
  <c r="P61" i="29"/>
  <c r="Q61" i="29" s="1"/>
  <c r="D76" i="29"/>
  <c r="L76" i="29"/>
  <c r="R49" i="29"/>
  <c r="L58" i="29"/>
  <c r="X17" i="29"/>
  <c r="I59" i="29"/>
  <c r="P69" i="29"/>
  <c r="Q69" i="29" s="1"/>
  <c r="G90" i="29"/>
  <c r="J91" i="29"/>
  <c r="E92" i="29"/>
  <c r="I93" i="29"/>
  <c r="D94" i="29"/>
  <c r="G95" i="29"/>
  <c r="E54" i="29"/>
  <c r="M54" i="29"/>
  <c r="C55" i="29"/>
  <c r="K55" i="29"/>
  <c r="E58" i="29"/>
  <c r="M58" i="29"/>
  <c r="D62" i="29"/>
  <c r="L62" i="29"/>
  <c r="Q65" i="29"/>
  <c r="D66" i="29"/>
  <c r="L66" i="29"/>
  <c r="J67" i="29"/>
  <c r="D70" i="29"/>
  <c r="L70" i="29"/>
  <c r="J71" i="29"/>
  <c r="D74" i="29"/>
  <c r="L74" i="29"/>
  <c r="J75" i="29"/>
  <c r="D78" i="29"/>
  <c r="L78" i="29"/>
  <c r="J79" i="29"/>
  <c r="H80" i="29"/>
  <c r="H90" i="29"/>
  <c r="F92" i="29"/>
  <c r="J93" i="29"/>
  <c r="E94" i="29"/>
  <c r="H95" i="29"/>
  <c r="F90" i="29"/>
  <c r="D51" i="29"/>
  <c r="L51" i="29"/>
  <c r="O51" i="29" s="1"/>
  <c r="P51" i="29" s="1"/>
  <c r="D55" i="29"/>
  <c r="L55" i="29"/>
  <c r="Y17" i="29"/>
  <c r="C59" i="29"/>
  <c r="K59" i="29"/>
  <c r="E62" i="29"/>
  <c r="M62" i="29"/>
  <c r="E66" i="29"/>
  <c r="M66" i="29"/>
  <c r="E70" i="29"/>
  <c r="M70" i="29"/>
  <c r="E74" i="29"/>
  <c r="M74" i="29"/>
  <c r="E78" i="29"/>
  <c r="M78" i="29"/>
  <c r="I80" i="29"/>
  <c r="I90" i="29"/>
  <c r="G92" i="29"/>
  <c r="C93" i="29"/>
  <c r="K93" i="29"/>
  <c r="L93" i="29" s="1"/>
  <c r="I95" i="29"/>
  <c r="E55" i="29"/>
  <c r="M55" i="29"/>
  <c r="D59" i="29"/>
  <c r="L59" i="29"/>
  <c r="D63" i="29"/>
  <c r="L63" i="29"/>
  <c r="D67" i="29"/>
  <c r="L67" i="29"/>
  <c r="J68" i="29"/>
  <c r="D71" i="29"/>
  <c r="L71" i="29"/>
  <c r="J72" i="29"/>
  <c r="D75" i="29"/>
  <c r="L75" i="29"/>
  <c r="J76" i="29"/>
  <c r="D79" i="29"/>
  <c r="L79" i="29"/>
  <c r="J80" i="29"/>
  <c r="J90" i="29"/>
  <c r="E91" i="29"/>
  <c r="M91" i="29"/>
  <c r="H92" i="29"/>
  <c r="D93" i="29"/>
  <c r="G94" i="29"/>
  <c r="J95" i="29"/>
  <c r="F55" i="29"/>
  <c r="N55" i="29"/>
  <c r="E59" i="29"/>
  <c r="M59" i="29"/>
  <c r="E63" i="29"/>
  <c r="M63" i="29"/>
  <c r="E67" i="29"/>
  <c r="M67" i="29"/>
  <c r="E71" i="29"/>
  <c r="M71" i="29"/>
  <c r="E75" i="29"/>
  <c r="M75" i="29"/>
  <c r="E79" i="29"/>
  <c r="M79" i="29"/>
  <c r="C90" i="29"/>
  <c r="K90" i="29"/>
  <c r="L90" i="29" s="1"/>
  <c r="F91" i="29"/>
  <c r="N91" i="29"/>
  <c r="E93" i="29"/>
  <c r="H94" i="29"/>
  <c r="D64" i="29"/>
  <c r="L64" i="29"/>
  <c r="D68" i="29"/>
  <c r="L68" i="29"/>
  <c r="D72" i="29"/>
  <c r="L72" i="29"/>
  <c r="D90" i="29"/>
  <c r="D53" i="29"/>
  <c r="L53" i="29"/>
  <c r="O53" i="29" s="1"/>
  <c r="D57" i="29"/>
  <c r="L57" i="29"/>
  <c r="G59" i="29"/>
  <c r="E60" i="29"/>
  <c r="M60" i="29"/>
  <c r="E64" i="29"/>
  <c r="M64" i="29"/>
  <c r="E68" i="29"/>
  <c r="M68" i="29"/>
  <c r="E72" i="29"/>
  <c r="M72" i="29"/>
  <c r="E76" i="29"/>
  <c r="M76" i="29"/>
  <c r="E80" i="29"/>
  <c r="M80" i="29"/>
  <c r="C95" i="29"/>
  <c r="C91" i="29"/>
  <c r="K95" i="29"/>
  <c r="L95" i="29" s="1"/>
  <c r="K91" i="29"/>
  <c r="E90" i="29"/>
  <c r="H91" i="29"/>
  <c r="C92" i="29"/>
  <c r="K92" i="29"/>
  <c r="L92" i="29" s="1"/>
  <c r="J94" i="29"/>
  <c r="E95" i="29"/>
  <c r="O23" i="28"/>
  <c r="O24" i="28"/>
  <c r="P15" i="31" l="1"/>
  <c r="Q63" i="31"/>
  <c r="S109" i="30"/>
  <c r="O133" i="30"/>
  <c r="P109" i="30"/>
  <c r="M42" i="30"/>
  <c r="M55" i="30"/>
  <c r="M13" i="30"/>
  <c r="P142" i="30"/>
  <c r="Q142" i="30" s="1"/>
  <c r="R142" i="30" s="1"/>
  <c r="S142" i="30" s="1"/>
  <c r="T142" i="30" s="1"/>
  <c r="O109" i="30"/>
  <c r="O115" i="30" s="1"/>
  <c r="P65" i="30"/>
  <c r="Q66" i="30"/>
  <c r="H152" i="30"/>
  <c r="H158" i="30" s="1"/>
  <c r="T109" i="30"/>
  <c r="O72" i="30"/>
  <c r="O71" i="30" s="1"/>
  <c r="O69" i="30" s="1"/>
  <c r="P40" i="24"/>
  <c r="O13" i="30"/>
  <c r="O14" i="30" s="1"/>
  <c r="Q51" i="30"/>
  <c r="O50" i="30"/>
  <c r="P53" i="30" s="1"/>
  <c r="P52" i="30" s="1"/>
  <c r="P50" i="30" s="1"/>
  <c r="J90" i="31"/>
  <c r="J91" i="31" s="1"/>
  <c r="J18" i="31"/>
  <c r="S144" i="30"/>
  <c r="T144" i="30" s="1"/>
  <c r="R131" i="30"/>
  <c r="Q62" i="31"/>
  <c r="J28" i="31"/>
  <c r="H41" i="30"/>
  <c r="H43" i="30" s="1"/>
  <c r="F42" i="30"/>
  <c r="F43" i="30"/>
  <c r="K42" i="30"/>
  <c r="K43" i="30"/>
  <c r="G42" i="30"/>
  <c r="G43" i="30"/>
  <c r="L42" i="30"/>
  <c r="L43" i="30"/>
  <c r="J43" i="30"/>
  <c r="J42" i="30"/>
  <c r="I42" i="30"/>
  <c r="I43" i="30"/>
  <c r="S153" i="30"/>
  <c r="T153" i="30" s="1"/>
  <c r="R132" i="30"/>
  <c r="P132" i="30"/>
  <c r="R134" i="30"/>
  <c r="Q133" i="30"/>
  <c r="H38" i="30"/>
  <c r="H91" i="30"/>
  <c r="H39" i="30" s="1"/>
  <c r="P131" i="30"/>
  <c r="P133" i="30"/>
  <c r="P134" i="30"/>
  <c r="Q131" i="30"/>
  <c r="R135" i="30"/>
  <c r="O132" i="30"/>
  <c r="Q134" i="30"/>
  <c r="Q135" i="30"/>
  <c r="R133" i="30"/>
  <c r="O131" i="30"/>
  <c r="Q132" i="30"/>
  <c r="P74" i="30"/>
  <c r="Q74" i="30" s="1"/>
  <c r="I55" i="30"/>
  <c r="I14" i="30" s="1"/>
  <c r="I13" i="30"/>
  <c r="J55" i="31"/>
  <c r="K28" i="31"/>
  <c r="L28" i="31"/>
  <c r="R64" i="31"/>
  <c r="Q8" i="31"/>
  <c r="N31" i="30"/>
  <c r="N32" i="30" s="1"/>
  <c r="N29" i="30"/>
  <c r="N143" i="30"/>
  <c r="O143" i="30" s="1"/>
  <c r="Q107" i="30"/>
  <c r="R155" i="30"/>
  <c r="D91" i="30"/>
  <c r="D39" i="30" s="1"/>
  <c r="D38" i="30"/>
  <c r="Q87" i="30"/>
  <c r="P35" i="30"/>
  <c r="Q50" i="24" s="1"/>
  <c r="S62" i="30"/>
  <c r="S110" i="30"/>
  <c r="R110" i="30"/>
  <c r="P17" i="30"/>
  <c r="Q46" i="24" s="1"/>
  <c r="N41" i="30"/>
  <c r="G55" i="30"/>
  <c r="G14" i="30" s="1"/>
  <c r="G13" i="30"/>
  <c r="Q97" i="30"/>
  <c r="R154" i="30"/>
  <c r="R97" i="30" s="1"/>
  <c r="S70" i="30"/>
  <c r="L38" i="30"/>
  <c r="L91" i="30"/>
  <c r="L144" i="30" s="1"/>
  <c r="R78" i="30"/>
  <c r="Q28" i="30"/>
  <c r="R43" i="24" s="1"/>
  <c r="P90" i="30"/>
  <c r="Q91" i="30"/>
  <c r="P39" i="30"/>
  <c r="O61" i="30"/>
  <c r="P64" i="30" s="1"/>
  <c r="P63" i="30" s="1"/>
  <c r="O89" i="30"/>
  <c r="O38" i="30"/>
  <c r="F55" i="30"/>
  <c r="F14" i="30" s="1"/>
  <c r="F13" i="30"/>
  <c r="O63" i="29"/>
  <c r="O91" i="29"/>
  <c r="Q51" i="29"/>
  <c r="S51" i="29" s="1"/>
  <c r="Q50" i="29"/>
  <c r="O64" i="29"/>
  <c r="P63" i="29"/>
  <c r="P79" i="29"/>
  <c r="P71" i="29"/>
  <c r="P76" i="29"/>
  <c r="M90" i="29"/>
  <c r="M92" i="29"/>
  <c r="P80" i="29"/>
  <c r="Q80" i="29" s="1"/>
  <c r="P59" i="29"/>
  <c r="Q46" i="29"/>
  <c r="P53" i="29"/>
  <c r="Q53" i="29" s="1"/>
  <c r="R53" i="29" s="1"/>
  <c r="M93" i="29"/>
  <c r="R69" i="29"/>
  <c r="M95" i="29"/>
  <c r="Q77" i="29"/>
  <c r="R77" i="29" s="1"/>
  <c r="P78" i="29"/>
  <c r="P62" i="29"/>
  <c r="R51" i="29"/>
  <c r="P44" i="29"/>
  <c r="Q44" i="29" s="1"/>
  <c r="R44" i="29" s="1"/>
  <c r="S44" i="29" s="1"/>
  <c r="T44" i="29" s="1"/>
  <c r="R61" i="29"/>
  <c r="S61" i="29" s="1"/>
  <c r="S65" i="29"/>
  <c r="P73" i="29"/>
  <c r="P67" i="29"/>
  <c r="N94" i="29"/>
  <c r="O94" i="29" s="1"/>
  <c r="R45" i="29"/>
  <c r="S49" i="29"/>
  <c r="T49" i="29" s="1"/>
  <c r="P74" i="29"/>
  <c r="P52" i="29"/>
  <c r="H33" i="28"/>
  <c r="K52" i="28"/>
  <c r="K61" i="28" s="1"/>
  <c r="I14" i="28"/>
  <c r="H10" i="28"/>
  <c r="J14" i="28"/>
  <c r="O55" i="23"/>
  <c r="K57" i="23"/>
  <c r="K53" i="23"/>
  <c r="L53" i="23"/>
  <c r="M53" i="23"/>
  <c r="N53" i="23"/>
  <c r="J53" i="23"/>
  <c r="I43" i="23"/>
  <c r="J43" i="23"/>
  <c r="K43" i="23"/>
  <c r="L43" i="23"/>
  <c r="M43" i="23"/>
  <c r="N43" i="23"/>
  <c r="O43" i="23"/>
  <c r="H43" i="23"/>
  <c r="M38" i="23"/>
  <c r="N38" i="23"/>
  <c r="O38" i="23"/>
  <c r="M39" i="23"/>
  <c r="N39" i="23"/>
  <c r="O39" i="23"/>
  <c r="M40" i="23"/>
  <c r="N40" i="23"/>
  <c r="O40" i="23"/>
  <c r="M42" i="23"/>
  <c r="N42" i="23"/>
  <c r="O42" i="23"/>
  <c r="M55" i="27"/>
  <c r="O29" i="27"/>
  <c r="M29" i="27"/>
  <c r="N25" i="27"/>
  <c r="N26" i="27"/>
  <c r="O26" i="27"/>
  <c r="M26" i="27"/>
  <c r="N24" i="27"/>
  <c r="O24" i="27"/>
  <c r="M24" i="27"/>
  <c r="N21" i="27"/>
  <c r="O21" i="27"/>
  <c r="N22" i="27"/>
  <c r="O22" i="27"/>
  <c r="M22" i="27"/>
  <c r="M21" i="27"/>
  <c r="O20" i="27"/>
  <c r="N20" i="27"/>
  <c r="O19" i="27"/>
  <c r="N19" i="27"/>
  <c r="O18" i="27"/>
  <c r="N18" i="27"/>
  <c r="O17" i="27"/>
  <c r="O16" i="27" s="1"/>
  <c r="N17" i="27"/>
  <c r="M20" i="27"/>
  <c r="M19" i="27"/>
  <c r="M18" i="27"/>
  <c r="M17" i="27"/>
  <c r="M15" i="27"/>
  <c r="N14" i="27"/>
  <c r="O14" i="27"/>
  <c r="M14" i="27"/>
  <c r="D84" i="27"/>
  <c r="M13" i="27"/>
  <c r="N12" i="27"/>
  <c r="O12" i="27"/>
  <c r="N8" i="27"/>
  <c r="N9" i="27"/>
  <c r="O9" i="27"/>
  <c r="M12" i="27"/>
  <c r="M11" i="27"/>
  <c r="M10" i="27"/>
  <c r="M9" i="27"/>
  <c r="O8" i="27"/>
  <c r="M8" i="27"/>
  <c r="N7" i="27"/>
  <c r="O7" i="27"/>
  <c r="M7" i="27"/>
  <c r="O120" i="28"/>
  <c r="O121" i="28" s="1"/>
  <c r="N120" i="28"/>
  <c r="M120" i="28"/>
  <c r="L120" i="28"/>
  <c r="K120" i="28"/>
  <c r="J120" i="28"/>
  <c r="I120" i="28"/>
  <c r="H120" i="28"/>
  <c r="U118" i="28"/>
  <c r="T118" i="28"/>
  <c r="S118" i="28"/>
  <c r="R118" i="28"/>
  <c r="O117" i="28"/>
  <c r="N117" i="28"/>
  <c r="M117" i="28"/>
  <c r="M123" i="28" s="1"/>
  <c r="M124" i="28" s="1"/>
  <c r="L117" i="28"/>
  <c r="L123" i="28" s="1"/>
  <c r="L124" i="28" s="1"/>
  <c r="K117" i="28"/>
  <c r="J117" i="28"/>
  <c r="J123" i="28" s="1"/>
  <c r="J124" i="28" s="1"/>
  <c r="I117" i="28"/>
  <c r="I123" i="28" s="1"/>
  <c r="I124" i="28" s="1"/>
  <c r="H117" i="28"/>
  <c r="D115" i="28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N109" i="28"/>
  <c r="O110" i="28" s="1"/>
  <c r="M109" i="28"/>
  <c r="M110" i="28" s="1"/>
  <c r="L109" i="28"/>
  <c r="K109" i="28"/>
  <c r="J109" i="28"/>
  <c r="Q106" i="28"/>
  <c r="U102" i="28"/>
  <c r="T102" i="28"/>
  <c r="S102" i="28"/>
  <c r="R102" i="28"/>
  <c r="M102" i="28"/>
  <c r="L102" i="28"/>
  <c r="K102" i="28"/>
  <c r="Q96" i="28"/>
  <c r="R96" i="28" s="1"/>
  <c r="S96" i="28" s="1"/>
  <c r="T96" i="28" s="1"/>
  <c r="U96" i="28" s="1"/>
  <c r="O90" i="28"/>
  <c r="N90" i="28"/>
  <c r="M90" i="28"/>
  <c r="L90" i="28"/>
  <c r="J90" i="28"/>
  <c r="J91" i="28" s="1"/>
  <c r="I90" i="28"/>
  <c r="H90" i="28"/>
  <c r="N84" i="28"/>
  <c r="M84" i="28"/>
  <c r="M85" i="28" s="1"/>
  <c r="L84" i="28"/>
  <c r="K84" i="28"/>
  <c r="J84" i="28"/>
  <c r="I85" i="28"/>
  <c r="T83" i="28"/>
  <c r="R83" i="28"/>
  <c r="P83" i="28"/>
  <c r="N83" i="28"/>
  <c r="L83" i="28"/>
  <c r="M81" i="28"/>
  <c r="L81" i="28"/>
  <c r="L87" i="28" s="1"/>
  <c r="K81" i="28"/>
  <c r="J81" i="28"/>
  <c r="H81" i="28"/>
  <c r="H87" i="28" s="1"/>
  <c r="N79" i="28"/>
  <c r="E79" i="28"/>
  <c r="F79" i="28" s="1"/>
  <c r="G79" i="28" s="1"/>
  <c r="H79" i="28" s="1"/>
  <c r="I79" i="28" s="1"/>
  <c r="J79" i="28" s="1"/>
  <c r="K79" i="28" s="1"/>
  <c r="L79" i="28" s="1"/>
  <c r="M79" i="28" s="1"/>
  <c r="D79" i="28"/>
  <c r="N55" i="28"/>
  <c r="M55" i="28"/>
  <c r="M64" i="28" s="1"/>
  <c r="L55" i="28"/>
  <c r="L64" i="28" s="1"/>
  <c r="O54" i="28"/>
  <c r="N54" i="28"/>
  <c r="M54" i="28"/>
  <c r="L54" i="28"/>
  <c r="K54" i="28"/>
  <c r="J54" i="28"/>
  <c r="I54" i="28"/>
  <c r="I63" i="28" s="1"/>
  <c r="O53" i="28"/>
  <c r="N53" i="28"/>
  <c r="M53" i="28"/>
  <c r="L53" i="28"/>
  <c r="K53" i="28"/>
  <c r="K62" i="28" s="1"/>
  <c r="J53" i="28"/>
  <c r="I53" i="28"/>
  <c r="I62" i="28" s="1"/>
  <c r="M52" i="28"/>
  <c r="M61" i="28" s="1"/>
  <c r="L52" i="28"/>
  <c r="J52" i="28"/>
  <c r="N40" i="28"/>
  <c r="M40" i="28"/>
  <c r="I40" i="28"/>
  <c r="O39" i="28"/>
  <c r="N39" i="28"/>
  <c r="M39" i="28"/>
  <c r="L39" i="28"/>
  <c r="K39" i="28"/>
  <c r="J39" i="28"/>
  <c r="I39" i="28"/>
  <c r="O38" i="28"/>
  <c r="N38" i="28"/>
  <c r="M38" i="28"/>
  <c r="L38" i="28"/>
  <c r="K38" i="28"/>
  <c r="J38" i="28"/>
  <c r="I38" i="28"/>
  <c r="O37" i="28"/>
  <c r="N37" i="28"/>
  <c r="M37" i="28"/>
  <c r="K37" i="28"/>
  <c r="J37" i="28"/>
  <c r="I37" i="28"/>
  <c r="N33" i="28"/>
  <c r="N49" i="28" s="1"/>
  <c r="M33" i="28"/>
  <c r="M45" i="28" s="1"/>
  <c r="L33" i="28"/>
  <c r="L45" i="28" s="1"/>
  <c r="I33" i="28"/>
  <c r="I47" i="28" s="1"/>
  <c r="B32" i="28"/>
  <c r="B40" i="28" s="1"/>
  <c r="B48" i="28" s="1"/>
  <c r="B55" i="28" s="1"/>
  <c r="B64" i="28" s="1"/>
  <c r="B73" i="28" s="1"/>
  <c r="B31" i="28"/>
  <c r="B39" i="28" s="1"/>
  <c r="B47" i="28" s="1"/>
  <c r="B54" i="28" s="1"/>
  <c r="B63" i="28" s="1"/>
  <c r="B72" i="28" s="1"/>
  <c r="B30" i="28"/>
  <c r="B38" i="28" s="1"/>
  <c r="B46" i="28" s="1"/>
  <c r="B53" i="28" s="1"/>
  <c r="B62" i="28" s="1"/>
  <c r="B71" i="28" s="1"/>
  <c r="B29" i="28"/>
  <c r="B37" i="28" s="1"/>
  <c r="B45" i="28" s="1"/>
  <c r="B52" i="28" s="1"/>
  <c r="B61" i="28" s="1"/>
  <c r="B70" i="28" s="1"/>
  <c r="B25" i="28"/>
  <c r="B24" i="28"/>
  <c r="B23" i="28"/>
  <c r="B22" i="28"/>
  <c r="M17" i="28"/>
  <c r="L17" i="28"/>
  <c r="K17" i="28"/>
  <c r="B17" i="28"/>
  <c r="O16" i="28"/>
  <c r="N16" i="28"/>
  <c r="M16" i="28"/>
  <c r="L16" i="28"/>
  <c r="K16" i="28"/>
  <c r="J16" i="28"/>
  <c r="B16" i="28"/>
  <c r="O15" i="28"/>
  <c r="N15" i="28"/>
  <c r="M15" i="28"/>
  <c r="L15" i="28"/>
  <c r="K15" i="28"/>
  <c r="J15" i="28"/>
  <c r="B15" i="28"/>
  <c r="N14" i="28"/>
  <c r="M14" i="28"/>
  <c r="L14" i="28"/>
  <c r="K14" i="28"/>
  <c r="B14" i="28"/>
  <c r="M12" i="28"/>
  <c r="L12" i="28"/>
  <c r="K12" i="28"/>
  <c r="N10" i="28"/>
  <c r="M10" i="28"/>
  <c r="M22" i="28" s="1"/>
  <c r="L10" i="28"/>
  <c r="K10" i="28"/>
  <c r="K11" i="28" s="1"/>
  <c r="J10" i="28"/>
  <c r="O12" i="28"/>
  <c r="N81" i="28"/>
  <c r="C52" i="27"/>
  <c r="D52" i="27"/>
  <c r="C51" i="27"/>
  <c r="D48" i="27"/>
  <c r="E48" i="27"/>
  <c r="D49" i="27"/>
  <c r="E49" i="27"/>
  <c r="D50" i="27"/>
  <c r="E50" i="27"/>
  <c r="C50" i="27"/>
  <c r="C49" i="27"/>
  <c r="C48" i="27"/>
  <c r="D47" i="27"/>
  <c r="E47" i="27"/>
  <c r="C47" i="27"/>
  <c r="E45" i="27"/>
  <c r="D45" i="27"/>
  <c r="C46" i="27"/>
  <c r="C45" i="27"/>
  <c r="D43" i="27"/>
  <c r="E43" i="27"/>
  <c r="D44" i="27"/>
  <c r="C44" i="27"/>
  <c r="C43" i="27"/>
  <c r="C42" i="27"/>
  <c r="D40" i="27"/>
  <c r="E40" i="27"/>
  <c r="D41" i="27"/>
  <c r="E41" i="27"/>
  <c r="C41" i="27"/>
  <c r="C40" i="27"/>
  <c r="C39" i="27"/>
  <c r="D38" i="27"/>
  <c r="E38" i="27"/>
  <c r="D37" i="27"/>
  <c r="E37" i="27"/>
  <c r="C37" i="27"/>
  <c r="C36" i="27"/>
  <c r="C33" i="27"/>
  <c r="C32" i="27"/>
  <c r="D31" i="27"/>
  <c r="E31" i="27"/>
  <c r="C31" i="27"/>
  <c r="D30" i="27"/>
  <c r="E30" i="27"/>
  <c r="C30" i="27"/>
  <c r="C29" i="27"/>
  <c r="D28" i="27"/>
  <c r="E28" i="27"/>
  <c r="C28" i="27"/>
  <c r="D26" i="27"/>
  <c r="E26" i="27"/>
  <c r="C26" i="27"/>
  <c r="D23" i="27"/>
  <c r="E23" i="27"/>
  <c r="D24" i="27"/>
  <c r="E24" i="27"/>
  <c r="C24" i="27"/>
  <c r="C23" i="27"/>
  <c r="C22" i="27"/>
  <c r="D21" i="27"/>
  <c r="E21" i="27"/>
  <c r="C21" i="27"/>
  <c r="D20" i="27"/>
  <c r="E20" i="27"/>
  <c r="C20" i="27"/>
  <c r="D19" i="27"/>
  <c r="E19" i="27"/>
  <c r="C19" i="27"/>
  <c r="M54" i="27" s="1"/>
  <c r="D18" i="27"/>
  <c r="E18" i="27"/>
  <c r="C18" i="27"/>
  <c r="C17" i="27"/>
  <c r="D16" i="27"/>
  <c r="E16" i="27"/>
  <c r="C16" i="27"/>
  <c r="D15" i="27"/>
  <c r="E15" i="27"/>
  <c r="C15" i="27"/>
  <c r="D14" i="27"/>
  <c r="E14" i="27"/>
  <c r="C14" i="27"/>
  <c r="D13" i="27"/>
  <c r="E13" i="27"/>
  <c r="C13" i="27"/>
  <c r="D12" i="27"/>
  <c r="E12" i="27"/>
  <c r="C12" i="27"/>
  <c r="D11" i="27"/>
  <c r="E11" i="27"/>
  <c r="C11" i="27"/>
  <c r="D10" i="27"/>
  <c r="E10" i="27"/>
  <c r="D9" i="27"/>
  <c r="E9" i="27"/>
  <c r="C9" i="27"/>
  <c r="C10" i="27"/>
  <c r="D8" i="27"/>
  <c r="E8" i="27"/>
  <c r="C8" i="27"/>
  <c r="C7" i="27" s="1"/>
  <c r="K7" i="27" s="1"/>
  <c r="E72" i="27"/>
  <c r="U70" i="27"/>
  <c r="W53" i="27"/>
  <c r="Z47" i="27"/>
  <c r="Y47" i="27"/>
  <c r="X47" i="27"/>
  <c r="W47" i="27"/>
  <c r="Y48" i="27"/>
  <c r="Y49" i="27" s="1"/>
  <c r="X48" i="27"/>
  <c r="X49" i="27" s="1"/>
  <c r="P80" i="27"/>
  <c r="O80" i="27"/>
  <c r="P79" i="27"/>
  <c r="O79" i="27"/>
  <c r="N79" i="27"/>
  <c r="X37" i="27"/>
  <c r="T36" i="27"/>
  <c r="R36" i="27"/>
  <c r="J36" i="27"/>
  <c r="I36" i="27"/>
  <c r="H36" i="27"/>
  <c r="G36" i="27"/>
  <c r="F36" i="27"/>
  <c r="E36" i="27"/>
  <c r="D36" i="27"/>
  <c r="E29" i="27"/>
  <c r="D85" i="27"/>
  <c r="E25" i="27"/>
  <c r="D25" i="27"/>
  <c r="C25" i="27"/>
  <c r="O23" i="27"/>
  <c r="N23" i="27"/>
  <c r="M23" i="27"/>
  <c r="E32" i="27"/>
  <c r="D32" i="27"/>
  <c r="E22" i="27"/>
  <c r="N16" i="27"/>
  <c r="E17" i="27"/>
  <c r="D83" i="27"/>
  <c r="F72" i="27"/>
  <c r="D72" i="27"/>
  <c r="E7" i="27"/>
  <c r="S6" i="27"/>
  <c r="S36" i="27" s="1"/>
  <c r="R6" i="27"/>
  <c r="Q6" i="27"/>
  <c r="Q36" i="27" s="1"/>
  <c r="P6" i="27"/>
  <c r="P36" i="27" s="1"/>
  <c r="O6" i="27"/>
  <c r="O36" i="27" s="1"/>
  <c r="N6" i="27"/>
  <c r="N36" i="27" s="1"/>
  <c r="M36" i="27"/>
  <c r="N3" i="27"/>
  <c r="E57" i="26"/>
  <c r="F57" i="26"/>
  <c r="G57" i="26"/>
  <c r="H57" i="26"/>
  <c r="I57" i="26"/>
  <c r="J57" i="26"/>
  <c r="K57" i="26"/>
  <c r="E59" i="26"/>
  <c r="F59" i="26"/>
  <c r="G59" i="26"/>
  <c r="H59" i="26"/>
  <c r="I59" i="26"/>
  <c r="J59" i="26"/>
  <c r="K59" i="26"/>
  <c r="L59" i="26"/>
  <c r="D59" i="26"/>
  <c r="E55" i="26"/>
  <c r="F55" i="26"/>
  <c r="G55" i="26"/>
  <c r="H55" i="26"/>
  <c r="I55" i="26"/>
  <c r="J55" i="26"/>
  <c r="K55" i="26"/>
  <c r="L55" i="26"/>
  <c r="D55" i="26"/>
  <c r="E53" i="26"/>
  <c r="F53" i="26"/>
  <c r="G53" i="26"/>
  <c r="H53" i="26"/>
  <c r="I53" i="26"/>
  <c r="J53" i="26"/>
  <c r="K53" i="26"/>
  <c r="E51" i="26"/>
  <c r="F51" i="26"/>
  <c r="G51" i="26"/>
  <c r="H51" i="26"/>
  <c r="I51" i="26"/>
  <c r="J51" i="26"/>
  <c r="K51" i="26"/>
  <c r="L51" i="26"/>
  <c r="D51" i="26"/>
  <c r="E48" i="26"/>
  <c r="F48" i="26"/>
  <c r="G48" i="26"/>
  <c r="H48" i="26"/>
  <c r="I48" i="26"/>
  <c r="J48" i="26"/>
  <c r="K48" i="26"/>
  <c r="L48" i="26"/>
  <c r="D48" i="26"/>
  <c r="E41" i="26"/>
  <c r="F41" i="26"/>
  <c r="G41" i="26"/>
  <c r="H41" i="26"/>
  <c r="I41" i="26"/>
  <c r="J41" i="26"/>
  <c r="K41" i="26"/>
  <c r="L41" i="26"/>
  <c r="E42" i="26"/>
  <c r="F42" i="26"/>
  <c r="G42" i="26"/>
  <c r="H42" i="26"/>
  <c r="I42" i="26"/>
  <c r="J42" i="26"/>
  <c r="K42" i="26"/>
  <c r="L42" i="26"/>
  <c r="E43" i="26"/>
  <c r="F43" i="26"/>
  <c r="G43" i="26"/>
  <c r="H43" i="26"/>
  <c r="I43" i="26"/>
  <c r="J43" i="26"/>
  <c r="K43" i="26"/>
  <c r="L43" i="26"/>
  <c r="E44" i="26"/>
  <c r="F44" i="26"/>
  <c r="G44" i="26"/>
  <c r="H44" i="26"/>
  <c r="I44" i="26"/>
  <c r="J44" i="26"/>
  <c r="K44" i="26"/>
  <c r="L44" i="26"/>
  <c r="E45" i="26"/>
  <c r="F45" i="26"/>
  <c r="G45" i="26"/>
  <c r="H45" i="26"/>
  <c r="I45" i="26"/>
  <c r="J45" i="26"/>
  <c r="K45" i="26"/>
  <c r="L45" i="26"/>
  <c r="E46" i="26"/>
  <c r="F46" i="26"/>
  <c r="G46" i="26"/>
  <c r="H46" i="26"/>
  <c r="I46" i="26"/>
  <c r="J46" i="26"/>
  <c r="K46" i="26"/>
  <c r="L46" i="26"/>
  <c r="D42" i="26"/>
  <c r="D43" i="26"/>
  <c r="D44" i="26"/>
  <c r="D45" i="26"/>
  <c r="D46" i="26"/>
  <c r="D41" i="26"/>
  <c r="K56" i="7"/>
  <c r="D53" i="26"/>
  <c r="E37" i="26"/>
  <c r="F37" i="26"/>
  <c r="G37" i="26"/>
  <c r="H37" i="26"/>
  <c r="I37" i="26"/>
  <c r="J37" i="26"/>
  <c r="K37" i="26"/>
  <c r="L37" i="26"/>
  <c r="D37" i="26"/>
  <c r="E29" i="26"/>
  <c r="F29" i="26"/>
  <c r="G29" i="26"/>
  <c r="H29" i="26"/>
  <c r="I29" i="26"/>
  <c r="J29" i="26"/>
  <c r="K29" i="26"/>
  <c r="L29" i="26"/>
  <c r="E30" i="26"/>
  <c r="F30" i="26"/>
  <c r="G30" i="26"/>
  <c r="H30" i="26"/>
  <c r="I30" i="26"/>
  <c r="J30" i="26"/>
  <c r="K30" i="26"/>
  <c r="L30" i="26"/>
  <c r="E31" i="26"/>
  <c r="F31" i="26"/>
  <c r="G31" i="26"/>
  <c r="H31" i="26"/>
  <c r="I31" i="26"/>
  <c r="J31" i="26"/>
  <c r="K31" i="26"/>
  <c r="L31" i="26"/>
  <c r="E32" i="26"/>
  <c r="F32" i="26"/>
  <c r="G32" i="26"/>
  <c r="H32" i="26"/>
  <c r="I32" i="26"/>
  <c r="J32" i="26"/>
  <c r="K32" i="26"/>
  <c r="L32" i="26"/>
  <c r="E33" i="26"/>
  <c r="F33" i="26"/>
  <c r="G33" i="26"/>
  <c r="H33" i="26"/>
  <c r="I33" i="26"/>
  <c r="J33" i="26"/>
  <c r="K33" i="26"/>
  <c r="L33" i="26"/>
  <c r="E34" i="26"/>
  <c r="F34" i="26"/>
  <c r="G34" i="26"/>
  <c r="H34" i="26"/>
  <c r="I34" i="26"/>
  <c r="J34" i="26"/>
  <c r="K34" i="26"/>
  <c r="L34" i="26"/>
  <c r="E35" i="26"/>
  <c r="F35" i="26"/>
  <c r="G35" i="26"/>
  <c r="H35" i="26"/>
  <c r="I35" i="26"/>
  <c r="J35" i="26"/>
  <c r="K35" i="26"/>
  <c r="L35" i="26"/>
  <c r="D35" i="26"/>
  <c r="D34" i="26"/>
  <c r="D33" i="26"/>
  <c r="D32" i="26"/>
  <c r="D31" i="26"/>
  <c r="D30" i="26"/>
  <c r="D29" i="26"/>
  <c r="E26" i="26"/>
  <c r="F26" i="26"/>
  <c r="G26" i="26"/>
  <c r="H26" i="26"/>
  <c r="I26" i="26"/>
  <c r="J26" i="26"/>
  <c r="K26" i="26"/>
  <c r="L26" i="26"/>
  <c r="D26" i="26"/>
  <c r="E21" i="26"/>
  <c r="F21" i="26"/>
  <c r="G21" i="26"/>
  <c r="H21" i="26"/>
  <c r="I21" i="26"/>
  <c r="J21" i="26"/>
  <c r="K21" i="26"/>
  <c r="L21" i="26"/>
  <c r="E22" i="26"/>
  <c r="F22" i="26"/>
  <c r="G22" i="26"/>
  <c r="H22" i="26"/>
  <c r="I22" i="26"/>
  <c r="J22" i="26"/>
  <c r="K22" i="26"/>
  <c r="L22" i="26"/>
  <c r="E23" i="26"/>
  <c r="F23" i="26"/>
  <c r="G23" i="26"/>
  <c r="H23" i="26"/>
  <c r="I23" i="26"/>
  <c r="J23" i="26"/>
  <c r="K23" i="26"/>
  <c r="L23" i="26"/>
  <c r="E24" i="26"/>
  <c r="F24" i="26"/>
  <c r="G24" i="26"/>
  <c r="H24" i="26"/>
  <c r="I24" i="26"/>
  <c r="J24" i="26"/>
  <c r="K24" i="26"/>
  <c r="L24" i="26"/>
  <c r="L20" i="26"/>
  <c r="K20" i="26"/>
  <c r="J20" i="26"/>
  <c r="I20" i="26"/>
  <c r="H20" i="26"/>
  <c r="G20" i="26"/>
  <c r="F20" i="26"/>
  <c r="E20" i="26"/>
  <c r="L19" i="26"/>
  <c r="K19" i="26"/>
  <c r="J19" i="26"/>
  <c r="I19" i="26"/>
  <c r="H19" i="26"/>
  <c r="G19" i="26"/>
  <c r="F19" i="26"/>
  <c r="E19" i="26"/>
  <c r="E18" i="26"/>
  <c r="F18" i="26"/>
  <c r="G18" i="26"/>
  <c r="H18" i="26"/>
  <c r="I18" i="26"/>
  <c r="J18" i="26"/>
  <c r="K18" i="26"/>
  <c r="L18" i="26"/>
  <c r="E17" i="26"/>
  <c r="F17" i="26"/>
  <c r="G17" i="26"/>
  <c r="H17" i="26"/>
  <c r="I17" i="26"/>
  <c r="J17" i="26"/>
  <c r="K17" i="26"/>
  <c r="L17" i="26"/>
  <c r="E16" i="26"/>
  <c r="F16" i="26"/>
  <c r="G16" i="26"/>
  <c r="H16" i="26"/>
  <c r="I16" i="26"/>
  <c r="J16" i="26"/>
  <c r="K16" i="26"/>
  <c r="L16" i="26"/>
  <c r="E15" i="26"/>
  <c r="F15" i="26"/>
  <c r="G15" i="26"/>
  <c r="H15" i="26"/>
  <c r="I15" i="26"/>
  <c r="J15" i="26"/>
  <c r="K15" i="26"/>
  <c r="L15" i="26"/>
  <c r="D24" i="26"/>
  <c r="D23" i="26"/>
  <c r="D22" i="26"/>
  <c r="D21" i="26"/>
  <c r="D20" i="26"/>
  <c r="D19" i="26"/>
  <c r="D18" i="26"/>
  <c r="D17" i="26"/>
  <c r="D16" i="26"/>
  <c r="D15" i="26"/>
  <c r="E13" i="26"/>
  <c r="F13" i="26"/>
  <c r="G13" i="26"/>
  <c r="H13" i="26"/>
  <c r="I13" i="26"/>
  <c r="J13" i="26"/>
  <c r="K13" i="26"/>
  <c r="L13" i="26"/>
  <c r="E12" i="26"/>
  <c r="F12" i="26"/>
  <c r="G12" i="26"/>
  <c r="H12" i="26"/>
  <c r="I12" i="26"/>
  <c r="J12" i="26"/>
  <c r="K12" i="26"/>
  <c r="L12" i="26"/>
  <c r="E11" i="26"/>
  <c r="F11" i="26"/>
  <c r="G11" i="26"/>
  <c r="H11" i="26"/>
  <c r="I11" i="26"/>
  <c r="J11" i="26"/>
  <c r="K11" i="26"/>
  <c r="L11" i="26"/>
  <c r="E10" i="26"/>
  <c r="F10" i="26"/>
  <c r="G10" i="26"/>
  <c r="H10" i="26"/>
  <c r="I10" i="26"/>
  <c r="J10" i="26"/>
  <c r="K10" i="26"/>
  <c r="L10" i="26"/>
  <c r="D13" i="26"/>
  <c r="D12" i="26"/>
  <c r="D11" i="26"/>
  <c r="D10" i="26"/>
  <c r="L9" i="26"/>
  <c r="K9" i="26"/>
  <c r="J9" i="26"/>
  <c r="I9" i="26"/>
  <c r="H9" i="26"/>
  <c r="G9" i="26"/>
  <c r="F9" i="26"/>
  <c r="E9" i="26"/>
  <c r="D9" i="26"/>
  <c r="G8" i="26"/>
  <c r="H8" i="26"/>
  <c r="I8" i="26"/>
  <c r="J8" i="26"/>
  <c r="K8" i="26"/>
  <c r="L8" i="26"/>
  <c r="E8" i="26"/>
  <c r="F8" i="26"/>
  <c r="D8" i="26"/>
  <c r="E6" i="26"/>
  <c r="F6" i="26"/>
  <c r="G6" i="26"/>
  <c r="H6" i="26"/>
  <c r="I6" i="26"/>
  <c r="J6" i="26"/>
  <c r="K6" i="26"/>
  <c r="L6" i="26"/>
  <c r="D6" i="26"/>
  <c r="L3" i="26"/>
  <c r="M3" i="26" s="1"/>
  <c r="N3" i="26" s="1"/>
  <c r="O3" i="26" s="1"/>
  <c r="P3" i="26" s="1"/>
  <c r="Q3" i="26" s="1"/>
  <c r="R3" i="26" s="1"/>
  <c r="R45" i="26"/>
  <c r="Q45" i="26"/>
  <c r="P45" i="26"/>
  <c r="O45" i="26"/>
  <c r="N45" i="26"/>
  <c r="M45" i="26"/>
  <c r="R44" i="26"/>
  <c r="Q44" i="26"/>
  <c r="P44" i="26"/>
  <c r="O44" i="26"/>
  <c r="N44" i="26"/>
  <c r="M44" i="26"/>
  <c r="R42" i="26"/>
  <c r="Q42" i="26"/>
  <c r="P42" i="26"/>
  <c r="O42" i="26"/>
  <c r="N42" i="26"/>
  <c r="M42" i="26"/>
  <c r="R34" i="26"/>
  <c r="Q34" i="26"/>
  <c r="P34" i="26"/>
  <c r="O34" i="26"/>
  <c r="N34" i="26"/>
  <c r="M34" i="26"/>
  <c r="M33" i="26"/>
  <c r="R30" i="26"/>
  <c r="Q30" i="26"/>
  <c r="P30" i="26"/>
  <c r="O30" i="26"/>
  <c r="N30" i="26"/>
  <c r="M30" i="26"/>
  <c r="R20" i="26"/>
  <c r="Q20" i="26"/>
  <c r="P20" i="26"/>
  <c r="O20" i="26"/>
  <c r="N20" i="26"/>
  <c r="M20" i="26"/>
  <c r="U21" i="26"/>
  <c r="T21" i="26"/>
  <c r="U35" i="26"/>
  <c r="R10" i="26"/>
  <c r="Q10" i="26"/>
  <c r="P10" i="26"/>
  <c r="O10" i="26"/>
  <c r="M10" i="26"/>
  <c r="E3" i="26"/>
  <c r="F3" i="26" s="1"/>
  <c r="G3" i="26" s="1"/>
  <c r="H3" i="26" s="1"/>
  <c r="I3" i="26" s="1"/>
  <c r="J3" i="26" s="1"/>
  <c r="K3" i="26" s="1"/>
  <c r="H42" i="23"/>
  <c r="L30" i="23"/>
  <c r="M30" i="23"/>
  <c r="N30" i="23"/>
  <c r="K30" i="23"/>
  <c r="Q15" i="31" l="1"/>
  <c r="R63" i="31"/>
  <c r="P110" i="30"/>
  <c r="P115" i="30" s="1"/>
  <c r="M141" i="30"/>
  <c r="O141" i="30" s="1"/>
  <c r="O99" i="30" s="1"/>
  <c r="O105" i="30" s="1"/>
  <c r="O11" i="30" s="1"/>
  <c r="M14" i="30"/>
  <c r="O55" i="30"/>
  <c r="S111" i="30"/>
  <c r="O19" i="30"/>
  <c r="R51" i="30"/>
  <c r="H161" i="30"/>
  <c r="I152" i="30"/>
  <c r="R66" i="30"/>
  <c r="Q65" i="30"/>
  <c r="T110" i="30"/>
  <c r="Q110" i="30"/>
  <c r="M87" i="28"/>
  <c r="K85" i="28"/>
  <c r="N123" i="28"/>
  <c r="N124" i="28" s="1"/>
  <c r="P117" i="28"/>
  <c r="N85" i="28"/>
  <c r="I41" i="28"/>
  <c r="M121" i="28"/>
  <c r="J93" i="28"/>
  <c r="J94" i="28" s="1"/>
  <c r="J22" i="28"/>
  <c r="J23" i="28"/>
  <c r="N25" i="28"/>
  <c r="O18" i="28"/>
  <c r="P73" i="30"/>
  <c r="P72" i="30" s="1"/>
  <c r="P71" i="30" s="1"/>
  <c r="P69" i="30" s="1"/>
  <c r="R62" i="31"/>
  <c r="R15" i="31" s="1"/>
  <c r="E51" i="27"/>
  <c r="H42" i="30"/>
  <c r="L39" i="30"/>
  <c r="N42" i="30"/>
  <c r="N43" i="30"/>
  <c r="S64" i="31"/>
  <c r="R8" i="31"/>
  <c r="S78" i="30"/>
  <c r="R28" i="30"/>
  <c r="S43" i="24" s="1"/>
  <c r="R74" i="30"/>
  <c r="Q73" i="30"/>
  <c r="R87" i="30"/>
  <c r="Q35" i="30"/>
  <c r="R50" i="24" s="1"/>
  <c r="R107" i="30"/>
  <c r="S155" i="30"/>
  <c r="S107" i="30" s="1"/>
  <c r="P61" i="30"/>
  <c r="P82" i="30"/>
  <c r="O81" i="30"/>
  <c r="O80" i="30" s="1"/>
  <c r="T62" i="30"/>
  <c r="Q111" i="30"/>
  <c r="Q115" i="30" s="1"/>
  <c r="T111" i="30"/>
  <c r="R111" i="30"/>
  <c r="T70" i="30"/>
  <c r="P143" i="30"/>
  <c r="O120" i="30"/>
  <c r="O121" i="30"/>
  <c r="O122" i="30"/>
  <c r="N14" i="30"/>
  <c r="N27" i="30"/>
  <c r="R91" i="30"/>
  <c r="Q90" i="30"/>
  <c r="Q39" i="30"/>
  <c r="P38" i="30"/>
  <c r="S154" i="30"/>
  <c r="S97" i="30" s="1"/>
  <c r="O88" i="30"/>
  <c r="O37" i="30"/>
  <c r="O36" i="30" s="1"/>
  <c r="P51" i="24" s="1"/>
  <c r="Q17" i="30"/>
  <c r="R46" i="24" s="1"/>
  <c r="P91" i="29"/>
  <c r="Q91" i="29" s="1"/>
  <c r="P68" i="29"/>
  <c r="Q68" i="29" s="1"/>
  <c r="R80" i="29"/>
  <c r="P94" i="29"/>
  <c r="N90" i="29"/>
  <c r="O90" i="29" s="1"/>
  <c r="T65" i="29"/>
  <c r="Q62" i="29"/>
  <c r="P70" i="29"/>
  <c r="Q70" i="29" s="1"/>
  <c r="S53" i="29"/>
  <c r="P64" i="29"/>
  <c r="Q64" i="29" s="1"/>
  <c r="Q59" i="29"/>
  <c r="Q67" i="29"/>
  <c r="Q76" i="29"/>
  <c r="R46" i="29"/>
  <c r="S46" i="29" s="1"/>
  <c r="T46" i="29" s="1"/>
  <c r="Q58" i="29"/>
  <c r="Q78" i="29"/>
  <c r="T61" i="29"/>
  <c r="S77" i="29"/>
  <c r="R50" i="29"/>
  <c r="N92" i="29"/>
  <c r="O92" i="29" s="1"/>
  <c r="Q71" i="29"/>
  <c r="N93" i="29"/>
  <c r="O93" i="29" s="1"/>
  <c r="Q52" i="29"/>
  <c r="P72" i="29"/>
  <c r="S45" i="29"/>
  <c r="T45" i="29" s="1"/>
  <c r="N95" i="29"/>
  <c r="O95" i="29" s="1"/>
  <c r="Q74" i="29"/>
  <c r="Q79" i="29"/>
  <c r="T51" i="29"/>
  <c r="Q73" i="29"/>
  <c r="S69" i="29"/>
  <c r="Q63" i="29"/>
  <c r="Q110" i="28"/>
  <c r="L110" i="28"/>
  <c r="N110" i="28"/>
  <c r="K110" i="28"/>
  <c r="J85" i="28"/>
  <c r="L85" i="28"/>
  <c r="E46" i="27"/>
  <c r="J121" i="28"/>
  <c r="I48" i="28"/>
  <c r="L121" i="28"/>
  <c r="K121" i="28"/>
  <c r="L37" i="28"/>
  <c r="K90" i="28"/>
  <c r="K91" i="28" s="1"/>
  <c r="L56" i="28"/>
  <c r="L70" i="28" s="1"/>
  <c r="N91" i="28"/>
  <c r="M46" i="28"/>
  <c r="M91" i="28"/>
  <c r="L93" i="28"/>
  <c r="L94" i="28" s="1"/>
  <c r="N121" i="28"/>
  <c r="I81" i="28"/>
  <c r="I93" i="28" s="1"/>
  <c r="I94" i="28" s="1"/>
  <c r="I12" i="28"/>
  <c r="I52" i="28"/>
  <c r="J12" i="28"/>
  <c r="M25" i="28"/>
  <c r="H118" i="28"/>
  <c r="H121" i="28"/>
  <c r="I121" i="28"/>
  <c r="H123" i="28"/>
  <c r="H124" i="28" s="1"/>
  <c r="I91" i="28"/>
  <c r="J87" i="28"/>
  <c r="J118" i="28"/>
  <c r="L18" i="28"/>
  <c r="J25" i="28"/>
  <c r="O118" i="28"/>
  <c r="M23" i="28"/>
  <c r="M18" i="28"/>
  <c r="P8" i="28"/>
  <c r="Q8" i="28" s="1"/>
  <c r="M24" i="28"/>
  <c r="M56" i="28"/>
  <c r="M71" i="28" s="1"/>
  <c r="O31" i="27"/>
  <c r="O32" i="27"/>
  <c r="N32" i="27"/>
  <c r="N30" i="27"/>
  <c r="N29" i="27"/>
  <c r="M32" i="27"/>
  <c r="M16" i="27"/>
  <c r="K22" i="28"/>
  <c r="M11" i="28"/>
  <c r="O14" i="28"/>
  <c r="N18" i="28"/>
  <c r="L22" i="28"/>
  <c r="N11" i="28"/>
  <c r="N12" i="28"/>
  <c r="K23" i="28"/>
  <c r="N52" i="28"/>
  <c r="O91" i="28"/>
  <c r="K123" i="28"/>
  <c r="K124" i="28" s="1"/>
  <c r="K118" i="28"/>
  <c r="O11" i="28"/>
  <c r="N22" i="28"/>
  <c r="L23" i="28"/>
  <c r="J24" i="28"/>
  <c r="L62" i="28"/>
  <c r="K87" i="28"/>
  <c r="K82" i="28"/>
  <c r="K93" i="28"/>
  <c r="K94" i="28" s="1"/>
  <c r="O52" i="28"/>
  <c r="L11" i="28"/>
  <c r="K24" i="28"/>
  <c r="N23" i="28"/>
  <c r="L24" i="28"/>
  <c r="L25" i="28"/>
  <c r="J63" i="28"/>
  <c r="M88" i="28"/>
  <c r="K18" i="28"/>
  <c r="N87" i="28"/>
  <c r="N88" i="28" s="1"/>
  <c r="N82" i="28"/>
  <c r="N93" i="28"/>
  <c r="N94" i="28" s="1"/>
  <c r="N24" i="28"/>
  <c r="O85" i="28"/>
  <c r="I34" i="28"/>
  <c r="N45" i="28"/>
  <c r="L46" i="28"/>
  <c r="L61" i="28"/>
  <c r="J62" i="28"/>
  <c r="N64" i="28"/>
  <c r="I118" i="28"/>
  <c r="O123" i="28"/>
  <c r="O124" i="28" s="1"/>
  <c r="P124" i="28" s="1"/>
  <c r="N46" i="28"/>
  <c r="L47" i="28"/>
  <c r="I49" i="28"/>
  <c r="M93" i="28"/>
  <c r="M94" i="28" s="1"/>
  <c r="I45" i="28"/>
  <c r="M47" i="28"/>
  <c r="M62" i="28"/>
  <c r="K63" i="28"/>
  <c r="L82" i="28"/>
  <c r="L118" i="28"/>
  <c r="M34" i="28"/>
  <c r="N47" i="28"/>
  <c r="L48" i="28"/>
  <c r="N62" i="28"/>
  <c r="L63" i="28"/>
  <c r="M82" i="28"/>
  <c r="M118" i="28"/>
  <c r="N34" i="28"/>
  <c r="M41" i="28"/>
  <c r="I46" i="28"/>
  <c r="M48" i="28"/>
  <c r="L49" i="28"/>
  <c r="I61" i="28"/>
  <c r="O62" i="28"/>
  <c r="M63" i="28"/>
  <c r="H93" i="28"/>
  <c r="H94" i="28" s="1"/>
  <c r="N118" i="28"/>
  <c r="O33" i="28"/>
  <c r="O48" i="28" s="1"/>
  <c r="O40" i="28"/>
  <c r="N41" i="28"/>
  <c r="N48" i="28"/>
  <c r="M49" i="28"/>
  <c r="J61" i="28"/>
  <c r="N63" i="28"/>
  <c r="O63" i="28"/>
  <c r="D46" i="27"/>
  <c r="E42" i="27"/>
  <c r="D42" i="27"/>
  <c r="D29" i="27"/>
  <c r="D22" i="27"/>
  <c r="D17" i="27"/>
  <c r="D7" i="27"/>
  <c r="O49" i="27" s="1"/>
  <c r="O54" i="27"/>
  <c r="N54" i="27"/>
  <c r="K8" i="27"/>
  <c r="O50" i="27"/>
  <c r="P78" i="27" s="1"/>
  <c r="O27" i="27"/>
  <c r="O25" i="27"/>
  <c r="P73" i="27"/>
  <c r="P71" i="27"/>
  <c r="O52" i="27"/>
  <c r="E33" i="27"/>
  <c r="M52" i="27"/>
  <c r="M49" i="27"/>
  <c r="M50" i="27"/>
  <c r="N78" i="27" s="1"/>
  <c r="M27" i="27"/>
  <c r="M25" i="27"/>
  <c r="D77" i="27"/>
  <c r="N73" i="27" s="1"/>
  <c r="N52" i="27"/>
  <c r="D33" i="27"/>
  <c r="O73" i="27"/>
  <c r="O84" i="27" s="1"/>
  <c r="N50" i="27"/>
  <c r="O78" i="27" s="1"/>
  <c r="N27" i="27"/>
  <c r="O71" i="27"/>
  <c r="O82" i="27" s="1"/>
  <c r="M30" i="27"/>
  <c r="M31" i="27"/>
  <c r="N10" i="27"/>
  <c r="Y37" i="27"/>
  <c r="Z37" i="27" s="1"/>
  <c r="AA37" i="27" s="1"/>
  <c r="AB37" i="27" s="1"/>
  <c r="AC37" i="27" s="1"/>
  <c r="AD37" i="27" s="1"/>
  <c r="O10" i="27"/>
  <c r="D51" i="27"/>
  <c r="C54" i="27"/>
  <c r="D54" i="27"/>
  <c r="E54" i="27"/>
  <c r="D57" i="26"/>
  <c r="AD48" i="26"/>
  <c r="AD15" i="26"/>
  <c r="AD26" i="26" s="1"/>
  <c r="AD37" i="26"/>
  <c r="AC37" i="26"/>
  <c r="AC15" i="26"/>
  <c r="AC26" i="26" s="1"/>
  <c r="AC48" i="26"/>
  <c r="T59" i="26"/>
  <c r="U59" i="26"/>
  <c r="N10" i="26"/>
  <c r="O33" i="23"/>
  <c r="H33" i="23"/>
  <c r="P7" i="28" l="1"/>
  <c r="P15" i="28" s="1"/>
  <c r="O20" i="30"/>
  <c r="O21" i="30" s="1"/>
  <c r="O18" i="30"/>
  <c r="P47" i="24" s="1"/>
  <c r="I158" i="30"/>
  <c r="I161" i="30" s="1"/>
  <c r="S66" i="30"/>
  <c r="R65" i="30"/>
  <c r="Q64" i="30"/>
  <c r="P41" i="24"/>
  <c r="O9" i="30"/>
  <c r="R17" i="30"/>
  <c r="S46" i="24" s="1"/>
  <c r="S112" i="30"/>
  <c r="S51" i="30"/>
  <c r="J82" i="28"/>
  <c r="I82" i="28"/>
  <c r="M73" i="28"/>
  <c r="M26" i="28"/>
  <c r="N26" i="28"/>
  <c r="R68" i="29"/>
  <c r="O33" i="27"/>
  <c r="O46" i="27" s="1"/>
  <c r="P81" i="27"/>
  <c r="M53" i="27"/>
  <c r="N81" i="27"/>
  <c r="S63" i="31"/>
  <c r="S62" i="31" s="1"/>
  <c r="S15" i="31" s="1"/>
  <c r="P19" i="30"/>
  <c r="P20" i="30" s="1"/>
  <c r="P21" i="30" s="1"/>
  <c r="S8" i="31"/>
  <c r="T64" i="31"/>
  <c r="T8" i="31" s="1"/>
  <c r="O86" i="30"/>
  <c r="P89" i="30" s="1"/>
  <c r="P37" i="30" s="1"/>
  <c r="P36" i="30" s="1"/>
  <c r="Q51" i="24" s="1"/>
  <c r="P81" i="30"/>
  <c r="Q82" i="30"/>
  <c r="T155" i="30"/>
  <c r="T107" i="30" s="1"/>
  <c r="T114" i="30" s="1"/>
  <c r="T112" i="30"/>
  <c r="R112" i="30"/>
  <c r="R115" i="30" s="1"/>
  <c r="T78" i="30"/>
  <c r="S28" i="30"/>
  <c r="T43" i="24" s="1"/>
  <c r="O79" i="30"/>
  <c r="O126" i="30"/>
  <c r="O30" i="30" s="1"/>
  <c r="O16" i="30"/>
  <c r="O34" i="30"/>
  <c r="P141" i="30"/>
  <c r="P99" i="30"/>
  <c r="R99" i="30"/>
  <c r="T99" i="30"/>
  <c r="Q99" i="30"/>
  <c r="S99" i="30"/>
  <c r="Q54" i="30"/>
  <c r="Q38" i="30"/>
  <c r="Q143" i="30"/>
  <c r="P123" i="30"/>
  <c r="P120" i="30"/>
  <c r="P121" i="30"/>
  <c r="P122" i="30"/>
  <c r="T154" i="30"/>
  <c r="T97" i="30" s="1"/>
  <c r="S87" i="30"/>
  <c r="R35" i="30"/>
  <c r="S50" i="24" s="1"/>
  <c r="R39" i="30"/>
  <c r="S91" i="30"/>
  <c r="R90" i="30"/>
  <c r="Q72" i="30"/>
  <c r="Q71" i="30" s="1"/>
  <c r="Q63" i="30"/>
  <c r="S74" i="30"/>
  <c r="R73" i="30"/>
  <c r="P92" i="29"/>
  <c r="T77" i="29"/>
  <c r="T53" i="29"/>
  <c r="R76" i="29"/>
  <c r="S76" i="29" s="1"/>
  <c r="T69" i="29"/>
  <c r="P95" i="29"/>
  <c r="Q95" i="29" s="1"/>
  <c r="S68" i="29"/>
  <c r="R63" i="29"/>
  <c r="Q94" i="29"/>
  <c r="R79" i="29"/>
  <c r="R52" i="29"/>
  <c r="R71" i="29"/>
  <c r="R58" i="29"/>
  <c r="S80" i="29"/>
  <c r="R67" i="29"/>
  <c r="S67" i="29" s="1"/>
  <c r="S50" i="29"/>
  <c r="R73" i="29"/>
  <c r="P60" i="29"/>
  <c r="R62" i="29"/>
  <c r="S62" i="29" s="1"/>
  <c r="T62" i="29" s="1"/>
  <c r="R78" i="29"/>
  <c r="S78" i="29" s="1"/>
  <c r="T78" i="29" s="1"/>
  <c r="Q92" i="29"/>
  <c r="Q60" i="29"/>
  <c r="R91" i="29"/>
  <c r="P93" i="29"/>
  <c r="P90" i="29"/>
  <c r="Q90" i="29" s="1"/>
  <c r="R90" i="29" s="1"/>
  <c r="S90" i="29" s="1"/>
  <c r="T90" i="29" s="1"/>
  <c r="R74" i="29"/>
  <c r="R59" i="29"/>
  <c r="R70" i="29"/>
  <c r="Q72" i="29"/>
  <c r="R64" i="29"/>
  <c r="P66" i="29"/>
  <c r="K88" i="28"/>
  <c r="L91" i="28"/>
  <c r="L65" i="28"/>
  <c r="L72" i="28"/>
  <c r="L71" i="28"/>
  <c r="L73" i="28"/>
  <c r="I87" i="28"/>
  <c r="I88" i="28" s="1"/>
  <c r="J26" i="28"/>
  <c r="P31" i="28"/>
  <c r="P39" i="28" s="1"/>
  <c r="M65" i="28"/>
  <c r="M57" i="28"/>
  <c r="M72" i="28"/>
  <c r="M70" i="28"/>
  <c r="O30" i="27"/>
  <c r="N31" i="27"/>
  <c r="N55" i="27"/>
  <c r="O55" i="27"/>
  <c r="K26" i="28"/>
  <c r="Q124" i="28"/>
  <c r="P123" i="28"/>
  <c r="P120" i="28" s="1"/>
  <c r="P121" i="28" s="1"/>
  <c r="R8" i="28"/>
  <c r="L26" i="28"/>
  <c r="Q117" i="28"/>
  <c r="O41" i="28"/>
  <c r="O34" i="28"/>
  <c r="O47" i="28"/>
  <c r="O46" i="28"/>
  <c r="O49" i="28"/>
  <c r="O45" i="28"/>
  <c r="L88" i="28"/>
  <c r="O61" i="28"/>
  <c r="Q84" i="28"/>
  <c r="P6" i="28"/>
  <c r="P12" i="28" s="1"/>
  <c r="O82" i="28"/>
  <c r="O93" i="28"/>
  <c r="O94" i="28" s="1"/>
  <c r="O55" i="28"/>
  <c r="O56" i="28" s="1"/>
  <c r="O70" i="28" s="1"/>
  <c r="O25" i="28"/>
  <c r="O26" i="28" s="1"/>
  <c r="O17" i="28"/>
  <c r="P9" i="28" s="1"/>
  <c r="N61" i="28"/>
  <c r="N56" i="28"/>
  <c r="N70" i="28" s="1"/>
  <c r="N49" i="27"/>
  <c r="C53" i="27"/>
  <c r="O53" i="27"/>
  <c r="E52" i="27"/>
  <c r="E53" i="27" s="1"/>
  <c r="D53" i="27"/>
  <c r="M33" i="27"/>
  <c r="M46" i="27" s="1"/>
  <c r="F52" i="27"/>
  <c r="N13" i="27"/>
  <c r="N15" i="27" s="1"/>
  <c r="N11" i="27"/>
  <c r="N48" i="27"/>
  <c r="O77" i="27"/>
  <c r="O13" i="27"/>
  <c r="O11" i="27"/>
  <c r="D81" i="27"/>
  <c r="N77" i="27" s="1"/>
  <c r="M48" i="27"/>
  <c r="P77" i="27"/>
  <c r="O48" i="27"/>
  <c r="AD51" i="26"/>
  <c r="AC51" i="26"/>
  <c r="AC53" i="26"/>
  <c r="D26" i="23"/>
  <c r="G26" i="25"/>
  <c r="G25" i="25"/>
  <c r="G24" i="25"/>
  <c r="G20" i="25"/>
  <c r="I20" i="25"/>
  <c r="I123" i="25" s="1"/>
  <c r="J20" i="25"/>
  <c r="K20" i="25"/>
  <c r="L20" i="25"/>
  <c r="M20" i="25"/>
  <c r="M123" i="25" s="1"/>
  <c r="N20" i="25"/>
  <c r="O20" i="25"/>
  <c r="O123" i="25" s="1"/>
  <c r="O125" i="25" s="1"/>
  <c r="O24" i="25"/>
  <c r="I25" i="25"/>
  <c r="J25" i="25"/>
  <c r="K25" i="25"/>
  <c r="L25" i="25"/>
  <c r="M25" i="25"/>
  <c r="N25" i="25"/>
  <c r="O25" i="25"/>
  <c r="H25" i="25"/>
  <c r="H26" i="25"/>
  <c r="P4" i="25"/>
  <c r="Q4" i="25" s="1"/>
  <c r="G105" i="25"/>
  <c r="H24" i="25" s="1"/>
  <c r="I105" i="25"/>
  <c r="H105" i="25"/>
  <c r="I24" i="25" s="1"/>
  <c r="M105" i="25"/>
  <c r="N24" i="25" s="1"/>
  <c r="L106" i="25"/>
  <c r="N106" i="25"/>
  <c r="O105" i="25"/>
  <c r="O106" i="25"/>
  <c r="K106" i="25"/>
  <c r="J106" i="25"/>
  <c r="H20" i="25"/>
  <c r="J115" i="25"/>
  <c r="Q115" i="25"/>
  <c r="R115" i="25" s="1"/>
  <c r="S115" i="25" s="1"/>
  <c r="T115" i="25" s="1"/>
  <c r="U115" i="25" s="1"/>
  <c r="U96" i="25"/>
  <c r="T96" i="25"/>
  <c r="S96" i="25"/>
  <c r="R96" i="25"/>
  <c r="Q96" i="25"/>
  <c r="U89" i="25"/>
  <c r="T89" i="25"/>
  <c r="S89" i="25"/>
  <c r="R89" i="25"/>
  <c r="Q89" i="25"/>
  <c r="F28" i="25"/>
  <c r="E28" i="25"/>
  <c r="N26" i="25"/>
  <c r="J26" i="25"/>
  <c r="I26" i="25"/>
  <c r="M24" i="25"/>
  <c r="L24" i="25"/>
  <c r="K24" i="25"/>
  <c r="J24" i="25"/>
  <c r="U22" i="25"/>
  <c r="T22" i="25"/>
  <c r="S22" i="25"/>
  <c r="R22" i="25"/>
  <c r="Q22" i="25"/>
  <c r="P22" i="25"/>
  <c r="K22" i="25"/>
  <c r="J22" i="25"/>
  <c r="F17" i="25"/>
  <c r="E17" i="25"/>
  <c r="D17" i="25"/>
  <c r="U14" i="25"/>
  <c r="U114" i="24" s="1"/>
  <c r="T14" i="25"/>
  <c r="T114" i="24" s="1"/>
  <c r="S14" i="25"/>
  <c r="S114" i="24" s="1"/>
  <c r="R14" i="25"/>
  <c r="R114" i="24" s="1"/>
  <c r="Q14" i="25"/>
  <c r="Q114" i="24" s="1"/>
  <c r="P14" i="25"/>
  <c r="P114" i="24" s="1"/>
  <c r="U13" i="25"/>
  <c r="U113" i="24" s="1"/>
  <c r="T13" i="25"/>
  <c r="T113" i="24" s="1"/>
  <c r="S13" i="25"/>
  <c r="S113" i="24" s="1"/>
  <c r="R13" i="25"/>
  <c r="R113" i="24" s="1"/>
  <c r="Q13" i="25"/>
  <c r="Q113" i="24" s="1"/>
  <c r="P13" i="25"/>
  <c r="P113" i="24" s="1"/>
  <c r="A7" i="25"/>
  <c r="A8" i="25" s="1"/>
  <c r="A9" i="25" s="1"/>
  <c r="A10" i="25" s="1"/>
  <c r="A11" i="25" s="1"/>
  <c r="A12" i="25" s="1"/>
  <c r="A13" i="25" s="1"/>
  <c r="A14" i="25" s="1"/>
  <c r="A15" i="25" s="1"/>
  <c r="G6" i="25"/>
  <c r="P18" i="25"/>
  <c r="P32" i="25" s="1"/>
  <c r="P111" i="25" s="1"/>
  <c r="O32" i="25"/>
  <c r="O111" i="25" s="1"/>
  <c r="N32" i="25"/>
  <c r="N111" i="25" s="1"/>
  <c r="M32" i="25"/>
  <c r="M111" i="25" s="1"/>
  <c r="L32" i="25"/>
  <c r="L111" i="25" s="1"/>
  <c r="K32" i="25"/>
  <c r="K111" i="25" s="1"/>
  <c r="J32" i="25"/>
  <c r="J111" i="25" s="1"/>
  <c r="I32" i="25"/>
  <c r="I111" i="25" s="1"/>
  <c r="H111" i="25"/>
  <c r="G111" i="25"/>
  <c r="F18" i="25"/>
  <c r="F111" i="25" s="1"/>
  <c r="E18" i="25"/>
  <c r="E111" i="25" s="1"/>
  <c r="D18" i="25"/>
  <c r="D111" i="25" s="1"/>
  <c r="D124" i="24"/>
  <c r="E124" i="24"/>
  <c r="F124" i="24"/>
  <c r="G124" i="24"/>
  <c r="H124" i="24"/>
  <c r="I124" i="24"/>
  <c r="J124" i="24"/>
  <c r="K124" i="24"/>
  <c r="L124" i="24"/>
  <c r="M124" i="24"/>
  <c r="N124" i="24"/>
  <c r="O124" i="24"/>
  <c r="C124" i="24"/>
  <c r="C118" i="24"/>
  <c r="C123" i="24"/>
  <c r="D122" i="24"/>
  <c r="E122" i="24"/>
  <c r="F122" i="24"/>
  <c r="G122" i="24"/>
  <c r="H122" i="24"/>
  <c r="I122" i="24"/>
  <c r="J122" i="24"/>
  <c r="K122" i="24"/>
  <c r="L122" i="24"/>
  <c r="M122" i="24"/>
  <c r="N122" i="24"/>
  <c r="O122" i="24"/>
  <c r="D121" i="24"/>
  <c r="E121" i="24"/>
  <c r="F121" i="24"/>
  <c r="G121" i="24"/>
  <c r="H121" i="24"/>
  <c r="I121" i="24"/>
  <c r="J121" i="24"/>
  <c r="K121" i="24"/>
  <c r="L121" i="24"/>
  <c r="M121" i="24"/>
  <c r="N121" i="24"/>
  <c r="O121" i="24"/>
  <c r="C121" i="24"/>
  <c r="D119" i="24"/>
  <c r="E119" i="24"/>
  <c r="F119" i="24"/>
  <c r="G119" i="24"/>
  <c r="H119" i="24"/>
  <c r="I119" i="24"/>
  <c r="J119" i="24"/>
  <c r="K119" i="24"/>
  <c r="L119" i="24"/>
  <c r="M119" i="24"/>
  <c r="N119" i="24"/>
  <c r="O119" i="24"/>
  <c r="C119" i="24"/>
  <c r="D120" i="24"/>
  <c r="E120" i="24"/>
  <c r="F120" i="24"/>
  <c r="G120" i="24"/>
  <c r="H120" i="24"/>
  <c r="I120" i="24"/>
  <c r="J120" i="24"/>
  <c r="K120" i="24"/>
  <c r="L120" i="24"/>
  <c r="M120" i="24"/>
  <c r="N120" i="24"/>
  <c r="O120" i="24"/>
  <c r="C120" i="24"/>
  <c r="C122" i="24"/>
  <c r="D118" i="24"/>
  <c r="E118" i="24"/>
  <c r="F118" i="24"/>
  <c r="G118" i="24"/>
  <c r="G16" i="25" s="1"/>
  <c r="H129" i="25" s="1"/>
  <c r="H118" i="24"/>
  <c r="H16" i="25" s="1"/>
  <c r="I129" i="25" s="1"/>
  <c r="I118" i="24"/>
  <c r="I16" i="25" s="1"/>
  <c r="I132" i="25" s="1"/>
  <c r="J118" i="24"/>
  <c r="J16" i="25" s="1"/>
  <c r="K118" i="24"/>
  <c r="K16" i="25" s="1"/>
  <c r="K132" i="25" s="1"/>
  <c r="L118" i="24"/>
  <c r="L16" i="25" s="1"/>
  <c r="M129" i="25" s="1"/>
  <c r="M118" i="24"/>
  <c r="M16" i="25" s="1"/>
  <c r="M132" i="25" s="1"/>
  <c r="N118" i="24"/>
  <c r="N16" i="25" s="1"/>
  <c r="O129" i="25" s="1"/>
  <c r="O118" i="24"/>
  <c r="O16" i="25" s="1"/>
  <c r="O132" i="25" s="1"/>
  <c r="D116" i="24"/>
  <c r="D115" i="24"/>
  <c r="E115" i="24"/>
  <c r="F115" i="24"/>
  <c r="G19" i="25" s="1"/>
  <c r="G115" i="24"/>
  <c r="G28" i="25" s="1"/>
  <c r="H115" i="24"/>
  <c r="H28" i="25" s="1"/>
  <c r="I115" i="24"/>
  <c r="I28" i="25" s="1"/>
  <c r="J115" i="24"/>
  <c r="J28" i="25" s="1"/>
  <c r="K115" i="24"/>
  <c r="K28" i="25" s="1"/>
  <c r="L115" i="24"/>
  <c r="L28" i="25" s="1"/>
  <c r="M115" i="24"/>
  <c r="M28" i="25" s="1"/>
  <c r="N115" i="24"/>
  <c r="N28" i="25" s="1"/>
  <c r="O115" i="24"/>
  <c r="O28" i="25" s="1"/>
  <c r="E116" i="24"/>
  <c r="F116" i="24"/>
  <c r="G116" i="24"/>
  <c r="H116" i="24"/>
  <c r="I116" i="24"/>
  <c r="J116" i="24"/>
  <c r="K116" i="24"/>
  <c r="L116" i="24"/>
  <c r="M116" i="24"/>
  <c r="N116" i="24"/>
  <c r="O116" i="24"/>
  <c r="D117" i="24"/>
  <c r="E117" i="24"/>
  <c r="F117" i="24"/>
  <c r="G117" i="24"/>
  <c r="H117" i="24"/>
  <c r="I117" i="24"/>
  <c r="J117" i="24"/>
  <c r="K117" i="24"/>
  <c r="L117" i="24"/>
  <c r="M117" i="24"/>
  <c r="N117" i="24"/>
  <c r="O117" i="24"/>
  <c r="C116" i="24"/>
  <c r="C117" i="24"/>
  <c r="C115" i="24"/>
  <c r="D114" i="24"/>
  <c r="E114" i="24"/>
  <c r="F114" i="24"/>
  <c r="G96" i="25" s="1"/>
  <c r="G114" i="24"/>
  <c r="G99" i="25" s="1"/>
  <c r="H114" i="24"/>
  <c r="H99" i="25" s="1"/>
  <c r="I114" i="24"/>
  <c r="J114" i="24"/>
  <c r="J99" i="25" s="1"/>
  <c r="J100" i="25" s="1"/>
  <c r="K114" i="24"/>
  <c r="L96" i="25" s="1"/>
  <c r="L114" i="24"/>
  <c r="M96" i="25" s="1"/>
  <c r="M114" i="24"/>
  <c r="M99" i="25" s="1"/>
  <c r="M100" i="25" s="1"/>
  <c r="N114" i="24"/>
  <c r="N99" i="25" s="1"/>
  <c r="O114" i="24"/>
  <c r="O99" i="25" s="1"/>
  <c r="C114" i="24"/>
  <c r="D112" i="24"/>
  <c r="E112" i="24"/>
  <c r="F112" i="24"/>
  <c r="G82" i="25" s="1"/>
  <c r="G112" i="24"/>
  <c r="G85" i="25" s="1"/>
  <c r="H112" i="24"/>
  <c r="I82" i="25" s="1"/>
  <c r="I84" i="25" s="1"/>
  <c r="I112" i="24"/>
  <c r="I85" i="25" s="1"/>
  <c r="J112" i="24"/>
  <c r="J85" i="25" s="1"/>
  <c r="K112" i="24"/>
  <c r="L82" i="25" s="1"/>
  <c r="L112" i="24"/>
  <c r="M82" i="25" s="1"/>
  <c r="M112" i="24"/>
  <c r="N82" i="25" s="1"/>
  <c r="N112" i="24"/>
  <c r="O82" i="25" s="1"/>
  <c r="O112" i="24"/>
  <c r="O85" i="25" s="1"/>
  <c r="O86" i="25" s="1"/>
  <c r="C112" i="24"/>
  <c r="D113" i="24"/>
  <c r="E113" i="24"/>
  <c r="F113" i="24"/>
  <c r="G89" i="25" s="1"/>
  <c r="G113" i="24"/>
  <c r="G92" i="25" s="1"/>
  <c r="G93" i="25" s="1"/>
  <c r="H113" i="24"/>
  <c r="H92" i="25" s="1"/>
  <c r="I113" i="24"/>
  <c r="J89" i="25" s="1"/>
  <c r="J113" i="24"/>
  <c r="K89" i="25" s="1"/>
  <c r="K113" i="24"/>
  <c r="K92" i="25" s="1"/>
  <c r="L113" i="24"/>
  <c r="L92" i="25" s="1"/>
  <c r="M113" i="24"/>
  <c r="M92" i="25" s="1"/>
  <c r="N113" i="24"/>
  <c r="N92" i="25" s="1"/>
  <c r="O113" i="24"/>
  <c r="O92" i="25" s="1"/>
  <c r="D111" i="24"/>
  <c r="E111" i="24"/>
  <c r="F111" i="24"/>
  <c r="G75" i="25" s="1"/>
  <c r="G111" i="24"/>
  <c r="G78" i="25" s="1"/>
  <c r="G79" i="25" s="1"/>
  <c r="H111" i="24"/>
  <c r="H78" i="25" s="1"/>
  <c r="H79" i="25" s="1"/>
  <c r="I111" i="24"/>
  <c r="J75" i="25" s="1"/>
  <c r="J111" i="24"/>
  <c r="K75" i="25" s="1"/>
  <c r="K111" i="24"/>
  <c r="K78" i="25" s="1"/>
  <c r="K79" i="25" s="1"/>
  <c r="L111" i="24"/>
  <c r="L78" i="25" s="1"/>
  <c r="M111" i="24"/>
  <c r="M78" i="25" s="1"/>
  <c r="M79" i="25" s="1"/>
  <c r="N111" i="24"/>
  <c r="N78" i="25" s="1"/>
  <c r="N79" i="25" s="1"/>
  <c r="O111" i="24"/>
  <c r="O78" i="25" s="1"/>
  <c r="C113" i="24"/>
  <c r="C111" i="24"/>
  <c r="D108" i="24"/>
  <c r="E108" i="24"/>
  <c r="F108" i="24"/>
  <c r="G54" i="25" s="1"/>
  <c r="G57" i="25" s="1"/>
  <c r="G58" i="25" s="1"/>
  <c r="G108" i="24"/>
  <c r="H54" i="25" s="1"/>
  <c r="H108" i="24"/>
  <c r="I54" i="25" s="1"/>
  <c r="I108" i="24"/>
  <c r="J54" i="25" s="1"/>
  <c r="J108" i="24"/>
  <c r="K54" i="25" s="1"/>
  <c r="K108" i="24"/>
  <c r="L54" i="25" s="1"/>
  <c r="L108" i="24"/>
  <c r="M54" i="25" s="1"/>
  <c r="M108" i="24"/>
  <c r="N54" i="25" s="1"/>
  <c r="N108" i="24"/>
  <c r="O54" i="25" s="1"/>
  <c r="O108" i="24"/>
  <c r="D109" i="24"/>
  <c r="E109" i="24"/>
  <c r="G61" i="25" s="1"/>
  <c r="G64" i="25" s="1"/>
  <c r="F109" i="24"/>
  <c r="H61" i="25" s="1"/>
  <c r="H64" i="25" s="1"/>
  <c r="G109" i="24"/>
  <c r="I61" i="25" s="1"/>
  <c r="I64" i="25" s="1"/>
  <c r="H109" i="24"/>
  <c r="J61" i="25" s="1"/>
  <c r="J64" i="25" s="1"/>
  <c r="I109" i="24"/>
  <c r="K61" i="25" s="1"/>
  <c r="K64" i="25" s="1"/>
  <c r="J109" i="24"/>
  <c r="L61" i="25" s="1"/>
  <c r="L64" i="25" s="1"/>
  <c r="K109" i="24"/>
  <c r="M61" i="25" s="1"/>
  <c r="M64" i="25" s="1"/>
  <c r="L109" i="24"/>
  <c r="N61" i="25" s="1"/>
  <c r="N64" i="25" s="1"/>
  <c r="M109" i="24"/>
  <c r="O61" i="25" s="1"/>
  <c r="O64" i="25" s="1"/>
  <c r="N109" i="24"/>
  <c r="O109" i="24"/>
  <c r="D110" i="24"/>
  <c r="E110" i="24"/>
  <c r="F110" i="24"/>
  <c r="G68" i="25" s="1"/>
  <c r="G110" i="24"/>
  <c r="G71" i="25" s="1"/>
  <c r="G69" i="25" s="1"/>
  <c r="H110" i="24"/>
  <c r="H71" i="25" s="1"/>
  <c r="I110" i="24"/>
  <c r="I71" i="25" s="1"/>
  <c r="J110" i="24"/>
  <c r="J71" i="25" s="1"/>
  <c r="K110" i="24"/>
  <c r="K71" i="25" s="1"/>
  <c r="L110" i="24"/>
  <c r="L71" i="25" s="1"/>
  <c r="L72" i="25" s="1"/>
  <c r="M110" i="24"/>
  <c r="M71" i="25" s="1"/>
  <c r="N110" i="24"/>
  <c r="O68" i="25" s="1"/>
  <c r="O110" i="24"/>
  <c r="O71" i="25" s="1"/>
  <c r="C109" i="24"/>
  <c r="C110" i="24"/>
  <c r="D107" i="24"/>
  <c r="E107" i="24"/>
  <c r="G47" i="25" s="1"/>
  <c r="G50" i="25" s="1"/>
  <c r="G51" i="25" s="1"/>
  <c r="F107" i="24"/>
  <c r="H47" i="25" s="1"/>
  <c r="H50" i="25" s="1"/>
  <c r="H51" i="25" s="1"/>
  <c r="G107" i="24"/>
  <c r="I47" i="25" s="1"/>
  <c r="I50" i="25" s="1"/>
  <c r="I51" i="25" s="1"/>
  <c r="H107" i="24"/>
  <c r="J47" i="25" s="1"/>
  <c r="J50" i="25" s="1"/>
  <c r="J51" i="25" s="1"/>
  <c r="I107" i="24"/>
  <c r="K47" i="25" s="1"/>
  <c r="K50" i="25" s="1"/>
  <c r="K51" i="25" s="1"/>
  <c r="J107" i="24"/>
  <c r="L47" i="25" s="1"/>
  <c r="L50" i="25" s="1"/>
  <c r="L51" i="25" s="1"/>
  <c r="K107" i="24"/>
  <c r="M47" i="25" s="1"/>
  <c r="M50" i="25" s="1"/>
  <c r="M51" i="25" s="1"/>
  <c r="L107" i="24"/>
  <c r="N47" i="25" s="1"/>
  <c r="N50" i="25" s="1"/>
  <c r="N51" i="25" s="1"/>
  <c r="M107" i="24"/>
  <c r="O47" i="25" s="1"/>
  <c r="O50" i="25" s="1"/>
  <c r="N107" i="24"/>
  <c r="O107" i="24"/>
  <c r="C108" i="24"/>
  <c r="D105" i="24"/>
  <c r="E105" i="24"/>
  <c r="G42" i="25" s="1"/>
  <c r="F105" i="24"/>
  <c r="H42" i="25" s="1"/>
  <c r="G105" i="24"/>
  <c r="I42" i="25" s="1"/>
  <c r="H105" i="24"/>
  <c r="J42" i="25" s="1"/>
  <c r="I105" i="24"/>
  <c r="K42" i="25" s="1"/>
  <c r="J105" i="24"/>
  <c r="L42" i="25" s="1"/>
  <c r="K105" i="24"/>
  <c r="M42" i="25" s="1"/>
  <c r="L105" i="24"/>
  <c r="J41" i="25" s="1"/>
  <c r="M105" i="24"/>
  <c r="K41" i="25" s="1"/>
  <c r="N105" i="24"/>
  <c r="L41" i="25" s="1"/>
  <c r="O105" i="24"/>
  <c r="M41" i="25" s="1"/>
  <c r="D106" i="24"/>
  <c r="E106" i="24"/>
  <c r="F106" i="24"/>
  <c r="G106" i="24"/>
  <c r="H106" i="24"/>
  <c r="I106" i="24"/>
  <c r="J106" i="24"/>
  <c r="K106" i="24"/>
  <c r="L106" i="24"/>
  <c r="M106" i="24"/>
  <c r="N106" i="24"/>
  <c r="O106" i="24"/>
  <c r="C106" i="24"/>
  <c r="C107" i="24"/>
  <c r="C105" i="24"/>
  <c r="D102" i="24"/>
  <c r="E102" i="24"/>
  <c r="F102" i="24"/>
  <c r="G34" i="25" s="1"/>
  <c r="G37" i="25" s="1"/>
  <c r="G5" i="25" s="1"/>
  <c r="G102" i="24"/>
  <c r="H34" i="25" s="1"/>
  <c r="H37" i="25" s="1"/>
  <c r="H102" i="24"/>
  <c r="I34" i="25" s="1"/>
  <c r="I37" i="25" s="1"/>
  <c r="I5" i="25" s="1"/>
  <c r="I102" i="24"/>
  <c r="J34" i="25" s="1"/>
  <c r="J37" i="25" s="1"/>
  <c r="J38" i="25" s="1"/>
  <c r="J102" i="24"/>
  <c r="K34" i="25" s="1"/>
  <c r="K37" i="25" s="1"/>
  <c r="K102" i="24"/>
  <c r="L34" i="25" s="1"/>
  <c r="L37" i="25" s="1"/>
  <c r="L5" i="25" s="1"/>
  <c r="L102" i="24"/>
  <c r="M34" i="25" s="1"/>
  <c r="M37" i="25" s="1"/>
  <c r="M38" i="25" s="1"/>
  <c r="M102" i="24"/>
  <c r="N34" i="25" s="1"/>
  <c r="N37" i="25" s="1"/>
  <c r="N38" i="25" s="1"/>
  <c r="N102" i="24"/>
  <c r="O34" i="25" s="1"/>
  <c r="O102" i="24"/>
  <c r="D103" i="24"/>
  <c r="E103" i="24"/>
  <c r="F103" i="24"/>
  <c r="G103" i="24"/>
  <c r="H103" i="24"/>
  <c r="I103" i="24"/>
  <c r="J103" i="24"/>
  <c r="K103" i="24"/>
  <c r="L103" i="24"/>
  <c r="M103" i="24"/>
  <c r="N103" i="24"/>
  <c r="O103" i="24"/>
  <c r="C103" i="24"/>
  <c r="C102" i="24"/>
  <c r="D100" i="24"/>
  <c r="E100" i="24"/>
  <c r="F100" i="24"/>
  <c r="G100" i="24"/>
  <c r="G17" i="25" s="1"/>
  <c r="H100" i="24"/>
  <c r="H17" i="25" s="1"/>
  <c r="I100" i="24"/>
  <c r="I17" i="25" s="1"/>
  <c r="J100" i="24"/>
  <c r="J17" i="25" s="1"/>
  <c r="K100" i="24"/>
  <c r="K17" i="25" s="1"/>
  <c r="L100" i="24"/>
  <c r="L17" i="25" s="1"/>
  <c r="M100" i="24"/>
  <c r="M17" i="25" s="1"/>
  <c r="N100" i="24"/>
  <c r="N17" i="25" s="1"/>
  <c r="O100" i="24"/>
  <c r="O17" i="25" s="1"/>
  <c r="D101" i="24"/>
  <c r="E101" i="24"/>
  <c r="F101" i="24"/>
  <c r="G101" i="24"/>
  <c r="H101" i="24"/>
  <c r="H36" i="23" s="1"/>
  <c r="I101" i="24"/>
  <c r="I36" i="23" s="1"/>
  <c r="J101" i="24"/>
  <c r="K101" i="24"/>
  <c r="K36" i="23" s="1"/>
  <c r="L101" i="24"/>
  <c r="L36" i="23" s="1"/>
  <c r="M101" i="24"/>
  <c r="M36" i="23" s="1"/>
  <c r="N101" i="24"/>
  <c r="N36" i="23" s="1"/>
  <c r="O101" i="24"/>
  <c r="O36" i="23" s="1"/>
  <c r="C101" i="24"/>
  <c r="C100" i="24"/>
  <c r="D99" i="24"/>
  <c r="E99" i="24"/>
  <c r="F99" i="24"/>
  <c r="G99" i="24"/>
  <c r="H99" i="24"/>
  <c r="I99" i="24"/>
  <c r="J99" i="24"/>
  <c r="K99" i="24"/>
  <c r="L99" i="24"/>
  <c r="M99" i="24"/>
  <c r="N99" i="24"/>
  <c r="O99" i="24"/>
  <c r="D98" i="24"/>
  <c r="E98" i="24"/>
  <c r="F98" i="24"/>
  <c r="G98" i="24"/>
  <c r="H98" i="24"/>
  <c r="I98" i="24"/>
  <c r="J98" i="24"/>
  <c r="K98" i="24"/>
  <c r="L98" i="24"/>
  <c r="M98" i="24"/>
  <c r="N98" i="24"/>
  <c r="O98" i="24"/>
  <c r="F97" i="24"/>
  <c r="G97" i="24"/>
  <c r="H97" i="24"/>
  <c r="I97" i="24"/>
  <c r="J97" i="24"/>
  <c r="K97" i="24"/>
  <c r="L97" i="24"/>
  <c r="M97" i="24"/>
  <c r="N97" i="24"/>
  <c r="O97" i="24"/>
  <c r="E97" i="24"/>
  <c r="D97" i="24"/>
  <c r="G96" i="24"/>
  <c r="H96" i="24"/>
  <c r="I96" i="24"/>
  <c r="J96" i="24"/>
  <c r="K96" i="24"/>
  <c r="L96" i="24"/>
  <c r="M96" i="24"/>
  <c r="N96" i="24"/>
  <c r="O96" i="24"/>
  <c r="D96" i="24"/>
  <c r="E96" i="24"/>
  <c r="F96" i="24"/>
  <c r="D94" i="24"/>
  <c r="E94" i="24"/>
  <c r="F94" i="24"/>
  <c r="G94" i="24"/>
  <c r="H94" i="24"/>
  <c r="I94" i="24"/>
  <c r="J94" i="24"/>
  <c r="K94" i="24"/>
  <c r="L94" i="24"/>
  <c r="M94" i="24"/>
  <c r="N94" i="24"/>
  <c r="O94" i="24"/>
  <c r="C96" i="24"/>
  <c r="C97" i="24"/>
  <c r="D93" i="24"/>
  <c r="E93" i="24"/>
  <c r="F93" i="24"/>
  <c r="G93" i="24"/>
  <c r="H93" i="24"/>
  <c r="I93" i="24"/>
  <c r="J93" i="24"/>
  <c r="K93" i="24"/>
  <c r="L93" i="24"/>
  <c r="M93" i="24"/>
  <c r="N93" i="24"/>
  <c r="O93" i="24"/>
  <c r="C94" i="24"/>
  <c r="E92" i="24"/>
  <c r="F92" i="24"/>
  <c r="G92" i="24"/>
  <c r="H92" i="24"/>
  <c r="I92" i="24"/>
  <c r="J92" i="24"/>
  <c r="K92" i="24"/>
  <c r="L92" i="24"/>
  <c r="M92" i="24"/>
  <c r="N92" i="24"/>
  <c r="O92" i="24"/>
  <c r="D92" i="24"/>
  <c r="C93" i="24"/>
  <c r="C92" i="24"/>
  <c r="D90" i="24"/>
  <c r="E90" i="24"/>
  <c r="F90" i="24"/>
  <c r="G90" i="24"/>
  <c r="H90" i="24"/>
  <c r="I90" i="24"/>
  <c r="J90" i="24"/>
  <c r="K90" i="24"/>
  <c r="L90" i="24"/>
  <c r="M90" i="24"/>
  <c r="N90" i="24"/>
  <c r="O90" i="24"/>
  <c r="D89" i="24"/>
  <c r="E89" i="24"/>
  <c r="F89" i="24"/>
  <c r="G89" i="24"/>
  <c r="H89" i="24"/>
  <c r="I89" i="24"/>
  <c r="J89" i="24"/>
  <c r="K89" i="24"/>
  <c r="L89" i="24"/>
  <c r="M89" i="24"/>
  <c r="N89" i="24"/>
  <c r="O89" i="24"/>
  <c r="D91" i="24"/>
  <c r="E91" i="24"/>
  <c r="F91" i="24"/>
  <c r="G91" i="24"/>
  <c r="H91" i="24"/>
  <c r="I91" i="24"/>
  <c r="J91" i="24"/>
  <c r="K91" i="24"/>
  <c r="L91" i="24"/>
  <c r="M91" i="24"/>
  <c r="N91" i="24"/>
  <c r="O91" i="24"/>
  <c r="C91" i="24"/>
  <c r="C90" i="24"/>
  <c r="C89" i="24"/>
  <c r="D88" i="24"/>
  <c r="E88" i="24"/>
  <c r="F88" i="24"/>
  <c r="G88" i="24"/>
  <c r="H88" i="24"/>
  <c r="I88" i="24"/>
  <c r="J88" i="24"/>
  <c r="K88" i="24"/>
  <c r="L88" i="24"/>
  <c r="M88" i="24"/>
  <c r="N88" i="24"/>
  <c r="O88" i="24"/>
  <c r="C88" i="24"/>
  <c r="D85" i="24"/>
  <c r="E85" i="24"/>
  <c r="F85" i="24"/>
  <c r="G85" i="24"/>
  <c r="H85" i="24"/>
  <c r="I85" i="24"/>
  <c r="J85" i="24"/>
  <c r="K85" i="24"/>
  <c r="L85" i="24"/>
  <c r="M85" i="24"/>
  <c r="N85" i="24"/>
  <c r="O85" i="24"/>
  <c r="D86" i="24"/>
  <c r="E86" i="24"/>
  <c r="F86" i="24"/>
  <c r="G86" i="24"/>
  <c r="H86" i="24"/>
  <c r="I86" i="24"/>
  <c r="J86" i="24"/>
  <c r="K86" i="24"/>
  <c r="L86" i="24"/>
  <c r="M86" i="24"/>
  <c r="N86" i="24"/>
  <c r="O86" i="24"/>
  <c r="C86" i="24"/>
  <c r="C98" i="24"/>
  <c r="C99" i="24"/>
  <c r="C85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O82" i="24"/>
  <c r="O107" i="25" s="1"/>
  <c r="P104" i="25" s="1"/>
  <c r="N82" i="24"/>
  <c r="N107" i="25" s="1"/>
  <c r="M82" i="24"/>
  <c r="M107" i="25" s="1"/>
  <c r="L82" i="24"/>
  <c r="L107" i="25" s="1"/>
  <c r="K82" i="24"/>
  <c r="K107" i="25" s="1"/>
  <c r="J107" i="25"/>
  <c r="I82" i="24"/>
  <c r="I107" i="25" s="1"/>
  <c r="H82" i="24"/>
  <c r="H107" i="25" s="1"/>
  <c r="G82" i="24"/>
  <c r="G107" i="25" s="1"/>
  <c r="H104" i="25" s="1"/>
  <c r="I104" i="25" s="1"/>
  <c r="J104" i="25" s="1"/>
  <c r="F82" i="24"/>
  <c r="G104" i="25" s="1"/>
  <c r="E82" i="24"/>
  <c r="D82" i="24"/>
  <c r="O81" i="24"/>
  <c r="N81" i="24"/>
  <c r="M81" i="24"/>
  <c r="L81" i="24"/>
  <c r="K81" i="24"/>
  <c r="J81" i="24"/>
  <c r="I81" i="24"/>
  <c r="H81" i="24"/>
  <c r="G81" i="24"/>
  <c r="F81" i="24"/>
  <c r="E81" i="24"/>
  <c r="D81" i="24"/>
  <c r="C83" i="24"/>
  <c r="C84" i="24"/>
  <c r="C82" i="24"/>
  <c r="C81" i="24"/>
  <c r="O79" i="24"/>
  <c r="N79" i="24"/>
  <c r="M79" i="24"/>
  <c r="L79" i="24"/>
  <c r="K79" i="24"/>
  <c r="J79" i="24"/>
  <c r="I79" i="24"/>
  <c r="H79" i="24"/>
  <c r="G79" i="24"/>
  <c r="F79" i="24"/>
  <c r="E79" i="24"/>
  <c r="D79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D80" i="24"/>
  <c r="E80" i="24"/>
  <c r="F80" i="24"/>
  <c r="G80" i="24"/>
  <c r="H80" i="24"/>
  <c r="I80" i="24"/>
  <c r="J80" i="24"/>
  <c r="K80" i="24"/>
  <c r="L80" i="24"/>
  <c r="M80" i="24"/>
  <c r="N80" i="24"/>
  <c r="O80" i="24"/>
  <c r="C80" i="24"/>
  <c r="C75" i="24"/>
  <c r="C76" i="24"/>
  <c r="C77" i="24"/>
  <c r="C78" i="24"/>
  <c r="C79" i="24"/>
  <c r="C74" i="24"/>
  <c r="D73" i="24"/>
  <c r="E73" i="24"/>
  <c r="F73" i="24"/>
  <c r="G73" i="24"/>
  <c r="H73" i="24"/>
  <c r="I73" i="24"/>
  <c r="J73" i="24"/>
  <c r="K73" i="24"/>
  <c r="L73" i="24"/>
  <c r="M73" i="24"/>
  <c r="N73" i="24"/>
  <c r="O73" i="24"/>
  <c r="C73" i="24"/>
  <c r="D72" i="24"/>
  <c r="E72" i="24"/>
  <c r="F72" i="24"/>
  <c r="G72" i="24"/>
  <c r="H72" i="24"/>
  <c r="I72" i="24"/>
  <c r="J72" i="24"/>
  <c r="K72" i="24"/>
  <c r="L72" i="24"/>
  <c r="M72" i="24"/>
  <c r="N72" i="24"/>
  <c r="O72" i="24"/>
  <c r="C72" i="24"/>
  <c r="D71" i="24"/>
  <c r="E71" i="24"/>
  <c r="F71" i="24"/>
  <c r="G71" i="24"/>
  <c r="H71" i="24"/>
  <c r="I71" i="24"/>
  <c r="J71" i="24"/>
  <c r="K71" i="24"/>
  <c r="L71" i="24"/>
  <c r="M71" i="24"/>
  <c r="N71" i="24"/>
  <c r="O71" i="24"/>
  <c r="C71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70" i="24"/>
  <c r="C69" i="24"/>
  <c r="D68" i="24"/>
  <c r="E68" i="24"/>
  <c r="F68" i="24"/>
  <c r="G68" i="24"/>
  <c r="H68" i="24"/>
  <c r="I68" i="24"/>
  <c r="J68" i="24"/>
  <c r="K68" i="24"/>
  <c r="L68" i="24"/>
  <c r="M68" i="24"/>
  <c r="N68" i="24"/>
  <c r="O68" i="24"/>
  <c r="C68" i="24"/>
  <c r="G62" i="24"/>
  <c r="H62" i="24"/>
  <c r="I62" i="24"/>
  <c r="J62" i="24"/>
  <c r="K62" i="24"/>
  <c r="L62" i="24"/>
  <c r="M62" i="24"/>
  <c r="N62" i="24"/>
  <c r="O62" i="24"/>
  <c r="G63" i="24"/>
  <c r="H63" i="24"/>
  <c r="I63" i="24"/>
  <c r="J63" i="24"/>
  <c r="K63" i="24"/>
  <c r="L63" i="24"/>
  <c r="M63" i="24"/>
  <c r="N63" i="24"/>
  <c r="O63" i="24"/>
  <c r="G64" i="24"/>
  <c r="H64" i="24"/>
  <c r="I64" i="24"/>
  <c r="J64" i="24"/>
  <c r="K64" i="24"/>
  <c r="L64" i="24"/>
  <c r="M64" i="24"/>
  <c r="N64" i="24"/>
  <c r="O64" i="24"/>
  <c r="G65" i="24"/>
  <c r="H65" i="24"/>
  <c r="I65" i="24"/>
  <c r="J65" i="24"/>
  <c r="K65" i="24"/>
  <c r="L65" i="24"/>
  <c r="M65" i="24"/>
  <c r="N65" i="24"/>
  <c r="O65" i="24"/>
  <c r="F62" i="24"/>
  <c r="F63" i="24"/>
  <c r="F64" i="24"/>
  <c r="F65" i="24"/>
  <c r="D62" i="24"/>
  <c r="E62" i="24"/>
  <c r="D63" i="24"/>
  <c r="E63" i="24"/>
  <c r="D64" i="24"/>
  <c r="E64" i="24"/>
  <c r="D66" i="24"/>
  <c r="E65" i="24"/>
  <c r="C64" i="24"/>
  <c r="C66" i="24"/>
  <c r="C63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O54" i="24"/>
  <c r="N54" i="24"/>
  <c r="M54" i="24"/>
  <c r="L54" i="24"/>
  <c r="K54" i="24"/>
  <c r="J54" i="24"/>
  <c r="I54" i="24"/>
  <c r="H54" i="24"/>
  <c r="G54" i="24"/>
  <c r="E54" i="24"/>
  <c r="D54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3" i="24"/>
  <c r="C54" i="24"/>
  <c r="C52" i="24"/>
  <c r="C50" i="24"/>
  <c r="C51" i="24"/>
  <c r="D49" i="24"/>
  <c r="E49" i="24"/>
  <c r="F49" i="24"/>
  <c r="G49" i="24"/>
  <c r="H49" i="24"/>
  <c r="I49" i="24"/>
  <c r="J49" i="24"/>
  <c r="K49" i="24"/>
  <c r="L49" i="24"/>
  <c r="M49" i="24"/>
  <c r="N49" i="24"/>
  <c r="O49" i="24"/>
  <c r="C49" i="24"/>
  <c r="C62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C57" i="24"/>
  <c r="C58" i="24"/>
  <c r="C59" i="24"/>
  <c r="C60" i="24"/>
  <c r="D55" i="24"/>
  <c r="E55" i="24"/>
  <c r="F55" i="24"/>
  <c r="G55" i="24"/>
  <c r="H55" i="24"/>
  <c r="I55" i="24"/>
  <c r="J55" i="24"/>
  <c r="K55" i="24"/>
  <c r="L55" i="24"/>
  <c r="M55" i="24"/>
  <c r="N55" i="24"/>
  <c r="O55" i="24"/>
  <c r="C55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9" i="24"/>
  <c r="C40" i="24"/>
  <c r="C41" i="24"/>
  <c r="C42" i="24"/>
  <c r="C43" i="24"/>
  <c r="C44" i="24"/>
  <c r="C45" i="24"/>
  <c r="C46" i="24"/>
  <c r="C47" i="24"/>
  <c r="C38" i="24"/>
  <c r="D29" i="24"/>
  <c r="E29" i="24"/>
  <c r="F29" i="24"/>
  <c r="G29" i="24"/>
  <c r="H29" i="24"/>
  <c r="I29" i="24"/>
  <c r="J29" i="24"/>
  <c r="K29" i="24"/>
  <c r="L29" i="24"/>
  <c r="M29" i="24"/>
  <c r="N29" i="24"/>
  <c r="O29" i="24"/>
  <c r="D30" i="24"/>
  <c r="E30" i="24"/>
  <c r="F30" i="24"/>
  <c r="G30" i="24"/>
  <c r="H30" i="24"/>
  <c r="I30" i="24"/>
  <c r="J30" i="24"/>
  <c r="K30" i="24"/>
  <c r="L30" i="24"/>
  <c r="M30" i="24"/>
  <c r="N30" i="24"/>
  <c r="O30" i="24"/>
  <c r="D31" i="24"/>
  <c r="E31" i="24"/>
  <c r="F31" i="24"/>
  <c r="G31" i="24"/>
  <c r="H31" i="24"/>
  <c r="I31" i="24"/>
  <c r="J31" i="24"/>
  <c r="K31" i="24"/>
  <c r="L31" i="24"/>
  <c r="M31" i="24"/>
  <c r="N31" i="24"/>
  <c r="O31" i="24"/>
  <c r="D32" i="24"/>
  <c r="E32" i="24"/>
  <c r="F32" i="24"/>
  <c r="G32" i="24"/>
  <c r="H32" i="24"/>
  <c r="I32" i="24"/>
  <c r="J32" i="24"/>
  <c r="K32" i="24"/>
  <c r="L32" i="24"/>
  <c r="M32" i="24"/>
  <c r="N32" i="24"/>
  <c r="O32" i="24"/>
  <c r="D35" i="24"/>
  <c r="E35" i="24"/>
  <c r="F35" i="24"/>
  <c r="G35" i="24"/>
  <c r="H35" i="24"/>
  <c r="I35" i="24"/>
  <c r="J35" i="24"/>
  <c r="K35" i="24"/>
  <c r="L35" i="24"/>
  <c r="M35" i="24"/>
  <c r="N35" i="24"/>
  <c r="O35" i="24"/>
  <c r="C35" i="24"/>
  <c r="D34" i="24"/>
  <c r="E34" i="24"/>
  <c r="F34" i="24"/>
  <c r="G34" i="24"/>
  <c r="H34" i="24"/>
  <c r="I34" i="24"/>
  <c r="J34" i="24"/>
  <c r="K34" i="24"/>
  <c r="L34" i="24"/>
  <c r="M34" i="24"/>
  <c r="N34" i="24"/>
  <c r="O34" i="24"/>
  <c r="C34" i="24"/>
  <c r="G36" i="24"/>
  <c r="H36" i="24"/>
  <c r="I36" i="24"/>
  <c r="J36" i="24"/>
  <c r="K36" i="24"/>
  <c r="L36" i="24"/>
  <c r="M36" i="24"/>
  <c r="N36" i="24"/>
  <c r="O36" i="24"/>
  <c r="D36" i="24"/>
  <c r="E36" i="24"/>
  <c r="F36" i="24"/>
  <c r="C36" i="24"/>
  <c r="D37" i="24"/>
  <c r="E37" i="24"/>
  <c r="F37" i="24"/>
  <c r="G37" i="24"/>
  <c r="H37" i="24"/>
  <c r="I37" i="24"/>
  <c r="J37" i="24"/>
  <c r="K37" i="24"/>
  <c r="L37" i="24"/>
  <c r="M37" i="24"/>
  <c r="N37" i="24"/>
  <c r="O37" i="24"/>
  <c r="C37" i="24"/>
  <c r="C30" i="24"/>
  <c r="C31" i="24"/>
  <c r="C32" i="24"/>
  <c r="C29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4" i="24"/>
  <c r="C25" i="24"/>
  <c r="C26" i="24"/>
  <c r="C27" i="24"/>
  <c r="C28" i="24"/>
  <c r="C23" i="24"/>
  <c r="C21" i="24"/>
  <c r="C22" i="24"/>
  <c r="C20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8" i="24"/>
  <c r="C17" i="24"/>
  <c r="C14" i="24"/>
  <c r="C15" i="24"/>
  <c r="C16" i="24"/>
  <c r="C13" i="24"/>
  <c r="C12" i="24"/>
  <c r="D11" i="24"/>
  <c r="E11" i="24"/>
  <c r="F11" i="24"/>
  <c r="G11" i="24"/>
  <c r="H11" i="24"/>
  <c r="I11" i="24"/>
  <c r="J11" i="24"/>
  <c r="K11" i="24"/>
  <c r="L11" i="24"/>
  <c r="M11" i="24"/>
  <c r="N11" i="24"/>
  <c r="O11" i="24"/>
  <c r="C11" i="24"/>
  <c r="D7" i="24"/>
  <c r="E7" i="24"/>
  <c r="F7" i="24"/>
  <c r="G7" i="24"/>
  <c r="H7" i="24"/>
  <c r="I7" i="24"/>
  <c r="J7" i="24"/>
  <c r="K7" i="24"/>
  <c r="L7" i="24"/>
  <c r="M7" i="24"/>
  <c r="N7" i="24"/>
  <c r="O7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C7" i="24"/>
  <c r="O4" i="24"/>
  <c r="O5" i="24"/>
  <c r="O6" i="24"/>
  <c r="N4" i="24"/>
  <c r="N5" i="24"/>
  <c r="N6" i="24"/>
  <c r="M4" i="24"/>
  <c r="M5" i="24"/>
  <c r="M6" i="24"/>
  <c r="L4" i="24"/>
  <c r="L5" i="24"/>
  <c r="L6" i="24"/>
  <c r="K4" i="24"/>
  <c r="K5" i="24"/>
  <c r="K6" i="24"/>
  <c r="J4" i="24"/>
  <c r="J5" i="24"/>
  <c r="J6" i="24"/>
  <c r="I4" i="24"/>
  <c r="I5" i="24"/>
  <c r="I6" i="24"/>
  <c r="H4" i="24"/>
  <c r="H5" i="24"/>
  <c r="H6" i="24"/>
  <c r="G4" i="24"/>
  <c r="G5" i="24"/>
  <c r="G6" i="24"/>
  <c r="F4" i="24"/>
  <c r="F5" i="24"/>
  <c r="F6" i="24"/>
  <c r="E4" i="24"/>
  <c r="E5" i="24"/>
  <c r="E6" i="24"/>
  <c r="D4" i="24"/>
  <c r="D5" i="24"/>
  <c r="D6" i="24"/>
  <c r="D3" i="24"/>
  <c r="E3" i="24"/>
  <c r="F3" i="24"/>
  <c r="G3" i="24"/>
  <c r="H3" i="24"/>
  <c r="I3" i="24"/>
  <c r="J3" i="24"/>
  <c r="K3" i="24"/>
  <c r="L3" i="24"/>
  <c r="M3" i="24"/>
  <c r="N3" i="24"/>
  <c r="O3" i="24"/>
  <c r="C4" i="24"/>
  <c r="C5" i="24"/>
  <c r="C6" i="24"/>
  <c r="C3" i="24"/>
  <c r="S65" i="30" l="1"/>
  <c r="T66" i="30"/>
  <c r="T65" i="30" s="1"/>
  <c r="AA41" i="24"/>
  <c r="P39" i="24"/>
  <c r="T51" i="30"/>
  <c r="J152" i="30"/>
  <c r="J158" i="30" s="1"/>
  <c r="P10" i="28"/>
  <c r="P11" i="28" s="1"/>
  <c r="G73" i="27"/>
  <c r="P17" i="28"/>
  <c r="Q9" i="28"/>
  <c r="P12" i="30"/>
  <c r="L74" i="28"/>
  <c r="P90" i="28"/>
  <c r="P91" i="28" s="1"/>
  <c r="T68" i="29"/>
  <c r="N33" i="27"/>
  <c r="N46" i="27" s="1"/>
  <c r="O81" i="27"/>
  <c r="T63" i="31"/>
  <c r="T62" i="31" s="1"/>
  <c r="T15" i="31" s="1"/>
  <c r="N15" i="29"/>
  <c r="N56" i="29" s="1"/>
  <c r="T17" i="30"/>
  <c r="U46" i="24" s="1"/>
  <c r="P18" i="30"/>
  <c r="Q19" i="30"/>
  <c r="Q20" i="30" s="1"/>
  <c r="Q21" i="30" s="1"/>
  <c r="Q61" i="30"/>
  <c r="R64" i="30" s="1"/>
  <c r="R63" i="30" s="1"/>
  <c r="Q81" i="30"/>
  <c r="R82" i="30"/>
  <c r="Q69" i="30"/>
  <c r="R72" i="30" s="1"/>
  <c r="R71" i="30" s="1"/>
  <c r="T28" i="30"/>
  <c r="U43" i="24" s="1"/>
  <c r="R38" i="30"/>
  <c r="S73" i="30"/>
  <c r="T74" i="30"/>
  <c r="T73" i="30" s="1"/>
  <c r="T87" i="30"/>
  <c r="S35" i="30"/>
  <c r="T50" i="24" s="1"/>
  <c r="P34" i="30"/>
  <c r="O31" i="30"/>
  <c r="O32" i="30" s="1"/>
  <c r="O29" i="30"/>
  <c r="P44" i="24" s="1"/>
  <c r="T113" i="30"/>
  <c r="T115" i="30" s="1"/>
  <c r="S113" i="30"/>
  <c r="S115" i="30" s="1"/>
  <c r="S17" i="30"/>
  <c r="T46" i="24" s="1"/>
  <c r="T91" i="30"/>
  <c r="S90" i="30"/>
  <c r="S39" i="30"/>
  <c r="P126" i="30"/>
  <c r="P88" i="30"/>
  <c r="Q141" i="30"/>
  <c r="T100" i="30"/>
  <c r="R100" i="30"/>
  <c r="S100" i="30"/>
  <c r="Q100" i="30"/>
  <c r="P100" i="30"/>
  <c r="P105" i="30" s="1"/>
  <c r="R143" i="30"/>
  <c r="Q123" i="30"/>
  <c r="Q124" i="30"/>
  <c r="Q122" i="30"/>
  <c r="Q120" i="30"/>
  <c r="Q121" i="30"/>
  <c r="R54" i="30"/>
  <c r="O77" i="30"/>
  <c r="P80" i="30" s="1"/>
  <c r="S74" i="29"/>
  <c r="T76" i="29"/>
  <c r="S58" i="29"/>
  <c r="S73" i="29"/>
  <c r="S59" i="29"/>
  <c r="S71" i="29"/>
  <c r="S64" i="29"/>
  <c r="T80" i="29"/>
  <c r="R72" i="29"/>
  <c r="R66" i="29" s="1"/>
  <c r="R92" i="29"/>
  <c r="R95" i="29"/>
  <c r="R94" i="29"/>
  <c r="T67" i="29"/>
  <c r="S70" i="29"/>
  <c r="Q93" i="29"/>
  <c r="R60" i="29"/>
  <c r="S79" i="29"/>
  <c r="Q66" i="29"/>
  <c r="T74" i="29"/>
  <c r="S63" i="29"/>
  <c r="S52" i="29"/>
  <c r="T50" i="29"/>
  <c r="S91" i="29"/>
  <c r="O84" i="25"/>
  <c r="H112" i="25"/>
  <c r="O72" i="25"/>
  <c r="P68" i="25"/>
  <c r="O51" i="25"/>
  <c r="P47" i="25"/>
  <c r="M74" i="28"/>
  <c r="J88" i="28"/>
  <c r="P54" i="28"/>
  <c r="P63" i="28" s="1"/>
  <c r="Q31" i="28" s="1"/>
  <c r="N53" i="27"/>
  <c r="O88" i="28"/>
  <c r="N57" i="28"/>
  <c r="N65" i="28"/>
  <c r="N71" i="28"/>
  <c r="N72" i="28"/>
  <c r="N73" i="28"/>
  <c r="R84" i="28"/>
  <c r="R124" i="28"/>
  <c r="Q123" i="28"/>
  <c r="Q120" i="28" s="1"/>
  <c r="O65" i="28"/>
  <c r="O57" i="28"/>
  <c r="O72" i="28"/>
  <c r="O71" i="28"/>
  <c r="R117" i="28"/>
  <c r="Q7" i="28"/>
  <c r="O73" i="28"/>
  <c r="O64" i="28"/>
  <c r="P32" i="28" s="1"/>
  <c r="P30" i="28"/>
  <c r="P53" i="28" s="1"/>
  <c r="S8" i="28"/>
  <c r="P72" i="27"/>
  <c r="O15" i="27"/>
  <c r="O47" i="27" s="1"/>
  <c r="P76" i="27" s="1"/>
  <c r="O72" i="27"/>
  <c r="N47" i="27"/>
  <c r="O76" i="27" s="1"/>
  <c r="N72" i="27"/>
  <c r="M47" i="27"/>
  <c r="D80" i="27" s="1"/>
  <c r="N76" i="27" s="1"/>
  <c r="J86" i="25"/>
  <c r="G98" i="25"/>
  <c r="G14" i="25"/>
  <c r="I83" i="25"/>
  <c r="I86" i="25"/>
  <c r="G86" i="25"/>
  <c r="G12" i="25"/>
  <c r="O69" i="25"/>
  <c r="G91" i="25"/>
  <c r="I40" i="25"/>
  <c r="I41" i="25"/>
  <c r="N68" i="25"/>
  <c r="I72" i="25"/>
  <c r="I75" i="25"/>
  <c r="J78" i="25"/>
  <c r="J79" i="25" s="1"/>
  <c r="K82" i="25"/>
  <c r="H85" i="25"/>
  <c r="H83" i="25" s="1"/>
  <c r="I89" i="25"/>
  <c r="J92" i="25"/>
  <c r="K96" i="25"/>
  <c r="L99" i="25"/>
  <c r="L100" i="25" s="1"/>
  <c r="G40" i="25"/>
  <c r="H40" i="25"/>
  <c r="H41" i="25"/>
  <c r="M68" i="25"/>
  <c r="N71" i="25"/>
  <c r="N72" i="25" s="1"/>
  <c r="H75" i="25"/>
  <c r="H76" i="25" s="1"/>
  <c r="H22" i="25" s="1"/>
  <c r="H21" i="25" s="1"/>
  <c r="I78" i="25"/>
  <c r="I79" i="25" s="1"/>
  <c r="J82" i="25"/>
  <c r="J84" i="25" s="1"/>
  <c r="H89" i="25"/>
  <c r="I92" i="25"/>
  <c r="J96" i="25"/>
  <c r="K99" i="25"/>
  <c r="K100" i="25" s="1"/>
  <c r="O40" i="25"/>
  <c r="O42" i="25"/>
  <c r="L68" i="25"/>
  <c r="O75" i="25"/>
  <c r="N85" i="25"/>
  <c r="O89" i="25"/>
  <c r="I96" i="25"/>
  <c r="J36" i="23"/>
  <c r="N40" i="25"/>
  <c r="G41" i="25"/>
  <c r="G43" i="25" s="1"/>
  <c r="N42" i="25"/>
  <c r="K68" i="25"/>
  <c r="K69" i="25" s="1"/>
  <c r="N75" i="25"/>
  <c r="H82" i="25"/>
  <c r="M85" i="25"/>
  <c r="M86" i="25" s="1"/>
  <c r="N89" i="25"/>
  <c r="H96" i="25"/>
  <c r="H98" i="25" s="1"/>
  <c r="I99" i="25"/>
  <c r="I100" i="25" s="1"/>
  <c r="M40" i="25"/>
  <c r="M43" i="25" s="1"/>
  <c r="J68" i="25"/>
  <c r="M75" i="25"/>
  <c r="L85" i="25"/>
  <c r="L86" i="25" s="1"/>
  <c r="M89" i="25"/>
  <c r="O96" i="25"/>
  <c r="H19" i="25"/>
  <c r="L40" i="25"/>
  <c r="I68" i="25"/>
  <c r="I69" i="25" s="1"/>
  <c r="L75" i="25"/>
  <c r="L76" i="25" s="1"/>
  <c r="L22" i="25" s="1"/>
  <c r="K85" i="25"/>
  <c r="K86" i="25" s="1"/>
  <c r="L89" i="25"/>
  <c r="N96" i="25"/>
  <c r="N98" i="25" s="1"/>
  <c r="K40" i="25"/>
  <c r="H68" i="25"/>
  <c r="H69" i="25" s="1"/>
  <c r="J40" i="25"/>
  <c r="AC57" i="26"/>
  <c r="AD53" i="26" s="1"/>
  <c r="AD57" i="26" s="1"/>
  <c r="AE53" i="26" s="1"/>
  <c r="R4" i="25"/>
  <c r="R18" i="25" s="1"/>
  <c r="R32" i="25" s="1"/>
  <c r="R111" i="25" s="1"/>
  <c r="Q18" i="25"/>
  <c r="Q32" i="25" s="1"/>
  <c r="Q111" i="25" s="1"/>
  <c r="L98" i="25"/>
  <c r="J70" i="25"/>
  <c r="G11" i="25"/>
  <c r="N84" i="25"/>
  <c r="O98" i="25"/>
  <c r="G100" i="25"/>
  <c r="H100" i="25"/>
  <c r="O100" i="25"/>
  <c r="N100" i="25"/>
  <c r="G15" i="25"/>
  <c r="O15" i="25"/>
  <c r="J112" i="25"/>
  <c r="G9" i="25"/>
  <c r="G65" i="25"/>
  <c r="H5" i="25"/>
  <c r="H38" i="25"/>
  <c r="H72" i="25"/>
  <c r="K77" i="25"/>
  <c r="M98" i="25"/>
  <c r="G13" i="25"/>
  <c r="G72" i="25"/>
  <c r="L69" i="25"/>
  <c r="N83" i="25"/>
  <c r="O83" i="25"/>
  <c r="J98" i="25"/>
  <c r="H86" i="25"/>
  <c r="M69" i="25"/>
  <c r="N86" i="25"/>
  <c r="G84" i="25"/>
  <c r="G90" i="25"/>
  <c r="L83" i="25"/>
  <c r="O76" i="25"/>
  <c r="O22" i="25" s="1"/>
  <c r="G76" i="25"/>
  <c r="G22" i="25" s="1"/>
  <c r="G21" i="25" s="1"/>
  <c r="G83" i="25"/>
  <c r="K5" i="25"/>
  <c r="K38" i="25"/>
  <c r="K72" i="25"/>
  <c r="M76" i="25"/>
  <c r="M22" i="25" s="1"/>
  <c r="M77" i="25"/>
  <c r="L79" i="25"/>
  <c r="J72" i="25"/>
  <c r="N76" i="25"/>
  <c r="N22" i="25" s="1"/>
  <c r="M83" i="25"/>
  <c r="H43" i="25"/>
  <c r="I38" i="25"/>
  <c r="I76" i="25"/>
  <c r="I22" i="25" s="1"/>
  <c r="G38" i="25"/>
  <c r="K83" i="25"/>
  <c r="L38" i="25"/>
  <c r="K43" i="25"/>
  <c r="O79" i="25"/>
  <c r="M72" i="25"/>
  <c r="J5" i="25"/>
  <c r="J9" i="25"/>
  <c r="L132" i="25"/>
  <c r="J43" i="25"/>
  <c r="L43" i="25"/>
  <c r="H123" i="25"/>
  <c r="H11" i="25"/>
  <c r="J117" i="25"/>
  <c r="I112" i="25"/>
  <c r="O37" i="25"/>
  <c r="O38" i="25" s="1"/>
  <c r="M115" i="25"/>
  <c r="G7" i="25"/>
  <c r="J11" i="25"/>
  <c r="I11" i="25"/>
  <c r="H9" i="25"/>
  <c r="I12" i="25"/>
  <c r="I9" i="25"/>
  <c r="I131" i="25"/>
  <c r="M5" i="25"/>
  <c r="K104" i="25"/>
  <c r="J119" i="25"/>
  <c r="G10" i="25"/>
  <c r="N5" i="25"/>
  <c r="K117" i="25"/>
  <c r="K115" i="25"/>
  <c r="K123" i="25"/>
  <c r="K112" i="25"/>
  <c r="P129" i="25"/>
  <c r="G8" i="25"/>
  <c r="H57" i="25"/>
  <c r="J132" i="25"/>
  <c r="K129" i="25"/>
  <c r="K131" i="25" s="1"/>
  <c r="M131" i="25"/>
  <c r="H7" i="25"/>
  <c r="L117" i="25"/>
  <c r="J123" i="25"/>
  <c r="J129" i="25"/>
  <c r="N132" i="25"/>
  <c r="L112" i="25"/>
  <c r="M117" i="25"/>
  <c r="M112" i="25"/>
  <c r="N117" i="25"/>
  <c r="L123" i="25"/>
  <c r="L129" i="25"/>
  <c r="H132" i="25"/>
  <c r="H131" i="25" s="1"/>
  <c r="N112" i="25"/>
  <c r="O117" i="25"/>
  <c r="N123" i="25"/>
  <c r="N125" i="25" s="1"/>
  <c r="N129" i="25"/>
  <c r="P3" i="23" l="1"/>
  <c r="P10" i="23" s="1"/>
  <c r="K152" i="30"/>
  <c r="K158" i="30" s="1"/>
  <c r="J161" i="30"/>
  <c r="P10" i="30"/>
  <c r="Q40" i="24" s="1"/>
  <c r="P11" i="30"/>
  <c r="Q17" i="28"/>
  <c r="R9" i="28" s="1"/>
  <c r="P16" i="30"/>
  <c r="Q47" i="24"/>
  <c r="P30" i="30"/>
  <c r="P31" i="30" s="1"/>
  <c r="P32" i="30" s="1"/>
  <c r="Q18" i="30"/>
  <c r="R69" i="30"/>
  <c r="S72" i="30" s="1"/>
  <c r="S71" i="30" s="1"/>
  <c r="O41" i="30"/>
  <c r="Q126" i="30"/>
  <c r="T35" i="30"/>
  <c r="U50" i="24" s="1"/>
  <c r="S38" i="30"/>
  <c r="P29" i="30"/>
  <c r="Q44" i="24" s="1"/>
  <c r="O27" i="30"/>
  <c r="R19" i="30"/>
  <c r="R20" i="30" s="1"/>
  <c r="R21" i="30" s="1"/>
  <c r="P86" i="30"/>
  <c r="Q89" i="30" s="1"/>
  <c r="Q37" i="30" s="1"/>
  <c r="Q36" i="30" s="1"/>
  <c r="R51" i="24" s="1"/>
  <c r="S54" i="30"/>
  <c r="T90" i="30"/>
  <c r="T39" i="30"/>
  <c r="R61" i="30"/>
  <c r="S64" i="30" s="1"/>
  <c r="P79" i="30"/>
  <c r="S143" i="30"/>
  <c r="T143" i="30" s="1"/>
  <c r="R122" i="30"/>
  <c r="R120" i="30"/>
  <c r="R121" i="30"/>
  <c r="R124" i="30"/>
  <c r="R123" i="30"/>
  <c r="R141" i="30"/>
  <c r="Q101" i="30"/>
  <c r="Q105" i="30" s="1"/>
  <c r="Q10" i="30" s="1"/>
  <c r="R40" i="24" s="1"/>
  <c r="T101" i="30"/>
  <c r="S101" i="30"/>
  <c r="R101" i="30"/>
  <c r="S82" i="30"/>
  <c r="R81" i="30"/>
  <c r="T58" i="29"/>
  <c r="T59" i="29"/>
  <c r="T73" i="29"/>
  <c r="T71" i="29"/>
  <c r="T64" i="29"/>
  <c r="S60" i="29"/>
  <c r="R93" i="29"/>
  <c r="S94" i="29"/>
  <c r="S72" i="29"/>
  <c r="T72" i="29" s="1"/>
  <c r="T70" i="29"/>
  <c r="T52" i="29"/>
  <c r="T79" i="29"/>
  <c r="T91" i="29"/>
  <c r="S95" i="29"/>
  <c r="T63" i="29"/>
  <c r="S92" i="29"/>
  <c r="I43" i="25"/>
  <c r="M84" i="25"/>
  <c r="H12" i="25"/>
  <c r="J83" i="25"/>
  <c r="N74" i="28"/>
  <c r="O74" i="28"/>
  <c r="O83" i="27"/>
  <c r="P62" i="28"/>
  <c r="P40" i="28"/>
  <c r="S117" i="28"/>
  <c r="R7" i="28"/>
  <c r="T8" i="28"/>
  <c r="Q30" i="28"/>
  <c r="Q53" i="28" s="1"/>
  <c r="Q121" i="28"/>
  <c r="S124" i="28"/>
  <c r="R123" i="28"/>
  <c r="R120" i="28" s="1"/>
  <c r="Q39" i="28"/>
  <c r="Q54" i="28"/>
  <c r="S84" i="28"/>
  <c r="P38" i="28"/>
  <c r="Q87" i="28"/>
  <c r="P55" i="28"/>
  <c r="Q15" i="28"/>
  <c r="K98" i="25"/>
  <c r="H84" i="25"/>
  <c r="L77" i="25"/>
  <c r="I98" i="25"/>
  <c r="K84" i="25"/>
  <c r="L84" i="25"/>
  <c r="N69" i="25"/>
  <c r="J77" i="25"/>
  <c r="L115" i="25"/>
  <c r="S4" i="25"/>
  <c r="L131" i="25"/>
  <c r="N115" i="25"/>
  <c r="S18" i="25"/>
  <c r="S32" i="25" s="1"/>
  <c r="S111" i="25" s="1"/>
  <c r="T111" i="25" s="1"/>
  <c r="U111" i="25" s="1"/>
  <c r="T4" i="25"/>
  <c r="H15" i="25"/>
  <c r="I19" i="25"/>
  <c r="O115" i="25"/>
  <c r="P83" i="25"/>
  <c r="Q83" i="25" s="1"/>
  <c r="O5" i="25"/>
  <c r="J131" i="25"/>
  <c r="I7" i="25"/>
  <c r="H8" i="25"/>
  <c r="I57" i="25"/>
  <c r="L104" i="25"/>
  <c r="K119" i="25"/>
  <c r="H14" i="25"/>
  <c r="K9" i="25"/>
  <c r="H10" i="25"/>
  <c r="Q117" i="25"/>
  <c r="L152" i="30" l="1"/>
  <c r="L158" i="30" s="1"/>
  <c r="K161" i="30"/>
  <c r="S9" i="28"/>
  <c r="O42" i="30"/>
  <c r="O43" i="30"/>
  <c r="Q16" i="30"/>
  <c r="R47" i="24"/>
  <c r="F50" i="27"/>
  <c r="Q53" i="30"/>
  <c r="Q52" i="30" s="1"/>
  <c r="Q88" i="30"/>
  <c r="Q86" i="30" s="1"/>
  <c r="R89" i="30" s="1"/>
  <c r="R37" i="30" s="1"/>
  <c r="R36" i="30" s="1"/>
  <c r="S51" i="24" s="1"/>
  <c r="R18" i="30"/>
  <c r="S19" i="30"/>
  <c r="S20" i="30" s="1"/>
  <c r="S21" i="30" s="1"/>
  <c r="S69" i="30"/>
  <c r="T72" i="30" s="1"/>
  <c r="T71" i="30" s="1"/>
  <c r="T69" i="30" s="1"/>
  <c r="S63" i="30"/>
  <c r="Q34" i="30"/>
  <c r="S141" i="30"/>
  <c r="S102" i="30"/>
  <c r="R102" i="30"/>
  <c r="R105" i="30" s="1"/>
  <c r="R10" i="30" s="1"/>
  <c r="S40" i="24" s="1"/>
  <c r="T102" i="30"/>
  <c r="T54" i="30"/>
  <c r="S81" i="30"/>
  <c r="T82" i="30"/>
  <c r="T81" i="30" s="1"/>
  <c r="R126" i="30"/>
  <c r="T38" i="30"/>
  <c r="P77" i="30"/>
  <c r="Q80" i="30" s="1"/>
  <c r="Q30" i="30" s="1"/>
  <c r="Q31" i="30" s="1"/>
  <c r="Q32" i="30" s="1"/>
  <c r="P27" i="30"/>
  <c r="T66" i="29"/>
  <c r="T92" i="29"/>
  <c r="T94" i="29"/>
  <c r="T60" i="29"/>
  <c r="S66" i="29"/>
  <c r="S93" i="29"/>
  <c r="T95" i="29"/>
  <c r="R17" i="28"/>
  <c r="R121" i="28"/>
  <c r="R30" i="28"/>
  <c r="R53" i="28" s="1"/>
  <c r="R87" i="28"/>
  <c r="Q81" i="28"/>
  <c r="Q63" i="28"/>
  <c r="Q62" i="28"/>
  <c r="T124" i="28"/>
  <c r="S123" i="28"/>
  <c r="S120" i="28" s="1"/>
  <c r="R15" i="28"/>
  <c r="P64" i="28"/>
  <c r="Q32" i="28" s="1"/>
  <c r="T117" i="28"/>
  <c r="S7" i="28"/>
  <c r="Q38" i="28"/>
  <c r="T84" i="28"/>
  <c r="U8" i="28"/>
  <c r="R83" i="25"/>
  <c r="S83" i="25" s="1"/>
  <c r="T83" i="25" s="1"/>
  <c r="U83" i="25" s="1"/>
  <c r="U4" i="25"/>
  <c r="U18" i="25" s="1"/>
  <c r="T18" i="25"/>
  <c r="T32" i="25" s="1"/>
  <c r="J12" i="25"/>
  <c r="K11" i="25"/>
  <c r="K12" i="25"/>
  <c r="I14" i="25"/>
  <c r="J57" i="25"/>
  <c r="I8" i="25"/>
  <c r="L9" i="25"/>
  <c r="I10" i="25"/>
  <c r="J7" i="25"/>
  <c r="M104" i="25"/>
  <c r="L119" i="25"/>
  <c r="R117" i="25"/>
  <c r="M152" i="30" l="1"/>
  <c r="M158" i="30" s="1"/>
  <c r="L161" i="30"/>
  <c r="Q11" i="30"/>
  <c r="Q12" i="30"/>
  <c r="P9" i="30"/>
  <c r="Q41" i="24"/>
  <c r="R16" i="30"/>
  <c r="S47" i="24"/>
  <c r="P41" i="30"/>
  <c r="Q79" i="30"/>
  <c r="Q29" i="30"/>
  <c r="S18" i="30"/>
  <c r="R88" i="30"/>
  <c r="T141" i="30"/>
  <c r="T104" i="30" s="1"/>
  <c r="T103" i="30"/>
  <c r="S103" i="30"/>
  <c r="S105" i="30" s="1"/>
  <c r="S10" i="30" s="1"/>
  <c r="T40" i="24" s="1"/>
  <c r="Q77" i="30"/>
  <c r="R80" i="30" s="1"/>
  <c r="R30" i="30" s="1"/>
  <c r="R31" i="30" s="1"/>
  <c r="R32" i="30" s="1"/>
  <c r="R34" i="30"/>
  <c r="S61" i="30"/>
  <c r="T64" i="30" s="1"/>
  <c r="T19" i="30" s="1"/>
  <c r="T20" i="30" s="1"/>
  <c r="T21" i="30" s="1"/>
  <c r="T93" i="29"/>
  <c r="P93" i="28"/>
  <c r="P29" i="28"/>
  <c r="R62" i="28"/>
  <c r="S17" i="28"/>
  <c r="T9" i="28" s="1"/>
  <c r="S15" i="28"/>
  <c r="Q90" i="28"/>
  <c r="Q93" i="28" s="1"/>
  <c r="Q82" i="28"/>
  <c r="Q6" i="28"/>
  <c r="H73" i="27" s="1"/>
  <c r="P14" i="28"/>
  <c r="S87" i="28"/>
  <c r="R81" i="28"/>
  <c r="U124" i="28"/>
  <c r="T123" i="28"/>
  <c r="T120" i="28" s="1"/>
  <c r="R38" i="28"/>
  <c r="U84" i="28"/>
  <c r="Q40" i="28"/>
  <c r="Q55" i="28"/>
  <c r="R31" i="28"/>
  <c r="U117" i="28"/>
  <c r="T7" i="28"/>
  <c r="S121" i="28"/>
  <c r="S30" i="28"/>
  <c r="S53" i="28" s="1"/>
  <c r="Q34" i="25"/>
  <c r="Q25" i="25" s="1"/>
  <c r="P103" i="24"/>
  <c r="L11" i="25"/>
  <c r="S117" i="25"/>
  <c r="J10" i="25"/>
  <c r="J14" i="25"/>
  <c r="L12" i="25"/>
  <c r="M9" i="25"/>
  <c r="N104" i="25"/>
  <c r="M119" i="25"/>
  <c r="K7" i="25"/>
  <c r="J8" i="25"/>
  <c r="K57" i="25"/>
  <c r="N152" i="30" l="1"/>
  <c r="N158" i="30" s="1"/>
  <c r="M161" i="30"/>
  <c r="Q27" i="30"/>
  <c r="R44" i="24"/>
  <c r="P52" i="28"/>
  <c r="P56" i="28" s="1"/>
  <c r="P57" i="28" s="1"/>
  <c r="P33" i="28"/>
  <c r="P34" i="28" s="1"/>
  <c r="F27" i="27"/>
  <c r="P38" i="25"/>
  <c r="AA103" i="24"/>
  <c r="Q10" i="28"/>
  <c r="Q3" i="23" s="1"/>
  <c r="Q50" i="30"/>
  <c r="R53" i="30" s="1"/>
  <c r="R52" i="30" s="1"/>
  <c r="R11" i="30" s="1"/>
  <c r="S41" i="24" s="1"/>
  <c r="P42" i="30"/>
  <c r="P43" i="30"/>
  <c r="P11" i="23"/>
  <c r="P12" i="27" s="1"/>
  <c r="O40" i="29"/>
  <c r="Q9" i="30"/>
  <c r="R41" i="24"/>
  <c r="S16" i="30"/>
  <c r="T47" i="24"/>
  <c r="P22" i="28"/>
  <c r="P18" i="28"/>
  <c r="Q13" i="30"/>
  <c r="Q14" i="30" s="1"/>
  <c r="P13" i="30"/>
  <c r="P14" i="30" s="1"/>
  <c r="T105" i="30"/>
  <c r="T10" i="30" s="1"/>
  <c r="U40" i="24" s="1"/>
  <c r="T18" i="30"/>
  <c r="R29" i="30"/>
  <c r="S44" i="24" s="1"/>
  <c r="R79" i="30"/>
  <c r="R86" i="30"/>
  <c r="S89" i="30" s="1"/>
  <c r="S37" i="30" s="1"/>
  <c r="S36" i="30" s="1"/>
  <c r="T51" i="24" s="1"/>
  <c r="T63" i="30"/>
  <c r="T61" i="30" s="1"/>
  <c r="Q37" i="25"/>
  <c r="U123" i="28"/>
  <c r="U120" i="28" s="1"/>
  <c r="S62" i="28"/>
  <c r="T121" i="28"/>
  <c r="T30" i="28"/>
  <c r="T15" i="28"/>
  <c r="Q12" i="28"/>
  <c r="Q14" i="28"/>
  <c r="U7" i="28"/>
  <c r="R90" i="28"/>
  <c r="R93" i="28" s="1"/>
  <c r="R6" i="28"/>
  <c r="I73" i="27" s="1"/>
  <c r="R82" i="28"/>
  <c r="T87" i="28"/>
  <c r="S81" i="28"/>
  <c r="Q91" i="28"/>
  <c r="Q29" i="28"/>
  <c r="Q52" i="28" s="1"/>
  <c r="T17" i="28"/>
  <c r="U9" i="28" s="1"/>
  <c r="R39" i="28"/>
  <c r="R54" i="28"/>
  <c r="P37" i="28"/>
  <c r="P24" i="28"/>
  <c r="P23" i="28"/>
  <c r="P25" i="28"/>
  <c r="Q64" i="28"/>
  <c r="S38" i="28"/>
  <c r="P61" i="28"/>
  <c r="M11" i="25"/>
  <c r="N9" i="25"/>
  <c r="L57" i="25"/>
  <c r="K8" i="25"/>
  <c r="R34" i="25"/>
  <c r="Q5" i="25"/>
  <c r="Q103" i="24" s="1"/>
  <c r="L7" i="25"/>
  <c r="M12" i="25"/>
  <c r="K14" i="25"/>
  <c r="T117" i="25"/>
  <c r="O104" i="25"/>
  <c r="O119" i="25" s="1"/>
  <c r="N119" i="25"/>
  <c r="K10" i="25"/>
  <c r="O152" i="30" l="1"/>
  <c r="N161" i="30"/>
  <c r="O6" i="29"/>
  <c r="O13" i="29"/>
  <c r="P17" i="24" s="1"/>
  <c r="P65" i="28"/>
  <c r="G27" i="27"/>
  <c r="Q38" i="25"/>
  <c r="AB103" i="24"/>
  <c r="Q7" i="27"/>
  <c r="H72" i="27" s="1"/>
  <c r="H74" i="27" s="1"/>
  <c r="P40" i="29"/>
  <c r="P8" i="29" s="1"/>
  <c r="Q12" i="24" s="1"/>
  <c r="R50" i="30"/>
  <c r="S53" i="30" s="1"/>
  <c r="S52" i="30" s="1"/>
  <c r="S50" i="30" s="1"/>
  <c r="T53" i="30" s="1"/>
  <c r="R12" i="30"/>
  <c r="R32" i="28"/>
  <c r="T16" i="30"/>
  <c r="U47" i="24"/>
  <c r="P8" i="27"/>
  <c r="G83" i="27" s="1"/>
  <c r="P7" i="27"/>
  <c r="Y3" i="23"/>
  <c r="P45" i="28"/>
  <c r="P4" i="23"/>
  <c r="P5" i="23" s="1"/>
  <c r="G75" i="27" s="1"/>
  <c r="P41" i="28"/>
  <c r="Z3" i="23"/>
  <c r="Q8" i="27"/>
  <c r="H83" i="27" s="1"/>
  <c r="Q41" i="30"/>
  <c r="R9" i="30"/>
  <c r="S88" i="30"/>
  <c r="S86" i="30" s="1"/>
  <c r="T89" i="30" s="1"/>
  <c r="T37" i="30" s="1"/>
  <c r="T36" i="30" s="1"/>
  <c r="R27" i="30"/>
  <c r="R77" i="30"/>
  <c r="S80" i="30" s="1"/>
  <c r="S30" i="30" s="1"/>
  <c r="S31" i="30" s="1"/>
  <c r="S32" i="30" s="1"/>
  <c r="S34" i="30"/>
  <c r="P26" i="28"/>
  <c r="Q61" i="28"/>
  <c r="Q56" i="28"/>
  <c r="Q70" i="28" s="1"/>
  <c r="S90" i="28"/>
  <c r="S93" i="28" s="1"/>
  <c r="S82" i="28"/>
  <c r="S6" i="28"/>
  <c r="J73" i="27" s="1"/>
  <c r="R12" i="28"/>
  <c r="R10" i="28"/>
  <c r="R14" i="28"/>
  <c r="P49" i="28"/>
  <c r="P47" i="28"/>
  <c r="P48" i="28"/>
  <c r="P46" i="28"/>
  <c r="R91" i="28"/>
  <c r="R29" i="28"/>
  <c r="R52" i="28" s="1"/>
  <c r="T38" i="28"/>
  <c r="R63" i="28"/>
  <c r="Q37" i="28"/>
  <c r="Q33" i="28"/>
  <c r="Q4" i="23" s="1"/>
  <c r="U15" i="28"/>
  <c r="P72" i="28"/>
  <c r="P71" i="28"/>
  <c r="P73" i="28"/>
  <c r="P70" i="28"/>
  <c r="U121" i="28"/>
  <c r="U30" i="28"/>
  <c r="U53" i="28" s="1"/>
  <c r="T53" i="28"/>
  <c r="U17" i="28"/>
  <c r="U87" i="28"/>
  <c r="U81" i="28" s="1"/>
  <c r="T81" i="28"/>
  <c r="Q11" i="28"/>
  <c r="Q18" i="28"/>
  <c r="Q24" i="28"/>
  <c r="Q23" i="28"/>
  <c r="Q25" i="28"/>
  <c r="Q22" i="28"/>
  <c r="N11" i="25"/>
  <c r="L14" i="25"/>
  <c r="L10" i="25"/>
  <c r="N12" i="25"/>
  <c r="R37" i="25"/>
  <c r="R25" i="25"/>
  <c r="Q119" i="25"/>
  <c r="U117" i="25"/>
  <c r="M57" i="25"/>
  <c r="L8" i="25"/>
  <c r="M7" i="25"/>
  <c r="O9" i="25"/>
  <c r="P61" i="25"/>
  <c r="P64" i="25" s="1"/>
  <c r="P11" i="29" l="1"/>
  <c r="Q15" i="24" s="1"/>
  <c r="P29" i="29"/>
  <c r="Q74" i="24" s="1"/>
  <c r="T34" i="30"/>
  <c r="U51" i="24"/>
  <c r="P152" i="30"/>
  <c r="P158" i="30" s="1"/>
  <c r="O158" i="30"/>
  <c r="P54" i="24" s="1"/>
  <c r="O161" i="30" s="1"/>
  <c r="P87" i="29"/>
  <c r="Q66" i="24" s="1"/>
  <c r="P21" i="29"/>
  <c r="Q25" i="24" s="1"/>
  <c r="P31" i="29"/>
  <c r="Q76" i="24" s="1"/>
  <c r="P32" i="29"/>
  <c r="Q77" i="24" s="1"/>
  <c r="P17" i="29"/>
  <c r="P18" i="29" s="1"/>
  <c r="Q22" i="24" s="1"/>
  <c r="P85" i="29"/>
  <c r="Q64" i="24" s="1"/>
  <c r="P13" i="29"/>
  <c r="P14" i="29" s="1"/>
  <c r="Q18" i="24" s="1"/>
  <c r="P10" i="29"/>
  <c r="Q14" i="24" s="1"/>
  <c r="P26" i="29"/>
  <c r="Q71" i="24" s="1"/>
  <c r="G20" i="27" s="1"/>
  <c r="P20" i="29"/>
  <c r="Q24" i="24" s="1"/>
  <c r="P19" i="29"/>
  <c r="P30" i="29"/>
  <c r="Q75" i="24" s="1"/>
  <c r="P88" i="29"/>
  <c r="P86" i="29"/>
  <c r="Q65" i="24" s="1"/>
  <c r="P23" i="29"/>
  <c r="Q27" i="24" s="1"/>
  <c r="P22" i="29"/>
  <c r="Q26" i="24" s="1"/>
  <c r="P38" i="29"/>
  <c r="Q83" i="24" s="1"/>
  <c r="P36" i="29"/>
  <c r="Q81" i="24" s="1"/>
  <c r="P28" i="29"/>
  <c r="Q73" i="24" s="1"/>
  <c r="P9" i="29"/>
  <c r="Q13" i="24" s="1"/>
  <c r="P84" i="29"/>
  <c r="Q63" i="24" s="1"/>
  <c r="P12" i="29"/>
  <c r="Q16" i="24" s="1"/>
  <c r="P33" i="29"/>
  <c r="Q78" i="24" s="1"/>
  <c r="P34" i="29"/>
  <c r="Q79" i="24" s="1"/>
  <c r="P27" i="29"/>
  <c r="Q72" i="24" s="1"/>
  <c r="P39" i="29"/>
  <c r="Q84" i="24" s="1"/>
  <c r="P24" i="29"/>
  <c r="Q28" i="24" s="1"/>
  <c r="P6" i="29"/>
  <c r="Q10" i="24" s="1"/>
  <c r="S12" i="30"/>
  <c r="S13" i="30" s="1"/>
  <c r="S14" i="30" s="1"/>
  <c r="T52" i="30"/>
  <c r="T11" i="30" s="1"/>
  <c r="U41" i="24" s="1"/>
  <c r="Q42" i="30"/>
  <c r="Q43" i="30"/>
  <c r="T12" i="30"/>
  <c r="S11" i="30"/>
  <c r="S9" i="30" s="1"/>
  <c r="O41" i="29"/>
  <c r="P9" i="27"/>
  <c r="P10" i="27" s="1"/>
  <c r="R71" i="27"/>
  <c r="AB17" i="29"/>
  <c r="O84" i="29"/>
  <c r="O30" i="29"/>
  <c r="P75" i="24" s="1"/>
  <c r="AA75" i="24" s="1"/>
  <c r="O27" i="29"/>
  <c r="P72" i="24" s="1"/>
  <c r="AA72" i="24" s="1"/>
  <c r="O28" i="29"/>
  <c r="P73" i="24" s="1"/>
  <c r="AA73" i="24" s="1"/>
  <c r="O10" i="29"/>
  <c r="P14" i="24" s="1"/>
  <c r="AA14" i="24" s="1"/>
  <c r="O8" i="29"/>
  <c r="O9" i="29"/>
  <c r="P13" i="24" s="1"/>
  <c r="AA13" i="24" s="1"/>
  <c r="O24" i="29"/>
  <c r="P28" i="24" s="1"/>
  <c r="AA28" i="24" s="1"/>
  <c r="O36" i="29"/>
  <c r="P81" i="24" s="1"/>
  <c r="AA81" i="24" s="1"/>
  <c r="O39" i="29"/>
  <c r="P84" i="24" s="1"/>
  <c r="AA17" i="24"/>
  <c r="O34" i="29"/>
  <c r="P79" i="24" s="1"/>
  <c r="AA79" i="24" s="1"/>
  <c r="O11" i="29"/>
  <c r="P15" i="24" s="1"/>
  <c r="AA15" i="24" s="1"/>
  <c r="O12" i="29"/>
  <c r="P16" i="24" s="1"/>
  <c r="AA16" i="24" s="1"/>
  <c r="O20" i="29"/>
  <c r="P24" i="24" s="1"/>
  <c r="AA24" i="24" s="1"/>
  <c r="O22" i="29"/>
  <c r="P26" i="24" s="1"/>
  <c r="AA26" i="24" s="1"/>
  <c r="O19" i="29"/>
  <c r="O38" i="29"/>
  <c r="P83" i="24" s="1"/>
  <c r="AA83" i="24" s="1"/>
  <c r="O33" i="29"/>
  <c r="P78" i="24" s="1"/>
  <c r="AA78" i="24" s="1"/>
  <c r="O31" i="29"/>
  <c r="P76" i="24" s="1"/>
  <c r="AA76" i="24" s="1"/>
  <c r="O87" i="29"/>
  <c r="P66" i="24" s="1"/>
  <c r="AA66" i="24" s="1"/>
  <c r="O23" i="29"/>
  <c r="P27" i="24" s="1"/>
  <c r="AA27" i="24" s="1"/>
  <c r="O29" i="29"/>
  <c r="P74" i="24" s="1"/>
  <c r="AA74" i="24" s="1"/>
  <c r="O32" i="29"/>
  <c r="P77" i="24" s="1"/>
  <c r="AA77" i="24" s="1"/>
  <c r="O26" i="29"/>
  <c r="P71" i="24" s="1"/>
  <c r="O21" i="29"/>
  <c r="P25" i="24" s="1"/>
  <c r="AA25" i="24" s="1"/>
  <c r="O17" i="29"/>
  <c r="O88" i="29"/>
  <c r="O86" i="29"/>
  <c r="P65" i="24" s="1"/>
  <c r="AA65" i="24" s="1"/>
  <c r="O85" i="29"/>
  <c r="P64" i="24" s="1"/>
  <c r="AA64" i="24" s="1"/>
  <c r="R22" i="28"/>
  <c r="R3" i="23"/>
  <c r="G72" i="27"/>
  <c r="G74" i="27" s="1"/>
  <c r="P41" i="29"/>
  <c r="Q9" i="27"/>
  <c r="R13" i="30"/>
  <c r="R14" i="30" s="1"/>
  <c r="R41" i="30"/>
  <c r="S79" i="30"/>
  <c r="S77" i="30" s="1"/>
  <c r="T80" i="30" s="1"/>
  <c r="T30" i="30" s="1"/>
  <c r="T31" i="30" s="1"/>
  <c r="T32" i="30" s="1"/>
  <c r="S29" i="30"/>
  <c r="T88" i="30"/>
  <c r="T86" i="30" s="1"/>
  <c r="U62" i="28"/>
  <c r="R40" i="28"/>
  <c r="R55" i="28"/>
  <c r="R56" i="28" s="1"/>
  <c r="R70" i="28" s="1"/>
  <c r="T90" i="28"/>
  <c r="T93" i="28" s="1"/>
  <c r="T82" i="28"/>
  <c r="T6" i="28"/>
  <c r="K73" i="27" s="1"/>
  <c r="S12" i="28"/>
  <c r="S10" i="28"/>
  <c r="S14" i="28"/>
  <c r="U82" i="28"/>
  <c r="U90" i="28"/>
  <c r="U6" i="28"/>
  <c r="P74" i="28"/>
  <c r="Q26" i="28"/>
  <c r="Q49" i="28"/>
  <c r="Q34" i="28"/>
  <c r="Q41" i="28"/>
  <c r="Q47" i="28"/>
  <c r="Q46" i="28"/>
  <c r="Q48" i="28"/>
  <c r="T62" i="28"/>
  <c r="S91" i="28"/>
  <c r="S29" i="28"/>
  <c r="U38" i="28"/>
  <c r="R37" i="28"/>
  <c r="R33" i="28"/>
  <c r="Q45" i="28"/>
  <c r="R11" i="28"/>
  <c r="R18" i="28"/>
  <c r="R24" i="28"/>
  <c r="R25" i="28"/>
  <c r="R23" i="28"/>
  <c r="S31" i="28"/>
  <c r="Q65" i="28"/>
  <c r="Q57" i="28"/>
  <c r="Q71" i="28"/>
  <c r="Q72" i="28"/>
  <c r="Q73" i="28"/>
  <c r="R61" i="28"/>
  <c r="P75" i="25"/>
  <c r="P78" i="25" s="1"/>
  <c r="P11" i="25" s="1"/>
  <c r="P111" i="24" s="1"/>
  <c r="O11" i="25"/>
  <c r="M8" i="25"/>
  <c r="N57" i="25"/>
  <c r="M14" i="25"/>
  <c r="O12" i="25"/>
  <c r="P82" i="25"/>
  <c r="P85" i="25" s="1"/>
  <c r="P9" i="25"/>
  <c r="P109" i="24" s="1"/>
  <c r="Q61" i="25"/>
  <c r="Q64" i="25" s="1"/>
  <c r="R119" i="25"/>
  <c r="N7" i="25"/>
  <c r="S34" i="25"/>
  <c r="S25" i="25" s="1"/>
  <c r="R5" i="25"/>
  <c r="R103" i="24" s="1"/>
  <c r="M10" i="25"/>
  <c r="P3" i="29" l="1"/>
  <c r="Q17" i="24"/>
  <c r="AB17" i="24" s="1"/>
  <c r="S27" i="30"/>
  <c r="T44" i="24"/>
  <c r="Q152" i="30"/>
  <c r="Q158" i="30" s="1"/>
  <c r="Q54" i="24"/>
  <c r="P161" i="30" s="1"/>
  <c r="Q21" i="24"/>
  <c r="P83" i="29"/>
  <c r="H27" i="27"/>
  <c r="R38" i="25"/>
  <c r="AC103" i="24"/>
  <c r="AA71" i="24"/>
  <c r="AE18" i="26" s="1"/>
  <c r="F20" i="27"/>
  <c r="S41" i="30"/>
  <c r="T50" i="30"/>
  <c r="T41" i="24"/>
  <c r="R43" i="30"/>
  <c r="R42" i="30"/>
  <c r="AB79" i="24"/>
  <c r="AB76" i="24"/>
  <c r="AB28" i="24"/>
  <c r="O14" i="29"/>
  <c r="P18" i="24" s="1"/>
  <c r="AA18" i="24" s="1"/>
  <c r="AB24" i="24"/>
  <c r="AF19" i="26" s="1"/>
  <c r="AB74" i="24"/>
  <c r="AB16" i="24"/>
  <c r="AB26" i="24"/>
  <c r="AB75" i="24"/>
  <c r="AB81" i="24"/>
  <c r="AB77" i="24"/>
  <c r="AB71" i="24"/>
  <c r="AB66" i="24"/>
  <c r="AB15" i="24"/>
  <c r="P16" i="29"/>
  <c r="R48" i="28"/>
  <c r="R4" i="23"/>
  <c r="Q71" i="27"/>
  <c r="P13" i="27"/>
  <c r="G76" i="27" s="1"/>
  <c r="P11" i="27"/>
  <c r="G79" i="27" s="1"/>
  <c r="AB14" i="24"/>
  <c r="AB83" i="24"/>
  <c r="AB78" i="24"/>
  <c r="AB72" i="24"/>
  <c r="S22" i="28"/>
  <c r="S3" i="23"/>
  <c r="Q10" i="27"/>
  <c r="AB27" i="24"/>
  <c r="O83" i="29"/>
  <c r="P63" i="24"/>
  <c r="AA63" i="24" s="1"/>
  <c r="AB64" i="24"/>
  <c r="AE19" i="26"/>
  <c r="M19" i="26" s="1"/>
  <c r="O3" i="29"/>
  <c r="P10" i="24"/>
  <c r="P7" i="24" s="1"/>
  <c r="F10" i="27" s="1"/>
  <c r="AB13" i="24"/>
  <c r="P21" i="24"/>
  <c r="AA17" i="29"/>
  <c r="O18" i="29"/>
  <c r="AB73" i="24"/>
  <c r="R7" i="27"/>
  <c r="R8" i="27"/>
  <c r="I83" i="27" s="1"/>
  <c r="AA3" i="23"/>
  <c r="Q40" i="29"/>
  <c r="AB25" i="24"/>
  <c r="P27" i="32"/>
  <c r="P24" i="32" s="1"/>
  <c r="P29" i="32" s="1"/>
  <c r="P3" i="32" s="1"/>
  <c r="P12" i="24"/>
  <c r="AB65" i="24"/>
  <c r="T13" i="30"/>
  <c r="T14" i="30" s="1"/>
  <c r="T9" i="30"/>
  <c r="T79" i="30"/>
  <c r="T77" i="30" s="1"/>
  <c r="T29" i="30"/>
  <c r="Q74" i="28"/>
  <c r="R26" i="28"/>
  <c r="U29" i="28"/>
  <c r="U52" i="28" s="1"/>
  <c r="U91" i="28"/>
  <c r="R64" i="28"/>
  <c r="R73" i="28"/>
  <c r="R49" i="28"/>
  <c r="R41" i="28"/>
  <c r="R34" i="28"/>
  <c r="R46" i="28"/>
  <c r="R47" i="28"/>
  <c r="R45" i="28"/>
  <c r="S37" i="28"/>
  <c r="T91" i="28"/>
  <c r="T29" i="28"/>
  <c r="R65" i="28"/>
  <c r="R57" i="28"/>
  <c r="R71" i="28"/>
  <c r="R72" i="28"/>
  <c r="S39" i="28"/>
  <c r="S54" i="28"/>
  <c r="S11" i="28"/>
  <c r="S18" i="28"/>
  <c r="S24" i="28"/>
  <c r="S25" i="28"/>
  <c r="S23" i="28"/>
  <c r="U14" i="28"/>
  <c r="U12" i="28"/>
  <c r="U10" i="28"/>
  <c r="S52" i="28"/>
  <c r="T14" i="28"/>
  <c r="T12" i="28"/>
  <c r="T10" i="28"/>
  <c r="T3" i="23" s="1"/>
  <c r="U93" i="28"/>
  <c r="Q75" i="25"/>
  <c r="Q78" i="25" s="1"/>
  <c r="N10" i="25"/>
  <c r="P12" i="25"/>
  <c r="Q82" i="25"/>
  <c r="Q85" i="25" s="1"/>
  <c r="S37" i="25"/>
  <c r="S119" i="25"/>
  <c r="O7" i="25"/>
  <c r="P50" i="25"/>
  <c r="R61" i="25"/>
  <c r="R64" i="25" s="1"/>
  <c r="Q9" i="25"/>
  <c r="N14" i="25"/>
  <c r="O57" i="25"/>
  <c r="N8" i="25"/>
  <c r="Q62" i="27" l="1"/>
  <c r="Q57" i="27" s="1"/>
  <c r="T27" i="30"/>
  <c r="U44" i="24"/>
  <c r="R152" i="30"/>
  <c r="R158" i="30" s="1"/>
  <c r="R54" i="24"/>
  <c r="Q161" i="30" s="1"/>
  <c r="S43" i="30"/>
  <c r="S42" i="30"/>
  <c r="AB10" i="24"/>
  <c r="AF31" i="26" s="1"/>
  <c r="N31" i="26" s="1"/>
  <c r="S32" i="28"/>
  <c r="AF18" i="26"/>
  <c r="P2" i="32"/>
  <c r="Q6" i="23" s="1"/>
  <c r="Q17" i="27" s="1"/>
  <c r="W11" i="26"/>
  <c r="AA10" i="24"/>
  <c r="AE31" i="26" s="1"/>
  <c r="AB21" i="24"/>
  <c r="AF17" i="26" s="1"/>
  <c r="Q58" i="27"/>
  <c r="P58" i="27"/>
  <c r="Q11" i="27"/>
  <c r="H79" i="27" s="1"/>
  <c r="O16" i="29"/>
  <c r="P22" i="24"/>
  <c r="T7" i="27"/>
  <c r="T8" i="27"/>
  <c r="K83" i="27" s="1"/>
  <c r="S40" i="29"/>
  <c r="AC3" i="23"/>
  <c r="AB18" i="24"/>
  <c r="P62" i="27"/>
  <c r="P57" i="27" s="1"/>
  <c r="AA21" i="24"/>
  <c r="AE17" i="26" s="1"/>
  <c r="AB63" i="24"/>
  <c r="S7" i="27"/>
  <c r="J72" i="27" s="1"/>
  <c r="J74" i="27" s="1"/>
  <c r="S8" i="27"/>
  <c r="J83" i="27" s="1"/>
  <c r="AB3" i="23"/>
  <c r="R40" i="29"/>
  <c r="Q72" i="27"/>
  <c r="P15" i="27"/>
  <c r="P47" i="27" s="1"/>
  <c r="U22" i="28"/>
  <c r="U3" i="23"/>
  <c r="AA12" i="24"/>
  <c r="AE16" i="26" s="1"/>
  <c r="AB12" i="24"/>
  <c r="AF16" i="26" s="1"/>
  <c r="Q34" i="29"/>
  <c r="R79" i="24" s="1"/>
  <c r="AC79" i="24" s="1"/>
  <c r="Q13" i="29"/>
  <c r="R17" i="24" s="1"/>
  <c r="AC17" i="24" s="1"/>
  <c r="Q6" i="29"/>
  <c r="Q24" i="29"/>
  <c r="R28" i="24" s="1"/>
  <c r="AC28" i="24" s="1"/>
  <c r="Q28" i="29"/>
  <c r="R73" i="24" s="1"/>
  <c r="AC73" i="24" s="1"/>
  <c r="Q20" i="29"/>
  <c r="R24" i="24" s="1"/>
  <c r="AC24" i="24" s="1"/>
  <c r="Q8" i="29"/>
  <c r="Q9" i="29"/>
  <c r="R13" i="24" s="1"/>
  <c r="AC13" i="24" s="1"/>
  <c r="Q12" i="29"/>
  <c r="R16" i="24" s="1"/>
  <c r="AC16" i="24" s="1"/>
  <c r="Q10" i="29"/>
  <c r="R14" i="24" s="1"/>
  <c r="AC14" i="24" s="1"/>
  <c r="Q36" i="29"/>
  <c r="R81" i="24" s="1"/>
  <c r="AC81" i="24" s="1"/>
  <c r="Q39" i="29"/>
  <c r="R84" i="24" s="1"/>
  <c r="AC84" i="24" s="1"/>
  <c r="Q26" i="29"/>
  <c r="R71" i="24" s="1"/>
  <c r="H20" i="27" s="1"/>
  <c r="Q32" i="29"/>
  <c r="R77" i="24" s="1"/>
  <c r="AC77" i="24" s="1"/>
  <c r="Q84" i="29"/>
  <c r="R63" i="24" s="1"/>
  <c r="AC63" i="24" s="1"/>
  <c r="Q33" i="29"/>
  <c r="R78" i="24" s="1"/>
  <c r="AC78" i="24" s="1"/>
  <c r="Q27" i="29"/>
  <c r="R72" i="24" s="1"/>
  <c r="AC72" i="24" s="1"/>
  <c r="Q38" i="29"/>
  <c r="R83" i="24" s="1"/>
  <c r="AC83" i="24" s="1"/>
  <c r="Q17" i="29"/>
  <c r="Q11" i="29"/>
  <c r="R15" i="24" s="1"/>
  <c r="AC15" i="24" s="1"/>
  <c r="Q29" i="29"/>
  <c r="R74" i="24" s="1"/>
  <c r="AC74" i="24" s="1"/>
  <c r="Q22" i="29"/>
  <c r="R26" i="24" s="1"/>
  <c r="AC26" i="24" s="1"/>
  <c r="Q23" i="29"/>
  <c r="R27" i="24" s="1"/>
  <c r="AC27" i="24" s="1"/>
  <c r="Q21" i="29"/>
  <c r="R25" i="24" s="1"/>
  <c r="AC25" i="24" s="1"/>
  <c r="Q30" i="29"/>
  <c r="R75" i="24" s="1"/>
  <c r="AC75" i="24" s="1"/>
  <c r="Q31" i="29"/>
  <c r="R76" i="24" s="1"/>
  <c r="AC76" i="24" s="1"/>
  <c r="Q88" i="29"/>
  <c r="Q19" i="29"/>
  <c r="Q85" i="29"/>
  <c r="R64" i="24" s="1"/>
  <c r="AC64" i="24" s="1"/>
  <c r="Q87" i="29"/>
  <c r="R66" i="24" s="1"/>
  <c r="AC66" i="24" s="1"/>
  <c r="Q86" i="29"/>
  <c r="I72" i="27"/>
  <c r="O27" i="32"/>
  <c r="O24" i="32" s="1"/>
  <c r="Q41" i="29"/>
  <c r="R9" i="27"/>
  <c r="R10" i="27" s="1"/>
  <c r="T41" i="30"/>
  <c r="S26" i="28"/>
  <c r="R74" i="28"/>
  <c r="T37" i="28"/>
  <c r="S63" i="28"/>
  <c r="T18" i="28"/>
  <c r="T11" i="28"/>
  <c r="T24" i="28"/>
  <c r="T23" i="28"/>
  <c r="T25" i="28"/>
  <c r="T22" i="28"/>
  <c r="U61" i="28"/>
  <c r="T52" i="28"/>
  <c r="S61" i="28"/>
  <c r="U18" i="28"/>
  <c r="U11" i="28"/>
  <c r="U24" i="28"/>
  <c r="U25" i="28"/>
  <c r="U23" i="28"/>
  <c r="U37" i="28"/>
  <c r="R75" i="25"/>
  <c r="R78" i="25" s="1"/>
  <c r="Q11" i="25"/>
  <c r="Q111" i="24" s="1"/>
  <c r="P71" i="25"/>
  <c r="O10" i="25"/>
  <c r="P7" i="25"/>
  <c r="P107" i="24" s="1"/>
  <c r="Q47" i="25"/>
  <c r="Q50" i="25" s="1"/>
  <c r="O14" i="25"/>
  <c r="P96" i="25"/>
  <c r="R9" i="25"/>
  <c r="S61" i="25"/>
  <c r="S64" i="25" s="1"/>
  <c r="O8" i="25"/>
  <c r="P54" i="25"/>
  <c r="P57" i="25" s="1"/>
  <c r="T34" i="25"/>
  <c r="S5" i="25"/>
  <c r="S103" i="24" s="1"/>
  <c r="R82" i="25"/>
  <c r="R85" i="25" s="1"/>
  <c r="Q12" i="25"/>
  <c r="T119" i="25"/>
  <c r="S152" i="30" l="1"/>
  <c r="S158" i="30" s="1"/>
  <c r="S54" i="24"/>
  <c r="R161" i="30" s="1"/>
  <c r="S71" i="27"/>
  <c r="I74" i="27"/>
  <c r="G80" i="27"/>
  <c r="Q76" i="27" s="1"/>
  <c r="M31" i="26"/>
  <c r="F45" i="27" s="1"/>
  <c r="I27" i="27"/>
  <c r="S38" i="25"/>
  <c r="AD103" i="24"/>
  <c r="T43" i="30"/>
  <c r="T42" i="30"/>
  <c r="O29" i="32"/>
  <c r="O3" i="32" s="1"/>
  <c r="V11" i="26" s="1"/>
  <c r="M11" i="26" s="1"/>
  <c r="F40" i="27" s="1"/>
  <c r="W35" i="26"/>
  <c r="N35" i="26" s="1"/>
  <c r="N11" i="26"/>
  <c r="G40" i="27" s="1"/>
  <c r="R11" i="27"/>
  <c r="I79" i="27" s="1"/>
  <c r="R6" i="29"/>
  <c r="R34" i="29"/>
  <c r="S79" i="24" s="1"/>
  <c r="AD79" i="24" s="1"/>
  <c r="R13" i="29"/>
  <c r="S17" i="24" s="1"/>
  <c r="AD17" i="24" s="1"/>
  <c r="R24" i="29"/>
  <c r="S28" i="24" s="1"/>
  <c r="AD28" i="24" s="1"/>
  <c r="R8" i="29"/>
  <c r="R20" i="29"/>
  <c r="S24" i="24" s="1"/>
  <c r="AD24" i="24" s="1"/>
  <c r="R12" i="29"/>
  <c r="S16" i="24" s="1"/>
  <c r="AD16" i="24" s="1"/>
  <c r="R36" i="29"/>
  <c r="S81" i="24" s="1"/>
  <c r="AD81" i="24" s="1"/>
  <c r="R28" i="29"/>
  <c r="S73" i="24" s="1"/>
  <c r="AD73" i="24" s="1"/>
  <c r="R10" i="29"/>
  <c r="S14" i="24" s="1"/>
  <c r="AD14" i="24" s="1"/>
  <c r="R39" i="29"/>
  <c r="S84" i="24" s="1"/>
  <c r="AD84" i="24" s="1"/>
  <c r="R9" i="29"/>
  <c r="S13" i="24" s="1"/>
  <c r="AD13" i="24" s="1"/>
  <c r="R32" i="29"/>
  <c r="S77" i="24" s="1"/>
  <c r="AD77" i="24" s="1"/>
  <c r="R30" i="29"/>
  <c r="S75" i="24" s="1"/>
  <c r="AD75" i="24" s="1"/>
  <c r="R38" i="29"/>
  <c r="S83" i="24" s="1"/>
  <c r="AD83" i="24" s="1"/>
  <c r="R33" i="29"/>
  <c r="S78" i="24" s="1"/>
  <c r="AD78" i="24" s="1"/>
  <c r="R84" i="29"/>
  <c r="S63" i="24" s="1"/>
  <c r="AD63" i="24" s="1"/>
  <c r="R22" i="29"/>
  <c r="S26" i="24" s="1"/>
  <c r="AD26" i="24" s="1"/>
  <c r="R29" i="29"/>
  <c r="S74" i="24" s="1"/>
  <c r="AD74" i="24" s="1"/>
  <c r="R26" i="29"/>
  <c r="S71" i="24" s="1"/>
  <c r="R27" i="29"/>
  <c r="S72" i="24" s="1"/>
  <c r="AD72" i="24" s="1"/>
  <c r="R17" i="29"/>
  <c r="R23" i="29"/>
  <c r="S27" i="24" s="1"/>
  <c r="AD27" i="24" s="1"/>
  <c r="R21" i="29"/>
  <c r="S25" i="24" s="1"/>
  <c r="AD25" i="24" s="1"/>
  <c r="R11" i="29"/>
  <c r="S15" i="24" s="1"/>
  <c r="AD15" i="24" s="1"/>
  <c r="R87" i="29"/>
  <c r="S66" i="24" s="1"/>
  <c r="AD66" i="24" s="1"/>
  <c r="R31" i="29"/>
  <c r="S76" i="24" s="1"/>
  <c r="AD76" i="24" s="1"/>
  <c r="R19" i="29"/>
  <c r="R88" i="29"/>
  <c r="R85" i="29"/>
  <c r="S64" i="24" s="1"/>
  <c r="AD64" i="24" s="1"/>
  <c r="R86" i="29"/>
  <c r="R12" i="24"/>
  <c r="AC12" i="24" s="1"/>
  <c r="AG16" i="26" s="1"/>
  <c r="Q14" i="29"/>
  <c r="R18" i="24" s="1"/>
  <c r="AC18" i="24" s="1"/>
  <c r="S34" i="29"/>
  <c r="T79" i="24" s="1"/>
  <c r="AE79" i="24" s="1"/>
  <c r="S6" i="29"/>
  <c r="S24" i="29"/>
  <c r="T28" i="24" s="1"/>
  <c r="S10" i="29"/>
  <c r="T14" i="24" s="1"/>
  <c r="S20" i="29"/>
  <c r="T24" i="24" s="1"/>
  <c r="AE24" i="24" s="1"/>
  <c r="S8" i="29"/>
  <c r="S28" i="29"/>
  <c r="T73" i="24" s="1"/>
  <c r="S36" i="29"/>
  <c r="T81" i="24" s="1"/>
  <c r="S13" i="29"/>
  <c r="T17" i="24" s="1"/>
  <c r="S12" i="29"/>
  <c r="T16" i="24" s="1"/>
  <c r="S9" i="29"/>
  <c r="T13" i="24" s="1"/>
  <c r="S26" i="29"/>
  <c r="T71" i="24" s="1"/>
  <c r="J20" i="27" s="1"/>
  <c r="S27" i="29"/>
  <c r="T72" i="24" s="1"/>
  <c r="S21" i="29"/>
  <c r="T25" i="24" s="1"/>
  <c r="S39" i="29"/>
  <c r="T84" i="24" s="1"/>
  <c r="S23" i="29"/>
  <c r="T27" i="24" s="1"/>
  <c r="S29" i="29"/>
  <c r="T74" i="24" s="1"/>
  <c r="S32" i="29"/>
  <c r="T77" i="24" s="1"/>
  <c r="S84" i="29"/>
  <c r="T63" i="24" s="1"/>
  <c r="S11" i="29"/>
  <c r="T15" i="24" s="1"/>
  <c r="S30" i="29"/>
  <c r="T75" i="24" s="1"/>
  <c r="S38" i="29"/>
  <c r="T83" i="24" s="1"/>
  <c r="S33" i="29"/>
  <c r="T78" i="24" s="1"/>
  <c r="S17" i="29"/>
  <c r="S22" i="29"/>
  <c r="T26" i="24" s="1"/>
  <c r="S19" i="29"/>
  <c r="S31" i="29"/>
  <c r="T76" i="24" s="1"/>
  <c r="S85" i="29"/>
  <c r="T64" i="24" s="1"/>
  <c r="S88" i="29"/>
  <c r="S87" i="29"/>
  <c r="T66" i="24" s="1"/>
  <c r="S86" i="29"/>
  <c r="AG19" i="26"/>
  <c r="O19" i="26" s="1"/>
  <c r="T40" i="29"/>
  <c r="T6" i="29" s="1"/>
  <c r="AD3" i="23"/>
  <c r="K72" i="27"/>
  <c r="K74" i="27" s="1"/>
  <c r="Q83" i="29"/>
  <c r="R65" i="24"/>
  <c r="AC65" i="24" s="1"/>
  <c r="AC71" i="24"/>
  <c r="AG18" i="26" s="1"/>
  <c r="O18" i="26" s="1"/>
  <c r="AA22" i="24"/>
  <c r="AB22" i="24"/>
  <c r="Q18" i="29"/>
  <c r="R22" i="24" s="1"/>
  <c r="AC22" i="24" s="1"/>
  <c r="R21" i="24"/>
  <c r="R58" i="27" s="1"/>
  <c r="AC17" i="29"/>
  <c r="Q3" i="29"/>
  <c r="R10" i="24"/>
  <c r="U26" i="28"/>
  <c r="T26" i="28"/>
  <c r="T31" i="28"/>
  <c r="S40" i="28"/>
  <c r="S55" i="28"/>
  <c r="S33" i="28"/>
  <c r="S4" i="23" s="1"/>
  <c r="T61" i="28"/>
  <c r="S75" i="25"/>
  <c r="S78" i="25" s="1"/>
  <c r="R11" i="25"/>
  <c r="R111" i="24" s="1"/>
  <c r="U119" i="25"/>
  <c r="P10" i="25"/>
  <c r="P110" i="24" s="1"/>
  <c r="Q68" i="25"/>
  <c r="Q71" i="25" s="1"/>
  <c r="T25" i="25"/>
  <c r="T37" i="25"/>
  <c r="P8" i="25"/>
  <c r="P108" i="24" s="1"/>
  <c r="Q54" i="25"/>
  <c r="Q57" i="25" s="1"/>
  <c r="R12" i="25"/>
  <c r="S82" i="25"/>
  <c r="S85" i="25" s="1"/>
  <c r="R47" i="25"/>
  <c r="R50" i="25" s="1"/>
  <c r="Q7" i="25"/>
  <c r="Q107" i="24" s="1"/>
  <c r="T61" i="25"/>
  <c r="T64" i="25" s="1"/>
  <c r="S9" i="25"/>
  <c r="T152" i="30" l="1"/>
  <c r="T158" i="30" s="1"/>
  <c r="U54" i="24" s="1"/>
  <c r="T161" i="30" s="1"/>
  <c r="T54" i="24"/>
  <c r="S161" i="30" s="1"/>
  <c r="AD71" i="24"/>
  <c r="I20" i="27"/>
  <c r="AE9" i="26"/>
  <c r="M9" i="26" s="1"/>
  <c r="AE13" i="24"/>
  <c r="AE28" i="24"/>
  <c r="AI19" i="26" s="1"/>
  <c r="Q19" i="26" s="1"/>
  <c r="AE26" i="24"/>
  <c r="AE76" i="24"/>
  <c r="AE84" i="24"/>
  <c r="AE75" i="24"/>
  <c r="AE74" i="24"/>
  <c r="AE17" i="24"/>
  <c r="AE64" i="24"/>
  <c r="AE81" i="24"/>
  <c r="AE83" i="24"/>
  <c r="AE16" i="24"/>
  <c r="AE73" i="24"/>
  <c r="AE15" i="24"/>
  <c r="AE14" i="24"/>
  <c r="AE63" i="24"/>
  <c r="O2" i="32"/>
  <c r="P6" i="23" s="1"/>
  <c r="AE72" i="24"/>
  <c r="AH18" i="26"/>
  <c r="P18" i="26" s="1"/>
  <c r="AE77" i="24"/>
  <c r="AE27" i="24"/>
  <c r="R41" i="29"/>
  <c r="S9" i="27"/>
  <c r="AC10" i="24"/>
  <c r="AG31" i="26" s="1"/>
  <c r="O31" i="26" s="1"/>
  <c r="H45" i="27" s="1"/>
  <c r="Q27" i="32"/>
  <c r="Q24" i="32" s="1"/>
  <c r="Q29" i="32" s="1"/>
  <c r="Q3" i="32" s="1"/>
  <c r="K69" i="27"/>
  <c r="L69" i="27" s="1"/>
  <c r="AE71" i="24"/>
  <c r="S12" i="24"/>
  <c r="AD12" i="24" s="1"/>
  <c r="AH16" i="26" s="1"/>
  <c r="R14" i="29"/>
  <c r="S18" i="24" s="1"/>
  <c r="AD18" i="24" s="1"/>
  <c r="Q16" i="29"/>
  <c r="S3" i="29"/>
  <c r="T10" i="24"/>
  <c r="AE17" i="29"/>
  <c r="T21" i="24"/>
  <c r="S18" i="29"/>
  <c r="R3" i="29"/>
  <c r="S10" i="24"/>
  <c r="T34" i="29"/>
  <c r="U79" i="24" s="1"/>
  <c r="AF79" i="24" s="1"/>
  <c r="T8" i="29"/>
  <c r="T24" i="29"/>
  <c r="U28" i="24" s="1"/>
  <c r="AF28" i="24" s="1"/>
  <c r="T20" i="29"/>
  <c r="U24" i="24" s="1"/>
  <c r="AF24" i="24" s="1"/>
  <c r="T10" i="29"/>
  <c r="U14" i="24" s="1"/>
  <c r="AF14" i="24" s="1"/>
  <c r="T21" i="29"/>
  <c r="U25" i="24" s="1"/>
  <c r="AF25" i="24" s="1"/>
  <c r="T28" i="29"/>
  <c r="U73" i="24" s="1"/>
  <c r="AF73" i="24" s="1"/>
  <c r="T12" i="29"/>
  <c r="U16" i="24" s="1"/>
  <c r="AF16" i="24" s="1"/>
  <c r="T13" i="29"/>
  <c r="U17" i="24" s="1"/>
  <c r="AF17" i="24" s="1"/>
  <c r="T36" i="29"/>
  <c r="U81" i="24" s="1"/>
  <c r="AF81" i="24" s="1"/>
  <c r="T33" i="29"/>
  <c r="U78" i="24" s="1"/>
  <c r="AF78" i="24" s="1"/>
  <c r="T27" i="29"/>
  <c r="U72" i="24" s="1"/>
  <c r="AF72" i="24" s="1"/>
  <c r="T26" i="29"/>
  <c r="U71" i="24" s="1"/>
  <c r="AF71" i="24" s="1"/>
  <c r="T9" i="29"/>
  <c r="U13" i="24" s="1"/>
  <c r="AF13" i="24" s="1"/>
  <c r="T39" i="29"/>
  <c r="U84" i="24" s="1"/>
  <c r="AF84" i="24" s="1"/>
  <c r="T29" i="29"/>
  <c r="U74" i="24" s="1"/>
  <c r="AF74" i="24" s="1"/>
  <c r="T32" i="29"/>
  <c r="U77" i="24" s="1"/>
  <c r="AF77" i="24" s="1"/>
  <c r="T17" i="29"/>
  <c r="T38" i="29"/>
  <c r="U83" i="24" s="1"/>
  <c r="AF83" i="24" s="1"/>
  <c r="T31" i="29"/>
  <c r="U76" i="24" s="1"/>
  <c r="AF76" i="24" s="1"/>
  <c r="T23" i="29"/>
  <c r="U27" i="24" s="1"/>
  <c r="AF27" i="24" s="1"/>
  <c r="T11" i="29"/>
  <c r="U15" i="24" s="1"/>
  <c r="AF15" i="24" s="1"/>
  <c r="T84" i="29"/>
  <c r="U63" i="24" s="1"/>
  <c r="AF63" i="24" s="1"/>
  <c r="T30" i="29"/>
  <c r="U75" i="24" s="1"/>
  <c r="AF75" i="24" s="1"/>
  <c r="T22" i="29"/>
  <c r="U26" i="24" s="1"/>
  <c r="AF26" i="24" s="1"/>
  <c r="T88" i="29"/>
  <c r="T87" i="29"/>
  <c r="U66" i="24" s="1"/>
  <c r="AF66" i="24" s="1"/>
  <c r="T85" i="29"/>
  <c r="U64" i="24" s="1"/>
  <c r="AF64" i="24" s="1"/>
  <c r="T19" i="29"/>
  <c r="T86" i="29"/>
  <c r="R62" i="27"/>
  <c r="R57" i="27" s="1"/>
  <c r="AC21" i="24"/>
  <c r="AG17" i="26" s="1"/>
  <c r="O17" i="26" s="1"/>
  <c r="AE78" i="24"/>
  <c r="AE66" i="24"/>
  <c r="AE25" i="24"/>
  <c r="T12" i="24"/>
  <c r="S14" i="29"/>
  <c r="T18" i="24" s="1"/>
  <c r="R83" i="29"/>
  <c r="S65" i="24"/>
  <c r="AD65" i="24" s="1"/>
  <c r="S83" i="29"/>
  <c r="T65" i="24"/>
  <c r="S21" i="24"/>
  <c r="AD17" i="29"/>
  <c r="R18" i="29"/>
  <c r="AH19" i="26"/>
  <c r="P19" i="26" s="1"/>
  <c r="P72" i="25"/>
  <c r="AA110" i="24"/>
  <c r="S64" i="28"/>
  <c r="S56" i="28"/>
  <c r="S49" i="28"/>
  <c r="S41" i="28"/>
  <c r="S34" i="28"/>
  <c r="S46" i="28"/>
  <c r="S47" i="28"/>
  <c r="S45" i="28"/>
  <c r="S48" i="28"/>
  <c r="T39" i="28"/>
  <c r="T54" i="28"/>
  <c r="S11" i="25"/>
  <c r="S111" i="24" s="1"/>
  <c r="T75" i="25"/>
  <c r="T78" i="25" s="1"/>
  <c r="U34" i="25"/>
  <c r="T5" i="25"/>
  <c r="T103" i="24" s="1"/>
  <c r="T82" i="25"/>
  <c r="T85" i="25" s="1"/>
  <c r="S12" i="25"/>
  <c r="R7" i="25"/>
  <c r="R107" i="24" s="1"/>
  <c r="S47" i="25"/>
  <c r="S50" i="25" s="1"/>
  <c r="R68" i="25"/>
  <c r="R71" i="25" s="1"/>
  <c r="Q10" i="25"/>
  <c r="Q110" i="24" s="1"/>
  <c r="T9" i="25"/>
  <c r="U61" i="25"/>
  <c r="U64" i="25" s="1"/>
  <c r="U9" i="25" s="1"/>
  <c r="R54" i="25"/>
  <c r="R57" i="25" s="1"/>
  <c r="Q8" i="25"/>
  <c r="J27" i="27" l="1"/>
  <c r="T38" i="25"/>
  <c r="AE103" i="24"/>
  <c r="T32" i="28"/>
  <c r="AE12" i="24"/>
  <c r="AI16" i="26" s="1"/>
  <c r="AJ18" i="26"/>
  <c r="R18" i="26" s="1"/>
  <c r="P17" i="27"/>
  <c r="Q2" i="32"/>
  <c r="R6" i="23" s="1"/>
  <c r="R17" i="27" s="1"/>
  <c r="X11" i="26"/>
  <c r="AE18" i="24"/>
  <c r="AI18" i="26"/>
  <c r="Q18" i="26" s="1"/>
  <c r="T83" i="29"/>
  <c r="U65" i="24"/>
  <c r="AF65" i="24" s="1"/>
  <c r="AE21" i="24"/>
  <c r="AI17" i="26" s="1"/>
  <c r="Q17" i="26" s="1"/>
  <c r="AJ19" i="26"/>
  <c r="R19" i="26" s="1"/>
  <c r="R16" i="29"/>
  <c r="S22" i="24"/>
  <c r="AD22" i="24" s="1"/>
  <c r="S16" i="29"/>
  <c r="T22" i="24"/>
  <c r="S62" i="27"/>
  <c r="S57" i="27" s="1"/>
  <c r="AD21" i="24"/>
  <c r="AH17" i="26" s="1"/>
  <c r="P17" i="26" s="1"/>
  <c r="AE65" i="24"/>
  <c r="AF17" i="29"/>
  <c r="U21" i="24"/>
  <c r="AF21" i="24" s="1"/>
  <c r="AJ17" i="26" s="1"/>
  <c r="R17" i="26" s="1"/>
  <c r="T18" i="29"/>
  <c r="U12" i="24"/>
  <c r="AF12" i="24" s="1"/>
  <c r="AJ16" i="26" s="1"/>
  <c r="T14" i="29"/>
  <c r="U18" i="24" s="1"/>
  <c r="AF18" i="24" s="1"/>
  <c r="S27" i="32"/>
  <c r="S24" i="32" s="1"/>
  <c r="S29" i="32" s="1"/>
  <c r="S3" i="32" s="1"/>
  <c r="AE10" i="24"/>
  <c r="AI31" i="26" s="1"/>
  <c r="Q31" i="26" s="1"/>
  <c r="J45" i="27" s="1"/>
  <c r="U10" i="24"/>
  <c r="T3" i="29"/>
  <c r="S58" i="27"/>
  <c r="S10" i="27"/>
  <c r="R27" i="32"/>
  <c r="R24" i="32" s="1"/>
  <c r="R29" i="32" s="1"/>
  <c r="R3" i="32" s="1"/>
  <c r="AD10" i="24"/>
  <c r="AH31" i="26" s="1"/>
  <c r="P31" i="26" s="1"/>
  <c r="I45" i="27" s="1"/>
  <c r="Q72" i="25"/>
  <c r="AB110" i="24"/>
  <c r="T63" i="28"/>
  <c r="U31" i="28" s="1"/>
  <c r="S65" i="28"/>
  <c r="S57" i="28"/>
  <c r="S71" i="28"/>
  <c r="S72" i="28"/>
  <c r="S70" i="28"/>
  <c r="S73" i="28"/>
  <c r="T11" i="25"/>
  <c r="T111" i="24" s="1"/>
  <c r="U75" i="25"/>
  <c r="U78" i="25" s="1"/>
  <c r="U11" i="25" s="1"/>
  <c r="U111" i="24" s="1"/>
  <c r="U82" i="25"/>
  <c r="U85" i="25" s="1"/>
  <c r="T12" i="25"/>
  <c r="R10" i="25"/>
  <c r="R110" i="24" s="1"/>
  <c r="S68" i="25"/>
  <c r="S71" i="25" s="1"/>
  <c r="T47" i="25"/>
  <c r="T50" i="25" s="1"/>
  <c r="S7" i="25"/>
  <c r="S107" i="24" s="1"/>
  <c r="R8" i="25"/>
  <c r="S54" i="25"/>
  <c r="S57" i="25" s="1"/>
  <c r="U37" i="25"/>
  <c r="U5" i="25" s="1"/>
  <c r="U103" i="24" s="1"/>
  <c r="U25" i="25"/>
  <c r="U38" i="25" l="1"/>
  <c r="AF103" i="24"/>
  <c r="S2" i="32"/>
  <c r="T6" i="23" s="1"/>
  <c r="T17" i="27" s="1"/>
  <c r="Z11" i="26"/>
  <c r="R2" i="32"/>
  <c r="S6" i="23" s="1"/>
  <c r="S17" i="27" s="1"/>
  <c r="Y11" i="26"/>
  <c r="X35" i="26"/>
  <c r="O35" i="26" s="1"/>
  <c r="O11" i="26"/>
  <c r="H40" i="27" s="1"/>
  <c r="S11" i="27"/>
  <c r="J79" i="27" s="1"/>
  <c r="T16" i="29"/>
  <c r="U22" i="24"/>
  <c r="AF22" i="24" s="1"/>
  <c r="T27" i="32"/>
  <c r="T24" i="32" s="1"/>
  <c r="T29" i="32" s="1"/>
  <c r="T3" i="32" s="1"/>
  <c r="AF10" i="24"/>
  <c r="AJ31" i="26" s="1"/>
  <c r="R31" i="26" s="1"/>
  <c r="AE22" i="24"/>
  <c r="R72" i="25"/>
  <c r="AC110" i="24"/>
  <c r="T40" i="28"/>
  <c r="T55" i="28"/>
  <c r="T33" i="28"/>
  <c r="T4" i="23" s="1"/>
  <c r="U39" i="28"/>
  <c r="U54" i="28"/>
  <c r="S74" i="28"/>
  <c r="T7" i="25"/>
  <c r="T107" i="24" s="1"/>
  <c r="U47" i="25"/>
  <c r="U50" i="25" s="1"/>
  <c r="U7" i="25" s="1"/>
  <c r="U107" i="24" s="1"/>
  <c r="U12" i="25"/>
  <c r="T54" i="25"/>
  <c r="T57" i="25" s="1"/>
  <c r="S8" i="25"/>
  <c r="T68" i="25"/>
  <c r="T71" i="25" s="1"/>
  <c r="S10" i="25"/>
  <c r="S110" i="24" s="1"/>
  <c r="T2" i="32" l="1"/>
  <c r="U6" i="23" s="1"/>
  <c r="AA11" i="26"/>
  <c r="P11" i="26"/>
  <c r="I40" i="27" s="1"/>
  <c r="Y35" i="26"/>
  <c r="P35" i="26" s="1"/>
  <c r="Z35" i="26"/>
  <c r="Q35" i="26" s="1"/>
  <c r="Q11" i="26"/>
  <c r="J40" i="27" s="1"/>
  <c r="S41" i="29"/>
  <c r="T9" i="27"/>
  <c r="S72" i="25"/>
  <c r="AD110" i="24"/>
  <c r="T49" i="28"/>
  <c r="T41" i="28"/>
  <c r="T34" i="28"/>
  <c r="T46" i="28"/>
  <c r="T45" i="28"/>
  <c r="T47" i="28"/>
  <c r="U63" i="28"/>
  <c r="T64" i="28"/>
  <c r="U32" i="28" s="1"/>
  <c r="T56" i="28"/>
  <c r="T48" i="28"/>
  <c r="U68" i="25"/>
  <c r="U71" i="25" s="1"/>
  <c r="T10" i="25"/>
  <c r="T110" i="24" s="1"/>
  <c r="U54" i="25"/>
  <c r="U57" i="25" s="1"/>
  <c r="U8" i="25" s="1"/>
  <c r="T8" i="25"/>
  <c r="AA35" i="26" l="1"/>
  <c r="R35" i="26" s="1"/>
  <c r="R11" i="26"/>
  <c r="T58" i="27"/>
  <c r="T10" i="27"/>
  <c r="T62" i="27"/>
  <c r="T57" i="27" s="1"/>
  <c r="T72" i="25"/>
  <c r="AE110" i="24"/>
  <c r="T65" i="28"/>
  <c r="T57" i="28"/>
  <c r="T71" i="28"/>
  <c r="T70" i="28"/>
  <c r="T72" i="28"/>
  <c r="T73" i="28"/>
  <c r="U40" i="28"/>
  <c r="U55" i="28"/>
  <c r="U33" i="28"/>
  <c r="U10" i="25"/>
  <c r="U110" i="24" s="1"/>
  <c r="U48" i="28" l="1"/>
  <c r="U4" i="23"/>
  <c r="T11" i="27"/>
  <c r="K79" i="27" s="1"/>
  <c r="U72" i="25"/>
  <c r="AF110" i="24"/>
  <c r="T74" i="28"/>
  <c r="U49" i="28"/>
  <c r="U41" i="28"/>
  <c r="U34" i="28"/>
  <c r="U46" i="28"/>
  <c r="U45" i="28"/>
  <c r="U47" i="28"/>
  <c r="U64" i="28"/>
  <c r="U56" i="28"/>
  <c r="U73" i="28" s="1"/>
  <c r="U102" i="24"/>
  <c r="S102" i="24"/>
  <c r="Q102" i="24"/>
  <c r="K128" i="24"/>
  <c r="C128" i="24"/>
  <c r="AC51" i="24"/>
  <c r="AA51" i="24"/>
  <c r="AE50" i="24"/>
  <c r="AA50" i="24"/>
  <c r="Q48" i="24"/>
  <c r="AB48" i="24" s="1"/>
  <c r="AF47" i="24"/>
  <c r="AD47" i="24"/>
  <c r="AA47" i="24"/>
  <c r="AF46" i="24"/>
  <c r="AD46" i="24"/>
  <c r="AB46" i="24"/>
  <c r="AA46" i="24"/>
  <c r="AD44" i="24"/>
  <c r="AB44" i="24"/>
  <c r="AA44" i="24"/>
  <c r="AF43" i="24"/>
  <c r="AB43" i="24"/>
  <c r="AA43" i="24"/>
  <c r="AF40" i="24"/>
  <c r="AD40" i="24"/>
  <c r="Q36" i="24"/>
  <c r="Q35" i="24"/>
  <c r="Q32" i="24"/>
  <c r="Q31" i="24"/>
  <c r="L15" i="29"/>
  <c r="L56" i="29" s="1"/>
  <c r="K15" i="29"/>
  <c r="K56" i="29" s="1"/>
  <c r="J15" i="29"/>
  <c r="J56" i="29" s="1"/>
  <c r="I15" i="29"/>
  <c r="I56" i="29" s="1"/>
  <c r="H15" i="29"/>
  <c r="H56" i="29" s="1"/>
  <c r="G15" i="29"/>
  <c r="G56" i="29" s="1"/>
  <c r="F15" i="29"/>
  <c r="F56" i="29" s="1"/>
  <c r="E15" i="29"/>
  <c r="E56" i="29" s="1"/>
  <c r="D15" i="29"/>
  <c r="D56" i="29" s="1"/>
  <c r="C15" i="29"/>
  <c r="C56" i="29" s="1"/>
  <c r="D2" i="24"/>
  <c r="E2" i="24" s="1"/>
  <c r="F2" i="24" s="1"/>
  <c r="G2" i="24" s="1"/>
  <c r="H2" i="24" s="1"/>
  <c r="I2" i="24" s="1"/>
  <c r="J2" i="24" s="1"/>
  <c r="K2" i="24" s="1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E26" i="23"/>
  <c r="F26" i="23"/>
  <c r="G26" i="23"/>
  <c r="H26" i="23"/>
  <c r="I26" i="23"/>
  <c r="J26" i="23"/>
  <c r="K26" i="23"/>
  <c r="L26" i="23"/>
  <c r="M26" i="23"/>
  <c r="N26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C23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C22" i="23"/>
  <c r="D19" i="23"/>
  <c r="E19" i="23"/>
  <c r="F19" i="23"/>
  <c r="G19" i="23"/>
  <c r="H19" i="23"/>
  <c r="I19" i="23"/>
  <c r="J19" i="23"/>
  <c r="K19" i="23"/>
  <c r="L19" i="23"/>
  <c r="M19" i="23"/>
  <c r="N19" i="23"/>
  <c r="O19" i="23"/>
  <c r="C19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C21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C20" i="23"/>
  <c r="D18" i="23"/>
  <c r="E18" i="23"/>
  <c r="F18" i="23"/>
  <c r="G18" i="23"/>
  <c r="H18" i="23"/>
  <c r="I18" i="23"/>
  <c r="J18" i="23"/>
  <c r="K18" i="23"/>
  <c r="L18" i="23"/>
  <c r="M18" i="23"/>
  <c r="N18" i="23"/>
  <c r="O18" i="23"/>
  <c r="C18" i="23"/>
  <c r="E17" i="23"/>
  <c r="F17" i="23"/>
  <c r="G17" i="23"/>
  <c r="H17" i="23"/>
  <c r="I17" i="23"/>
  <c r="J17" i="23"/>
  <c r="K17" i="23"/>
  <c r="L17" i="23"/>
  <c r="M17" i="23"/>
  <c r="N17" i="23"/>
  <c r="O17" i="23"/>
  <c r="D17" i="23"/>
  <c r="C17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C16" i="23"/>
  <c r="E15" i="23"/>
  <c r="F15" i="23"/>
  <c r="G15" i="23"/>
  <c r="H15" i="23"/>
  <c r="I15" i="23"/>
  <c r="J15" i="23"/>
  <c r="K15" i="23"/>
  <c r="L15" i="23"/>
  <c r="M15" i="23"/>
  <c r="N15" i="23"/>
  <c r="O15" i="23"/>
  <c r="D15" i="23"/>
  <c r="C15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E14" i="23"/>
  <c r="F14" i="23"/>
  <c r="G14" i="23"/>
  <c r="H14" i="23"/>
  <c r="I14" i="23"/>
  <c r="J14" i="23"/>
  <c r="K14" i="23"/>
  <c r="L14" i="23"/>
  <c r="M14" i="23"/>
  <c r="N14" i="23"/>
  <c r="O14" i="23"/>
  <c r="D14" i="23"/>
  <c r="C14" i="23"/>
  <c r="C13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C12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C11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C10" i="23"/>
  <c r="D9" i="23"/>
  <c r="E9" i="23"/>
  <c r="F9" i="23"/>
  <c r="G9" i="23"/>
  <c r="H9" i="23"/>
  <c r="I9" i="23"/>
  <c r="J9" i="23"/>
  <c r="K9" i="23"/>
  <c r="L9" i="23"/>
  <c r="M9" i="23"/>
  <c r="N9" i="23"/>
  <c r="O9" i="23"/>
  <c r="C9" i="23"/>
  <c r="D8" i="23"/>
  <c r="E8" i="23"/>
  <c r="F8" i="23"/>
  <c r="G8" i="23"/>
  <c r="H8" i="23"/>
  <c r="I8" i="23"/>
  <c r="J8" i="23"/>
  <c r="K8" i="23"/>
  <c r="L8" i="23"/>
  <c r="M8" i="23"/>
  <c r="N8" i="23"/>
  <c r="O8" i="23"/>
  <c r="D7" i="23"/>
  <c r="E7" i="23"/>
  <c r="F7" i="23"/>
  <c r="G7" i="23"/>
  <c r="H7" i="23"/>
  <c r="I7" i="23"/>
  <c r="J7" i="23"/>
  <c r="K7" i="23"/>
  <c r="L7" i="23"/>
  <c r="M7" i="23"/>
  <c r="N7" i="23"/>
  <c r="O7" i="23"/>
  <c r="C8" i="23"/>
  <c r="C7" i="23"/>
  <c r="D6" i="23"/>
  <c r="E6" i="23"/>
  <c r="F6" i="23"/>
  <c r="G6" i="23"/>
  <c r="H6" i="23"/>
  <c r="I6" i="23"/>
  <c r="J6" i="23"/>
  <c r="K6" i="23"/>
  <c r="L6" i="23"/>
  <c r="M6" i="23"/>
  <c r="N6" i="23"/>
  <c r="O6" i="23"/>
  <c r="C6" i="23"/>
  <c r="D5" i="23"/>
  <c r="E5" i="23"/>
  <c r="F5" i="23"/>
  <c r="G5" i="23"/>
  <c r="H5" i="23"/>
  <c r="I5" i="23"/>
  <c r="J5" i="23"/>
  <c r="K5" i="23"/>
  <c r="L5" i="23"/>
  <c r="M5" i="23"/>
  <c r="N5" i="23"/>
  <c r="O5" i="23"/>
  <c r="C5" i="23"/>
  <c r="O4" i="23"/>
  <c r="C4" i="23"/>
  <c r="D4" i="23"/>
  <c r="E4" i="23"/>
  <c r="F4" i="23"/>
  <c r="G4" i="23"/>
  <c r="H4" i="23"/>
  <c r="I4" i="23"/>
  <c r="J4" i="23"/>
  <c r="K4" i="23"/>
  <c r="L4" i="23"/>
  <c r="M4" i="23"/>
  <c r="N4" i="23"/>
  <c r="D3" i="23"/>
  <c r="E3" i="23"/>
  <c r="F3" i="23"/>
  <c r="G3" i="23"/>
  <c r="H3" i="23"/>
  <c r="I3" i="23"/>
  <c r="J3" i="23"/>
  <c r="K3" i="23"/>
  <c r="L3" i="23"/>
  <c r="M3" i="23"/>
  <c r="N3" i="23"/>
  <c r="O3" i="23"/>
  <c r="C3" i="23"/>
  <c r="N55" i="23"/>
  <c r="M55" i="23"/>
  <c r="P29" i="23"/>
  <c r="R29" i="23" s="1"/>
  <c r="S29" i="23" s="1"/>
  <c r="T29" i="23" s="1"/>
  <c r="U29" i="23" s="1"/>
  <c r="I47" i="23"/>
  <c r="H39" i="23"/>
  <c r="S5" i="23"/>
  <c r="J75" i="27" s="1"/>
  <c r="N33" i="23"/>
  <c r="I33" i="23"/>
  <c r="I2" i="23"/>
  <c r="J2" i="23" s="1"/>
  <c r="K2" i="23" s="1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D2" i="23"/>
  <c r="E2" i="23" s="1"/>
  <c r="F2" i="23" s="1"/>
  <c r="G2" i="23" s="1"/>
  <c r="T41" i="29" l="1"/>
  <c r="U5" i="23"/>
  <c r="AE40" i="24"/>
  <c r="AC46" i="24"/>
  <c r="AE47" i="24"/>
  <c r="AF50" i="24"/>
  <c r="Q52" i="24"/>
  <c r="AB54" i="24"/>
  <c r="M15" i="29"/>
  <c r="M56" i="29" s="1"/>
  <c r="O56" i="29" s="1"/>
  <c r="Y19" i="24"/>
  <c r="Z19" i="24"/>
  <c r="P52" i="24"/>
  <c r="AA52" i="24" s="1"/>
  <c r="AA54" i="24"/>
  <c r="R52" i="24"/>
  <c r="AC52" i="24" s="1"/>
  <c r="AC54" i="24"/>
  <c r="AC44" i="24"/>
  <c r="AE46" i="24"/>
  <c r="AB51" i="24"/>
  <c r="S52" i="24"/>
  <c r="AD54" i="24"/>
  <c r="T52" i="24"/>
  <c r="AE54" i="24"/>
  <c r="AE44" i="24"/>
  <c r="AC43" i="24"/>
  <c r="AB50" i="24"/>
  <c r="AD51" i="24"/>
  <c r="AF54" i="24"/>
  <c r="AD43" i="24"/>
  <c r="AF44" i="24"/>
  <c r="AB47" i="24"/>
  <c r="AC50" i="24"/>
  <c r="AE51" i="24"/>
  <c r="AC40" i="24"/>
  <c r="AE43" i="24"/>
  <c r="AC47" i="24"/>
  <c r="AD50" i="24"/>
  <c r="AF51" i="24"/>
  <c r="AA40" i="24"/>
  <c r="AE29" i="26" s="1"/>
  <c r="AE37" i="26" s="1"/>
  <c r="AB40" i="24"/>
  <c r="U57" i="28"/>
  <c r="U65" i="28"/>
  <c r="U71" i="28"/>
  <c r="U70" i="28"/>
  <c r="U72" i="28"/>
  <c r="T49" i="24"/>
  <c r="J16" i="27" s="1"/>
  <c r="R45" i="24"/>
  <c r="P50" i="23"/>
  <c r="G128" i="24"/>
  <c r="Q42" i="24"/>
  <c r="N54" i="23"/>
  <c r="J128" i="24"/>
  <c r="Q7" i="24"/>
  <c r="G10" i="27" s="1"/>
  <c r="P42" i="24"/>
  <c r="AA42" i="24" s="1"/>
  <c r="R102" i="24"/>
  <c r="AC102" i="24" s="1"/>
  <c r="AG41" i="26" s="1"/>
  <c r="O41" i="26" s="1"/>
  <c r="H48" i="27" s="1"/>
  <c r="S20" i="24"/>
  <c r="I12" i="27" s="1"/>
  <c r="T45" i="24"/>
  <c r="Q49" i="24"/>
  <c r="G16" i="27" s="1"/>
  <c r="R61" i="24"/>
  <c r="AC61" i="24" s="1"/>
  <c r="P49" i="24"/>
  <c r="R20" i="24"/>
  <c r="H12" i="27" s="1"/>
  <c r="U7" i="24"/>
  <c r="S7" i="24"/>
  <c r="I10" i="27" s="1"/>
  <c r="S23" i="24"/>
  <c r="U52" i="24"/>
  <c r="Q57" i="24"/>
  <c r="AB57" i="24" s="1"/>
  <c r="F128" i="24"/>
  <c r="Q59" i="24"/>
  <c r="I128" i="24"/>
  <c r="T23" i="24"/>
  <c r="S45" i="24"/>
  <c r="AD45" i="24" s="1"/>
  <c r="Q45" i="24"/>
  <c r="D128" i="24"/>
  <c r="L128" i="24"/>
  <c r="S49" i="24"/>
  <c r="I16" i="27" s="1"/>
  <c r="E128" i="24"/>
  <c r="T20" i="24"/>
  <c r="J12" i="27" s="1"/>
  <c r="Q23" i="24"/>
  <c r="R42" i="24"/>
  <c r="U42" i="24"/>
  <c r="P45" i="24"/>
  <c r="AA45" i="24" s="1"/>
  <c r="R49" i="24"/>
  <c r="Q20" i="24"/>
  <c r="G12" i="27" s="1"/>
  <c r="T42" i="24"/>
  <c r="R23" i="24"/>
  <c r="Q56" i="24"/>
  <c r="N128" i="24"/>
  <c r="R7" i="24"/>
  <c r="H10" i="27" s="1"/>
  <c r="T7" i="24"/>
  <c r="J10" i="27" s="1"/>
  <c r="U23" i="24"/>
  <c r="R32" i="24"/>
  <c r="R36" i="24"/>
  <c r="R31" i="24"/>
  <c r="R35" i="24"/>
  <c r="R48" i="24"/>
  <c r="AC48" i="24" s="1"/>
  <c r="Q99" i="24"/>
  <c r="Q37" i="24"/>
  <c r="Q33" i="24"/>
  <c r="U20" i="24"/>
  <c r="S42" i="24"/>
  <c r="U45" i="24"/>
  <c r="U49" i="24"/>
  <c r="Q95" i="24"/>
  <c r="Q98" i="24"/>
  <c r="Q67" i="24"/>
  <c r="Q62" i="24" s="1"/>
  <c r="Q94" i="24"/>
  <c r="H128" i="24"/>
  <c r="Q97" i="24"/>
  <c r="T102" i="24"/>
  <c r="AE102" i="24" s="1"/>
  <c r="AI41" i="26" s="1"/>
  <c r="Q41" i="26" s="1"/>
  <c r="J48" i="27" s="1"/>
  <c r="M128" i="24"/>
  <c r="P102" i="24"/>
  <c r="AA102" i="24" s="1"/>
  <c r="AE41" i="26" s="1"/>
  <c r="M41" i="26" s="1"/>
  <c r="L46" i="23"/>
  <c r="K33" i="23"/>
  <c r="S50" i="23"/>
  <c r="I39" i="23"/>
  <c r="K50" i="23"/>
  <c r="T50" i="23"/>
  <c r="I38" i="23"/>
  <c r="J45" i="23"/>
  <c r="L39" i="23"/>
  <c r="L47" i="23"/>
  <c r="Q5" i="23"/>
  <c r="N50" i="23"/>
  <c r="L38" i="23"/>
  <c r="Q14" i="23"/>
  <c r="R14" i="23" s="1"/>
  <c r="S14" i="23" s="1"/>
  <c r="R50" i="23"/>
  <c r="I50" i="23"/>
  <c r="J50" i="23"/>
  <c r="L50" i="23"/>
  <c r="M50" i="23"/>
  <c r="K38" i="23"/>
  <c r="L45" i="23"/>
  <c r="K39" i="23"/>
  <c r="K47" i="23"/>
  <c r="L33" i="23"/>
  <c r="T11" i="23"/>
  <c r="M45" i="23"/>
  <c r="N45" i="23"/>
  <c r="I46" i="23"/>
  <c r="I42" i="23"/>
  <c r="M47" i="23"/>
  <c r="L54" i="23"/>
  <c r="R5" i="23"/>
  <c r="I75" i="27" s="1"/>
  <c r="J33" i="23"/>
  <c r="H50" i="23"/>
  <c r="Q50" i="23"/>
  <c r="Q10" i="23"/>
  <c r="J46" i="23"/>
  <c r="J42" i="23"/>
  <c r="N47" i="23"/>
  <c r="H45" i="23"/>
  <c r="K46" i="23"/>
  <c r="K42" i="23"/>
  <c r="H46" i="23"/>
  <c r="H38" i="23"/>
  <c r="Q9" i="23"/>
  <c r="I45" i="23"/>
  <c r="L42" i="23"/>
  <c r="H47" i="23"/>
  <c r="M46" i="23"/>
  <c r="K45" i="23"/>
  <c r="U50" i="23"/>
  <c r="J38" i="23"/>
  <c r="N46" i="23"/>
  <c r="J39" i="23"/>
  <c r="J47" i="23"/>
  <c r="N48" i="23"/>
  <c r="U46" i="23"/>
  <c r="U11" i="23" s="1"/>
  <c r="T5" i="23"/>
  <c r="K75" i="27" s="1"/>
  <c r="R10" i="23"/>
  <c r="P33" i="23"/>
  <c r="H48" i="23"/>
  <c r="M33" i="23"/>
  <c r="S10" i="23"/>
  <c r="Q11" i="23"/>
  <c r="I48" i="23"/>
  <c r="K54" i="23"/>
  <c r="T10" i="23"/>
  <c r="R11" i="23"/>
  <c r="U10" i="23"/>
  <c r="S11" i="23"/>
  <c r="K55" i="23"/>
  <c r="S38" i="23"/>
  <c r="L55" i="23"/>
  <c r="G2" i="12"/>
  <c r="A4" i="12"/>
  <c r="A3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6" i="12"/>
  <c r="AF49" i="24" l="1"/>
  <c r="AA49" i="24"/>
  <c r="F16" i="27"/>
  <c r="AC49" i="24"/>
  <c r="H16" i="27"/>
  <c r="AF52" i="24"/>
  <c r="H75" i="27"/>
  <c r="F48" i="27"/>
  <c r="AF102" i="24"/>
  <c r="AJ41" i="26" s="1"/>
  <c r="R41" i="26" s="1"/>
  <c r="AD102" i="24"/>
  <c r="AH41" i="26" s="1"/>
  <c r="P41" i="26" s="1"/>
  <c r="I48" i="27" s="1"/>
  <c r="AB102" i="24"/>
  <c r="AF41" i="26" s="1"/>
  <c r="N41" i="26" s="1"/>
  <c r="G48" i="27" s="1"/>
  <c r="S12" i="27"/>
  <c r="S13" i="27" s="1"/>
  <c r="J76" i="27" s="1"/>
  <c r="T12" i="27"/>
  <c r="T13" i="27" s="1"/>
  <c r="R12" i="27"/>
  <c r="R13" i="27" s="1"/>
  <c r="I76" i="27" s="1"/>
  <c r="Q12" i="27"/>
  <c r="Q13" i="27" s="1"/>
  <c r="H76" i="27" s="1"/>
  <c r="AE23" i="24"/>
  <c r="P14" i="27"/>
  <c r="G84" i="27" s="1"/>
  <c r="R9" i="23"/>
  <c r="AC23" i="24"/>
  <c r="AE20" i="24"/>
  <c r="AF20" i="24"/>
  <c r="Q38" i="23"/>
  <c r="Q14" i="27"/>
  <c r="H84" i="27" s="1"/>
  <c r="AF23" i="24"/>
  <c r="T14" i="27"/>
  <c r="K84" i="27" s="1"/>
  <c r="AE7" i="24"/>
  <c r="AD23" i="24"/>
  <c r="AD20" i="24"/>
  <c r="R38" i="23"/>
  <c r="R14" i="27"/>
  <c r="I84" i="27" s="1"/>
  <c r="S14" i="27"/>
  <c r="J84" i="27" s="1"/>
  <c r="AD7" i="24"/>
  <c r="R59" i="24"/>
  <c r="AC59" i="24" s="1"/>
  <c r="AG9" i="26" s="1"/>
  <c r="O9" i="26" s="1"/>
  <c r="AB59" i="24"/>
  <c r="AF9" i="26" s="1"/>
  <c r="R56" i="24"/>
  <c r="AC56" i="24" s="1"/>
  <c r="AB56" i="24"/>
  <c r="AF33" i="26" s="1"/>
  <c r="N33" i="26" s="1"/>
  <c r="AD52" i="24"/>
  <c r="AB42" i="24"/>
  <c r="O15" i="29"/>
  <c r="AF42" i="24"/>
  <c r="AB45" i="24"/>
  <c r="P56" i="29"/>
  <c r="AD42" i="24"/>
  <c r="AD49" i="24"/>
  <c r="AE45" i="24"/>
  <c r="AC42" i="24"/>
  <c r="AB52" i="24"/>
  <c r="AC45" i="24"/>
  <c r="AE49" i="24"/>
  <c r="AE42" i="24"/>
  <c r="AE52" i="24"/>
  <c r="AF45" i="24"/>
  <c r="AB49" i="24"/>
  <c r="AC20" i="24"/>
  <c r="AF7" i="24"/>
  <c r="AC7" i="24"/>
  <c r="U74" i="28"/>
  <c r="Q33" i="23"/>
  <c r="R33" i="23"/>
  <c r="R57" i="24"/>
  <c r="Q58" i="24"/>
  <c r="AB58" i="24" s="1"/>
  <c r="Q30" i="24"/>
  <c r="Q34" i="24"/>
  <c r="R98" i="24"/>
  <c r="R37" i="24"/>
  <c r="Q92" i="24"/>
  <c r="Q60" i="24"/>
  <c r="AB60" i="24" s="1"/>
  <c r="AF29" i="26" s="1"/>
  <c r="N29" i="26" s="1"/>
  <c r="R94" i="24"/>
  <c r="S48" i="24"/>
  <c r="AD48" i="24" s="1"/>
  <c r="S36" i="24"/>
  <c r="R97" i="24"/>
  <c r="R95" i="24"/>
  <c r="S61" i="24"/>
  <c r="AD61" i="24" s="1"/>
  <c r="S32" i="24"/>
  <c r="R33" i="24"/>
  <c r="S35" i="24"/>
  <c r="R67" i="24"/>
  <c r="R99" i="24"/>
  <c r="S59" i="24"/>
  <c r="AD59" i="24" s="1"/>
  <c r="AH9" i="26" s="1"/>
  <c r="P9" i="26" s="1"/>
  <c r="Q96" i="24"/>
  <c r="AB96" i="24" s="1"/>
  <c r="S31" i="24"/>
  <c r="T33" i="23"/>
  <c r="S33" i="23"/>
  <c r="L40" i="23"/>
  <c r="K40" i="23"/>
  <c r="M48" i="23"/>
  <c r="P38" i="23"/>
  <c r="P15" i="23"/>
  <c r="L48" i="23"/>
  <c r="J40" i="23"/>
  <c r="I40" i="23"/>
  <c r="K48" i="23"/>
  <c r="T38" i="23"/>
  <c r="U33" i="23"/>
  <c r="H40" i="23"/>
  <c r="U38" i="23"/>
  <c r="Q13" i="23"/>
  <c r="R13" i="23" s="1"/>
  <c r="J48" i="23"/>
  <c r="T14" i="23"/>
  <c r="U14" i="23" s="1"/>
  <c r="T15" i="27" l="1"/>
  <c r="T47" i="27" s="1"/>
  <c r="K80" i="27" s="1"/>
  <c r="K76" i="27"/>
  <c r="N37" i="26"/>
  <c r="R15" i="27"/>
  <c r="R47" i="27" s="1"/>
  <c r="S72" i="27"/>
  <c r="S15" i="27"/>
  <c r="S47" i="27" s="1"/>
  <c r="J80" i="27" s="1"/>
  <c r="Q15" i="27"/>
  <c r="Q47" i="27" s="1"/>
  <c r="R72" i="27"/>
  <c r="G44" i="27"/>
  <c r="M62" i="36"/>
  <c r="E87" i="36" s="1"/>
  <c r="P19" i="24"/>
  <c r="AA19" i="24" s="1"/>
  <c r="O7" i="29"/>
  <c r="P20" i="27"/>
  <c r="S9" i="23"/>
  <c r="S57" i="24"/>
  <c r="AD57" i="24" s="1"/>
  <c r="AC57" i="24"/>
  <c r="AG33" i="26"/>
  <c r="O33" i="26" s="1"/>
  <c r="S56" i="24"/>
  <c r="AD56" i="24" s="1"/>
  <c r="AH33" i="26" s="1"/>
  <c r="P33" i="26" s="1"/>
  <c r="Q56" i="29"/>
  <c r="R56" i="29" s="1"/>
  <c r="R15" i="29" s="1"/>
  <c r="P15" i="29"/>
  <c r="P7" i="29" s="1"/>
  <c r="R58" i="24"/>
  <c r="Q55" i="24"/>
  <c r="AB55" i="24" s="1"/>
  <c r="R34" i="24"/>
  <c r="R30" i="24"/>
  <c r="S97" i="24"/>
  <c r="T57" i="24"/>
  <c r="AE57" i="24" s="1"/>
  <c r="R92" i="24"/>
  <c r="T48" i="24"/>
  <c r="AE48" i="24" s="1"/>
  <c r="T31" i="24"/>
  <c r="T59" i="24"/>
  <c r="AE59" i="24" s="1"/>
  <c r="AI9" i="26" s="1"/>
  <c r="Q9" i="26" s="1"/>
  <c r="T32" i="24"/>
  <c r="T35" i="24"/>
  <c r="R60" i="24"/>
  <c r="AC60" i="24" s="1"/>
  <c r="S99" i="24"/>
  <c r="S94" i="24"/>
  <c r="S67" i="24"/>
  <c r="R62" i="24"/>
  <c r="AC62" i="24" s="1"/>
  <c r="S33" i="24"/>
  <c r="T61" i="24"/>
  <c r="AE61" i="24" s="1"/>
  <c r="S95" i="24"/>
  <c r="S37" i="24"/>
  <c r="R96" i="24"/>
  <c r="AC96" i="24" s="1"/>
  <c r="T56" i="24"/>
  <c r="AE56" i="24" s="1"/>
  <c r="AI33" i="26" s="1"/>
  <c r="Q33" i="26" s="1"/>
  <c r="T36" i="24"/>
  <c r="S98" i="24"/>
  <c r="S13" i="23"/>
  <c r="T13" i="23" s="1"/>
  <c r="T15" i="23" s="1"/>
  <c r="Q15" i="23"/>
  <c r="R15" i="23"/>
  <c r="I80" i="27" l="1"/>
  <c r="S76" i="27" s="1"/>
  <c r="H80" i="27"/>
  <c r="R76" i="27" s="1"/>
  <c r="S56" i="29"/>
  <c r="T56" i="29" s="1"/>
  <c r="T15" i="29" s="1"/>
  <c r="Q20" i="27"/>
  <c r="R20" i="27"/>
  <c r="T9" i="23"/>
  <c r="Q19" i="24"/>
  <c r="AB19" i="24" s="1"/>
  <c r="S58" i="24"/>
  <c r="AD58" i="24" s="1"/>
  <c r="AC58" i="24"/>
  <c r="AG29" i="26"/>
  <c r="AG37" i="26" s="1"/>
  <c r="Q15" i="29"/>
  <c r="Q7" i="29" s="1"/>
  <c r="R7" i="29"/>
  <c r="S19" i="24"/>
  <c r="S30" i="24"/>
  <c r="S34" i="24"/>
  <c r="U56" i="24"/>
  <c r="AF56" i="24" s="1"/>
  <c r="AJ33" i="26" s="1"/>
  <c r="R33" i="26" s="1"/>
  <c r="T37" i="24"/>
  <c r="U31" i="24"/>
  <c r="T98" i="24"/>
  <c r="T33" i="24"/>
  <c r="U32" i="24"/>
  <c r="S60" i="24"/>
  <c r="AD60" i="24" s="1"/>
  <c r="R55" i="24"/>
  <c r="AC55" i="24" s="1"/>
  <c r="S92" i="24"/>
  <c r="U36" i="24"/>
  <c r="S96" i="24"/>
  <c r="AD96" i="24" s="1"/>
  <c r="AH29" i="26" s="1"/>
  <c r="U59" i="24"/>
  <c r="AF59" i="24" s="1"/>
  <c r="AJ9" i="26" s="1"/>
  <c r="R9" i="26" s="1"/>
  <c r="U61" i="24"/>
  <c r="AF61" i="24" s="1"/>
  <c r="U35" i="24"/>
  <c r="U57" i="24"/>
  <c r="AF57" i="24" s="1"/>
  <c r="T95" i="24"/>
  <c r="T94" i="24"/>
  <c r="T99" i="24"/>
  <c r="T67" i="24"/>
  <c r="S62" i="24"/>
  <c r="AD62" i="24" s="1"/>
  <c r="U48" i="24"/>
  <c r="AF48" i="24" s="1"/>
  <c r="T97" i="24"/>
  <c r="S15" i="23"/>
  <c r="U13" i="23"/>
  <c r="U15" i="23" s="1"/>
  <c r="S15" i="29" l="1"/>
  <c r="S7" i="29" s="1"/>
  <c r="S20" i="27"/>
  <c r="U9" i="23"/>
  <c r="T20" i="27"/>
  <c r="Q11" i="24"/>
  <c r="G11" i="27" s="1"/>
  <c r="O29" i="26"/>
  <c r="T58" i="24"/>
  <c r="AE58" i="24" s="1"/>
  <c r="R19" i="24"/>
  <c r="AD19" i="24" s="1"/>
  <c r="P29" i="26"/>
  <c r="AH37" i="26"/>
  <c r="S11" i="24"/>
  <c r="I11" i="27" s="1"/>
  <c r="T7" i="29"/>
  <c r="U19" i="24"/>
  <c r="T34" i="24"/>
  <c r="T30" i="24"/>
  <c r="U95" i="24"/>
  <c r="T96" i="24"/>
  <c r="AE96" i="24" s="1"/>
  <c r="AI29" i="26" s="1"/>
  <c r="U33" i="24"/>
  <c r="U37" i="24"/>
  <c r="U98" i="24"/>
  <c r="U99" i="24"/>
  <c r="T92" i="24"/>
  <c r="U97" i="24"/>
  <c r="U94" i="24"/>
  <c r="U58" i="24"/>
  <c r="AF58" i="24" s="1"/>
  <c r="U67" i="24"/>
  <c r="T62" i="24"/>
  <c r="AE62" i="24" s="1"/>
  <c r="T60" i="24"/>
  <c r="AE60" i="24" s="1"/>
  <c r="S55" i="24"/>
  <c r="AD55" i="24" s="1"/>
  <c r="T19" i="24" l="1"/>
  <c r="AF19" i="24" s="1"/>
  <c r="O37" i="26"/>
  <c r="H43" i="27" s="1"/>
  <c r="N62" i="36"/>
  <c r="F87" i="36" s="1"/>
  <c r="H44" i="27"/>
  <c r="P37" i="26"/>
  <c r="I43" i="27" s="1"/>
  <c r="O62" i="36"/>
  <c r="G87" i="36" s="1"/>
  <c r="I44" i="27"/>
  <c r="R11" i="24"/>
  <c r="AC19" i="24"/>
  <c r="Q29" i="26"/>
  <c r="AI37" i="26"/>
  <c r="U11" i="24"/>
  <c r="U30" i="24"/>
  <c r="U34" i="24"/>
  <c r="U60" i="24"/>
  <c r="AF60" i="24" s="1"/>
  <c r="U96" i="24"/>
  <c r="AF96" i="24" s="1"/>
  <c r="AJ29" i="26" s="1"/>
  <c r="U62" i="24"/>
  <c r="AF62" i="24" s="1"/>
  <c r="U92" i="24"/>
  <c r="T55" i="24"/>
  <c r="AE55" i="24" s="1"/>
  <c r="T11" i="24" l="1"/>
  <c r="AE11" i="24" s="1"/>
  <c r="AE19" i="24"/>
  <c r="AD11" i="24"/>
  <c r="H11" i="27"/>
  <c r="Q37" i="26"/>
  <c r="J43" i="27" s="1"/>
  <c r="P62" i="36"/>
  <c r="H87" i="36" s="1"/>
  <c r="J44" i="27"/>
  <c r="R59" i="27"/>
  <c r="S59" i="27"/>
  <c r="AC11" i="24"/>
  <c r="R29" i="26"/>
  <c r="AJ37" i="26"/>
  <c r="U55" i="24"/>
  <c r="AF55" i="24" s="1"/>
  <c r="AF11" i="24" l="1"/>
  <c r="T59" i="27"/>
  <c r="J11" i="27"/>
  <c r="R37" i="26"/>
  <c r="Q62" i="36"/>
  <c r="I87" i="36" s="1"/>
  <c r="H6" i="25"/>
  <c r="J6" i="25"/>
  <c r="K6" i="25" l="1"/>
  <c r="L6" i="25"/>
  <c r="M6" i="25" l="1"/>
  <c r="N6" i="25" l="1"/>
  <c r="O6" i="25" l="1"/>
  <c r="I6" i="25" l="1"/>
  <c r="H125" i="25" l="1"/>
  <c r="I125" i="25"/>
  <c r="J125" i="25"/>
  <c r="K125" i="25"/>
  <c r="M125" i="25" l="1"/>
  <c r="L125" i="25"/>
  <c r="H13" i="25" l="1"/>
  <c r="I13" i="25"/>
  <c r="J13" i="25"/>
  <c r="K13" i="25"/>
  <c r="L13" i="25"/>
  <c r="M13" i="25"/>
  <c r="N13" i="25"/>
  <c r="O13" i="25"/>
  <c r="P89" i="25"/>
  <c r="H90" i="25"/>
  <c r="I90" i="25"/>
  <c r="I23" i="25" s="1"/>
  <c r="I21" i="25" s="1"/>
  <c r="J90" i="25"/>
  <c r="J23" i="25" s="1"/>
  <c r="J21" i="25" s="1"/>
  <c r="K90" i="25"/>
  <c r="K23" i="25" s="1"/>
  <c r="K21" i="25" s="1"/>
  <c r="L90" i="25"/>
  <c r="L23" i="25" s="1"/>
  <c r="L21" i="25" s="1"/>
  <c r="M90" i="25"/>
  <c r="M23" i="25" s="1"/>
  <c r="M21" i="25" s="1"/>
  <c r="N90" i="25"/>
  <c r="N23" i="25" s="1"/>
  <c r="N21" i="25" s="1"/>
  <c r="O90" i="25"/>
  <c r="O23" i="25" s="1"/>
  <c r="O21" i="25" s="1"/>
  <c r="H91" i="25"/>
  <c r="I91" i="25"/>
  <c r="J91" i="25"/>
  <c r="K91" i="25"/>
  <c r="L91" i="25"/>
  <c r="M91" i="25"/>
  <c r="N91" i="25"/>
  <c r="O91" i="25"/>
  <c r="H93" i="25"/>
  <c r="I93" i="25"/>
  <c r="J93" i="25"/>
  <c r="K93" i="25"/>
  <c r="L93" i="25"/>
  <c r="M93" i="25"/>
  <c r="N93" i="25"/>
  <c r="O93" i="25"/>
  <c r="I15" i="25" l="1"/>
  <c r="J19" i="25"/>
  <c r="J15" i="25" l="1"/>
  <c r="K19" i="25"/>
  <c r="K15" i="25" l="1"/>
  <c r="L19" i="25"/>
  <c r="L15" i="25" l="1"/>
  <c r="M19" i="25"/>
  <c r="N19" i="25" l="1"/>
  <c r="M15" i="25"/>
  <c r="O19" i="25" l="1"/>
  <c r="O27" i="25" s="1"/>
  <c r="N15" i="25"/>
  <c r="N80" i="27" l="1"/>
  <c r="AA7" i="24" l="1"/>
  <c r="AB84" i="24" l="1"/>
  <c r="AA84" i="24"/>
  <c r="AB7" i="24"/>
  <c r="P62" i="24"/>
  <c r="P11" i="24"/>
  <c r="F11" i="27" s="1"/>
  <c r="M18" i="26"/>
  <c r="N19" i="26"/>
  <c r="N18" i="26"/>
  <c r="P23" i="24"/>
  <c r="Q59" i="27" l="1"/>
  <c r="P59" i="27"/>
  <c r="AB62" i="24"/>
  <c r="AA62" i="24"/>
  <c r="AA23" i="24"/>
  <c r="AB23" i="24"/>
  <c r="AA11" i="24"/>
  <c r="AB11" i="24"/>
  <c r="M17" i="26"/>
  <c r="M29" i="26"/>
  <c r="M16" i="26"/>
  <c r="V35" i="26"/>
  <c r="M35" i="26" s="1"/>
  <c r="N17" i="26"/>
  <c r="P20" i="24"/>
  <c r="F12" i="27" s="1"/>
  <c r="L63" i="36" l="1"/>
  <c r="D86" i="36" s="1"/>
  <c r="F41" i="27"/>
  <c r="G43" i="27"/>
  <c r="G45" i="27"/>
  <c r="F44" i="27"/>
  <c r="L62" i="36"/>
  <c r="D87" i="36" s="1"/>
  <c r="M37" i="26"/>
  <c r="F43" i="27" s="1"/>
  <c r="L30" i="36"/>
  <c r="AA20" i="24"/>
  <c r="AB20" i="24"/>
  <c r="AF37" i="26"/>
  <c r="N9" i="26" l="1"/>
  <c r="N16" i="26" l="1"/>
  <c r="M63" i="36" s="1"/>
  <c r="M30" i="36" l="1"/>
  <c r="E86" i="36"/>
  <c r="G41" i="27"/>
  <c r="I10" i="28" l="1"/>
  <c r="I17" i="28"/>
  <c r="J17" i="28"/>
  <c r="I55" i="28"/>
  <c r="I56" i="28" s="1"/>
  <c r="I18" i="28" l="1"/>
  <c r="I22" i="28"/>
  <c r="I11" i="28"/>
  <c r="I23" i="28"/>
  <c r="I26" i="28" s="1"/>
  <c r="I24" i="28"/>
  <c r="I65" i="28"/>
  <c r="I70" i="28"/>
  <c r="I72" i="28"/>
  <c r="J11" i="28"/>
  <c r="I64" i="28"/>
  <c r="J18" i="28"/>
  <c r="I74" i="28" l="1"/>
  <c r="J33" i="28"/>
  <c r="J47" i="28" s="1"/>
  <c r="K33" i="28"/>
  <c r="L34" i="28"/>
  <c r="J40" i="28"/>
  <c r="K40" i="28"/>
  <c r="L40" i="28"/>
  <c r="L41" i="28"/>
  <c r="K45" i="28"/>
  <c r="K46" i="28"/>
  <c r="K47" i="28"/>
  <c r="J48" i="28"/>
  <c r="K48" i="28"/>
  <c r="K49" i="28"/>
  <c r="J55" i="28"/>
  <c r="J56" i="28" s="1"/>
  <c r="J57" i="28" s="1"/>
  <c r="K55" i="28"/>
  <c r="J46" i="28" l="1"/>
  <c r="K34" i="28"/>
  <c r="J49" i="28"/>
  <c r="J34" i="28"/>
  <c r="J41" i="28"/>
  <c r="J45" i="28"/>
  <c r="K41" i="28"/>
  <c r="J65" i="28"/>
  <c r="J70" i="28"/>
  <c r="J73" i="28"/>
  <c r="J71" i="28"/>
  <c r="J72" i="28"/>
  <c r="J64" i="28"/>
  <c r="K56" i="28"/>
  <c r="K64" i="28"/>
  <c r="J74" i="28" l="1"/>
  <c r="K65" i="28"/>
  <c r="K71" i="28"/>
  <c r="K70" i="28"/>
  <c r="K57" i="28"/>
  <c r="L57" i="28"/>
  <c r="K72" i="28"/>
  <c r="K73" i="28"/>
  <c r="K74" i="28" l="1"/>
  <c r="O16" i="26" l="1"/>
  <c r="N30" i="36" l="1"/>
  <c r="H41" i="27"/>
  <c r="N63" i="36"/>
  <c r="F86" i="36" s="1"/>
  <c r="P16" i="26" l="1"/>
  <c r="I41" i="27" l="1"/>
  <c r="O63" i="36"/>
  <c r="G86" i="36" s="1"/>
  <c r="Q16" i="26"/>
  <c r="J41" i="27" l="1"/>
  <c r="P63" i="36"/>
  <c r="H86" i="36" s="1"/>
  <c r="AE8" i="26"/>
  <c r="M8" i="26" s="1"/>
  <c r="AB41" i="24"/>
  <c r="AF8" i="26" s="1"/>
  <c r="Q39" i="24"/>
  <c r="R16" i="26"/>
  <c r="Q63" i="36" s="1"/>
  <c r="I86" i="36" s="1"/>
  <c r="F39" i="27" l="1"/>
  <c r="L60" i="36"/>
  <c r="L28" i="36"/>
  <c r="Q38" i="24"/>
  <c r="G15" i="27" s="1"/>
  <c r="AB39" i="24"/>
  <c r="N8" i="26"/>
  <c r="AA39" i="24"/>
  <c r="P38" i="24"/>
  <c r="F15" i="27" s="1"/>
  <c r="G39" i="27" l="1"/>
  <c r="M60" i="36"/>
  <c r="D85" i="36"/>
  <c r="M28" i="36"/>
  <c r="AB38" i="24"/>
  <c r="Q29" i="24"/>
  <c r="G14" i="27" s="1"/>
  <c r="AA38" i="24"/>
  <c r="P29" i="24"/>
  <c r="E85" i="36" l="1"/>
  <c r="AA29" i="24"/>
  <c r="F14" i="27"/>
  <c r="AB29" i="24"/>
  <c r="AC41" i="24"/>
  <c r="AG8" i="26" s="1"/>
  <c r="R39" i="24"/>
  <c r="AD41" i="24"/>
  <c r="AH8" i="26" s="1"/>
  <c r="S39" i="24"/>
  <c r="AE41" i="24" l="1"/>
  <c r="AI8" i="26" s="1"/>
  <c r="T39" i="24"/>
  <c r="P8" i="26"/>
  <c r="AD39" i="24"/>
  <c r="S38" i="24"/>
  <c r="I15" i="27" s="1"/>
  <c r="R38" i="24"/>
  <c r="H15" i="27" s="1"/>
  <c r="AC39" i="24"/>
  <c r="O8" i="26"/>
  <c r="N28" i="36" l="1"/>
  <c r="N60" i="36"/>
  <c r="H39" i="27"/>
  <c r="O60" i="36"/>
  <c r="I39" i="27"/>
  <c r="R29" i="24"/>
  <c r="AC38" i="24"/>
  <c r="AD38" i="24"/>
  <c r="S29" i="24"/>
  <c r="I14" i="27" s="1"/>
  <c r="AF41" i="24"/>
  <c r="AJ8" i="26" s="1"/>
  <c r="U39" i="24"/>
  <c r="AE39" i="24"/>
  <c r="T38" i="24"/>
  <c r="J15" i="27" s="1"/>
  <c r="Q8" i="26"/>
  <c r="AC29" i="24" l="1"/>
  <c r="H14" i="27"/>
  <c r="G85" i="36"/>
  <c r="J39" i="27"/>
  <c r="P60" i="36"/>
  <c r="F85" i="36"/>
  <c r="AD29" i="24"/>
  <c r="AF39" i="24"/>
  <c r="U38" i="24"/>
  <c r="R8" i="26"/>
  <c r="Q60" i="36" s="1"/>
  <c r="AE38" i="24"/>
  <c r="T29" i="24"/>
  <c r="F17" i="27"/>
  <c r="AE29" i="24" l="1"/>
  <c r="J14" i="27"/>
  <c r="H85" i="36"/>
  <c r="I85" i="36"/>
  <c r="AF38" i="24"/>
  <c r="U29" i="24"/>
  <c r="AF29" i="24" s="1"/>
  <c r="F46" i="27"/>
  <c r="G17" i="27"/>
  <c r="G46" i="27" l="1"/>
  <c r="H17" i="27"/>
  <c r="H46" i="27" l="1"/>
  <c r="I46" i="27" l="1"/>
  <c r="J46" i="27" l="1"/>
  <c r="I17" i="27"/>
  <c r="J17" i="27" l="1"/>
  <c r="N5" i="31" l="1"/>
  <c r="N24" i="31" s="1"/>
  <c r="O24" i="31" s="1"/>
  <c r="N11" i="31"/>
  <c r="O57" i="31"/>
  <c r="N90" i="31"/>
  <c r="N91" i="31" s="1"/>
  <c r="O91" i="31" l="1"/>
  <c r="M10" i="36"/>
  <c r="O7" i="31"/>
  <c r="P57" i="31"/>
  <c r="P24" i="31"/>
  <c r="O6" i="31"/>
  <c r="O5" i="31" s="1"/>
  <c r="N28" i="31"/>
  <c r="P80" i="24" l="1"/>
  <c r="S17" i="36"/>
  <c r="P91" i="31"/>
  <c r="Q91" i="31" s="1"/>
  <c r="Q24" i="31"/>
  <c r="P6" i="31"/>
  <c r="P5" i="31" s="1"/>
  <c r="Q57" i="31"/>
  <c r="P7" i="31"/>
  <c r="Q80" i="24" l="1"/>
  <c r="F21" i="27"/>
  <c r="O11" i="31"/>
  <c r="AA80" i="24"/>
  <c r="Q66" i="36"/>
  <c r="D35" i="36"/>
  <c r="O66" i="36"/>
  <c r="N66" i="36"/>
  <c r="M66" i="36"/>
  <c r="D89" i="36"/>
  <c r="S13" i="36"/>
  <c r="P66" i="36"/>
  <c r="R91" i="31"/>
  <c r="S91" i="31" s="1"/>
  <c r="T91" i="31" s="1"/>
  <c r="R57" i="31"/>
  <c r="Q7" i="31"/>
  <c r="R24" i="31"/>
  <c r="Q6" i="31"/>
  <c r="Q5" i="31" s="1"/>
  <c r="R80" i="24" l="1"/>
  <c r="G21" i="27"/>
  <c r="P11" i="31"/>
  <c r="AB80" i="24"/>
  <c r="H89" i="36"/>
  <c r="E89" i="36"/>
  <c r="G89" i="36"/>
  <c r="I89" i="36"/>
  <c r="F89" i="36"/>
  <c r="S57" i="31"/>
  <c r="R7" i="31"/>
  <c r="R6" i="31"/>
  <c r="R5" i="31" s="1"/>
  <c r="S24" i="31"/>
  <c r="T24" i="31" s="1"/>
  <c r="S80" i="24" l="1"/>
  <c r="H21" i="27"/>
  <c r="Q11" i="31"/>
  <c r="AC80" i="24"/>
  <c r="T57" i="31"/>
  <c r="T7" i="31" s="1"/>
  <c r="S7" i="31"/>
  <c r="S6" i="31"/>
  <c r="S5" i="31" s="1"/>
  <c r="T6" i="31"/>
  <c r="T5" i="31" s="1"/>
  <c r="O58" i="31"/>
  <c r="P58" i="31" s="1"/>
  <c r="Q58" i="31" s="1"/>
  <c r="R58" i="31" s="1"/>
  <c r="S58" i="31" s="1"/>
  <c r="T58" i="31" s="1"/>
  <c r="N55" i="31"/>
  <c r="I21" i="27" l="1"/>
  <c r="R11" i="31"/>
  <c r="AD80" i="24"/>
  <c r="U80" i="24"/>
  <c r="T80" i="24"/>
  <c r="O56" i="31"/>
  <c r="O55" i="31" s="1"/>
  <c r="O14" i="31" s="1"/>
  <c r="O13" i="31" s="1"/>
  <c r="P56" i="31"/>
  <c r="J21" i="27" l="1"/>
  <c r="S11" i="31"/>
  <c r="AE80" i="24"/>
  <c r="T11" i="31"/>
  <c r="AF80" i="24"/>
  <c r="O89" i="31"/>
  <c r="O13" i="32" s="1"/>
  <c r="P8" i="23" s="1"/>
  <c r="L61" i="36" s="1"/>
  <c r="D84" i="36" s="1"/>
  <c r="P93" i="24"/>
  <c r="O33" i="32"/>
  <c r="O92" i="31"/>
  <c r="P55" i="31"/>
  <c r="P14" i="31" s="1"/>
  <c r="P13" i="31" s="1"/>
  <c r="Q56" i="31"/>
  <c r="F24" i="27" l="1"/>
  <c r="F32" i="27" s="1"/>
  <c r="P85" i="24"/>
  <c r="AA93" i="24"/>
  <c r="AE43" i="26" s="1"/>
  <c r="V12" i="26"/>
  <c r="P92" i="31"/>
  <c r="P89" i="31" s="1"/>
  <c r="P13" i="32" s="1"/>
  <c r="P12" i="32" s="1"/>
  <c r="Q7" i="23" s="1"/>
  <c r="Q93" i="24"/>
  <c r="P33" i="32"/>
  <c r="O12" i="32"/>
  <c r="P7" i="23" s="1"/>
  <c r="P18" i="27"/>
  <c r="P16" i="27" s="1"/>
  <c r="P12" i="23"/>
  <c r="P17" i="23" s="1"/>
  <c r="V21" i="26"/>
  <c r="M21" i="26" s="1"/>
  <c r="I31" i="36" s="1"/>
  <c r="I32" i="36" s="1"/>
  <c r="M12" i="26"/>
  <c r="V59" i="26"/>
  <c r="P19" i="27"/>
  <c r="L29" i="36"/>
  <c r="Q55" i="31"/>
  <c r="Q14" i="31" s="1"/>
  <c r="Q13" i="31" s="1"/>
  <c r="R56" i="31"/>
  <c r="Q18" i="27" l="1"/>
  <c r="Q16" i="27" s="1"/>
  <c r="Q12" i="23"/>
  <c r="Q17" i="23" s="1"/>
  <c r="Q18" i="23" s="1"/>
  <c r="G24" i="27"/>
  <c r="G32" i="27" s="1"/>
  <c r="AB93" i="24"/>
  <c r="AF43" i="26" s="1"/>
  <c r="Q85" i="24"/>
  <c r="Q92" i="31"/>
  <c r="Q89" i="31" s="1"/>
  <c r="Q13" i="32" s="1"/>
  <c r="X12" i="26" s="1"/>
  <c r="R93" i="24"/>
  <c r="Q33" i="32"/>
  <c r="M43" i="26"/>
  <c r="AE48" i="26"/>
  <c r="Q8" i="23"/>
  <c r="M61" i="36" s="1"/>
  <c r="E84" i="36" s="1"/>
  <c r="W12" i="26"/>
  <c r="N12" i="26" s="1"/>
  <c r="F23" i="27"/>
  <c r="F25" i="27" s="1"/>
  <c r="AA85" i="24"/>
  <c r="Q19" i="27"/>
  <c r="M29" i="36"/>
  <c r="Y12" i="23"/>
  <c r="P39" i="23"/>
  <c r="R55" i="31"/>
  <c r="R14" i="31" s="1"/>
  <c r="R13" i="31" s="1"/>
  <c r="S56" i="31"/>
  <c r="Z12" i="23" l="1"/>
  <c r="H24" i="27"/>
  <c r="H32" i="27" s="1"/>
  <c r="AC93" i="24"/>
  <c r="AG43" i="26" s="1"/>
  <c r="R85" i="24"/>
  <c r="AB85" i="24"/>
  <c r="G23" i="27"/>
  <c r="G25" i="27" s="1"/>
  <c r="AF48" i="26"/>
  <c r="N43" i="26"/>
  <c r="G49" i="27" s="1"/>
  <c r="Q12" i="32"/>
  <c r="R7" i="23" s="1"/>
  <c r="R18" i="27" s="1"/>
  <c r="R16" i="27" s="1"/>
  <c r="R92" i="31"/>
  <c r="R89" i="31" s="1"/>
  <c r="R13" i="32" s="1"/>
  <c r="S93" i="24"/>
  <c r="R33" i="32"/>
  <c r="W21" i="26"/>
  <c r="R8" i="23"/>
  <c r="N61" i="36" s="1"/>
  <c r="F84" i="36" s="1"/>
  <c r="M48" i="26"/>
  <c r="F47" i="27" s="1"/>
  <c r="F49" i="27"/>
  <c r="P18" i="23"/>
  <c r="P20" i="23" s="1"/>
  <c r="P21" i="23" s="1"/>
  <c r="L59" i="36" s="1"/>
  <c r="D83" i="36" s="1"/>
  <c r="Q42" i="23"/>
  <c r="Q39" i="23"/>
  <c r="X21" i="26"/>
  <c r="O21" i="26" s="1"/>
  <c r="K31" i="36" s="1"/>
  <c r="K32" i="36" s="1"/>
  <c r="K37" i="36" s="1"/>
  <c r="O12" i="26"/>
  <c r="X59" i="26"/>
  <c r="R12" i="32"/>
  <c r="S7" i="23" s="1"/>
  <c r="S18" i="27" s="1"/>
  <c r="S16" i="27" s="1"/>
  <c r="Y12" i="26"/>
  <c r="S8" i="23"/>
  <c r="P21" i="27"/>
  <c r="AE6" i="26"/>
  <c r="P42" i="23"/>
  <c r="R19" i="27"/>
  <c r="N29" i="36"/>
  <c r="S55" i="31"/>
  <c r="S14" i="31" s="1"/>
  <c r="S13" i="31" s="1"/>
  <c r="T56" i="31"/>
  <c r="T55" i="31" s="1"/>
  <c r="T14" i="31" s="1"/>
  <c r="T13" i="31" s="1"/>
  <c r="P55" i="30"/>
  <c r="Q55" i="30" s="1"/>
  <c r="R55" i="30" s="1"/>
  <c r="S55" i="30" s="1"/>
  <c r="T55" i="30" s="1"/>
  <c r="S92" i="31" l="1"/>
  <c r="S89" i="31" s="1"/>
  <c r="S13" i="32" s="1"/>
  <c r="T93" i="24"/>
  <c r="S33" i="32"/>
  <c r="N21" i="26"/>
  <c r="J31" i="36" s="1"/>
  <c r="J32" i="36" s="1"/>
  <c r="J37" i="36" s="1"/>
  <c r="W59" i="26"/>
  <c r="S12" i="23"/>
  <c r="R12" i="23"/>
  <c r="R39" i="23" s="1"/>
  <c r="AC85" i="24"/>
  <c r="H23" i="27"/>
  <c r="H25" i="27" s="1"/>
  <c r="O43" i="26"/>
  <c r="H49" i="27" s="1"/>
  <c r="AG48" i="26"/>
  <c r="I24" i="27"/>
  <c r="I32" i="27" s="1"/>
  <c r="AD93" i="24"/>
  <c r="AH43" i="26" s="1"/>
  <c r="S85" i="24"/>
  <c r="T92" i="31"/>
  <c r="T89" i="31" s="1"/>
  <c r="T13" i="32" s="1"/>
  <c r="T12" i="32" s="1"/>
  <c r="U7" i="23" s="1"/>
  <c r="U12" i="23" s="1"/>
  <c r="U17" i="23" s="1"/>
  <c r="U93" i="24"/>
  <c r="T33" i="32"/>
  <c r="S19" i="27"/>
  <c r="O61" i="36"/>
  <c r="G84" i="36" s="1"/>
  <c r="Q20" i="23"/>
  <c r="AF6" i="26"/>
  <c r="AF15" i="26" s="1"/>
  <c r="AF26" i="26" s="1"/>
  <c r="AF51" i="26" s="1"/>
  <c r="Q21" i="27"/>
  <c r="R17" i="23"/>
  <c r="P22" i="27"/>
  <c r="P23" i="27" s="1"/>
  <c r="G77" i="27" s="1"/>
  <c r="M22" i="26"/>
  <c r="Y21" i="26"/>
  <c r="P21" i="26" s="1"/>
  <c r="L31" i="36" s="1"/>
  <c r="P12" i="26"/>
  <c r="Y59" i="26"/>
  <c r="S12" i="32"/>
  <c r="T7" i="23" s="1"/>
  <c r="T12" i="23" s="1"/>
  <c r="Z12" i="26"/>
  <c r="T8" i="23"/>
  <c r="P28" i="27"/>
  <c r="P43" i="23"/>
  <c r="M6" i="26"/>
  <c r="AE15" i="26"/>
  <c r="AE26" i="26" s="1"/>
  <c r="AE51" i="26" s="1"/>
  <c r="AE57" i="26" s="1"/>
  <c r="AF53" i="26" s="1"/>
  <c r="Q28" i="27"/>
  <c r="Q43" i="23"/>
  <c r="S39" i="23"/>
  <c r="AB12" i="23" l="1"/>
  <c r="N6" i="26"/>
  <c r="G38" i="27" s="1"/>
  <c r="U8" i="23"/>
  <c r="Q61" i="36" s="1"/>
  <c r="I84" i="36" s="1"/>
  <c r="AA12" i="23"/>
  <c r="AF93" i="24"/>
  <c r="AJ43" i="26" s="1"/>
  <c r="U85" i="24"/>
  <c r="P43" i="26"/>
  <c r="I49" i="27" s="1"/>
  <c r="AH48" i="26"/>
  <c r="AD85" i="24"/>
  <c r="I23" i="27"/>
  <c r="I25" i="27" s="1"/>
  <c r="S17" i="23"/>
  <c r="S21" i="27" s="1"/>
  <c r="T19" i="27"/>
  <c r="P61" i="36"/>
  <c r="H84" i="36" s="1"/>
  <c r="J24" i="27"/>
  <c r="J32" i="27" s="1"/>
  <c r="AE93" i="24"/>
  <c r="AI43" i="26" s="1"/>
  <c r="T85" i="24"/>
  <c r="AA12" i="26"/>
  <c r="Q22" i="27"/>
  <c r="Q23" i="27" s="1"/>
  <c r="N22" i="26"/>
  <c r="AG6" i="26"/>
  <c r="O6" i="26" s="1"/>
  <c r="Q21" i="23"/>
  <c r="M59" i="36" s="1"/>
  <c r="R42" i="23"/>
  <c r="R43" i="23" s="1"/>
  <c r="R21" i="27"/>
  <c r="R18" i="23"/>
  <c r="R20" i="23" s="1"/>
  <c r="R22" i="27" s="1"/>
  <c r="D88" i="36"/>
  <c r="L64" i="36"/>
  <c r="L67" i="36" s="1"/>
  <c r="M15" i="26"/>
  <c r="F38" i="27"/>
  <c r="T18" i="27"/>
  <c r="T16" i="27" s="1"/>
  <c r="AA21" i="26"/>
  <c r="R21" i="26" s="1"/>
  <c r="N31" i="36" s="1"/>
  <c r="R12" i="26"/>
  <c r="AA59" i="26"/>
  <c r="P30" i="27"/>
  <c r="P29" i="27"/>
  <c r="P55" i="27"/>
  <c r="P31" i="27"/>
  <c r="U39" i="23"/>
  <c r="AF57" i="26"/>
  <c r="AG53" i="26" s="1"/>
  <c r="Z21" i="26"/>
  <c r="Q21" i="26" s="1"/>
  <c r="M31" i="36" s="1"/>
  <c r="Q12" i="26"/>
  <c r="Q73" i="27"/>
  <c r="P25" i="27"/>
  <c r="G81" i="27" s="1"/>
  <c r="P26" i="23"/>
  <c r="P24" i="27"/>
  <c r="G85" i="27" s="1"/>
  <c r="L27" i="36"/>
  <c r="Y21" i="23"/>
  <c r="P22" i="23"/>
  <c r="P23" i="23" s="1"/>
  <c r="P40" i="23"/>
  <c r="P117" i="24"/>
  <c r="AA117" i="24" s="1"/>
  <c r="N15" i="26"/>
  <c r="AC12" i="23"/>
  <c r="T39" i="23"/>
  <c r="T17" i="23"/>
  <c r="AG15" i="26"/>
  <c r="AG26" i="26" s="1"/>
  <c r="AG51" i="26" s="1"/>
  <c r="Q55" i="27"/>
  <c r="Q30" i="27"/>
  <c r="Q29" i="27"/>
  <c r="Q31" i="27"/>
  <c r="AD12" i="23"/>
  <c r="U18" i="23"/>
  <c r="U20" i="23" s="1"/>
  <c r="U42" i="23"/>
  <c r="U43" i="23" s="1"/>
  <c r="AJ6" i="26"/>
  <c r="S42" i="23" l="1"/>
  <c r="S18" i="23"/>
  <c r="S20" i="23" s="1"/>
  <c r="S21" i="23" s="1"/>
  <c r="O59" i="36" s="1"/>
  <c r="G83" i="36" s="1"/>
  <c r="G88" i="36" s="1"/>
  <c r="AH6" i="26"/>
  <c r="AH15" i="26" s="1"/>
  <c r="AH26" i="26" s="1"/>
  <c r="AH51" i="26" s="1"/>
  <c r="Z59" i="26"/>
  <c r="AE85" i="24"/>
  <c r="J23" i="27"/>
  <c r="J25" i="27" s="1"/>
  <c r="Q43" i="26"/>
  <c r="J49" i="27" s="1"/>
  <c r="AI48" i="26"/>
  <c r="AF85" i="24"/>
  <c r="R43" i="26"/>
  <c r="AJ48" i="26"/>
  <c r="Q25" i="27"/>
  <c r="H81" i="27" s="1"/>
  <c r="R77" i="27" s="1"/>
  <c r="H77" i="27"/>
  <c r="E83" i="36"/>
  <c r="E88" i="36" s="1"/>
  <c r="M64" i="36"/>
  <c r="M67" i="36" s="1"/>
  <c r="R21" i="23"/>
  <c r="N59" i="36" s="1"/>
  <c r="N64" i="36" s="1"/>
  <c r="N67" i="36" s="1"/>
  <c r="R22" i="26"/>
  <c r="U21" i="23"/>
  <c r="U117" i="24" s="1"/>
  <c r="O22" i="26"/>
  <c r="Q26" i="23"/>
  <c r="R73" i="27"/>
  <c r="Q117" i="24"/>
  <c r="AB117" i="24" s="1"/>
  <c r="Z21" i="23"/>
  <c r="M27" i="36"/>
  <c r="M32" i="36" s="1"/>
  <c r="M37" i="36" s="1"/>
  <c r="Q24" i="27"/>
  <c r="H85" i="27" s="1"/>
  <c r="Q22" i="23"/>
  <c r="Q130" i="25" s="1"/>
  <c r="R23" i="27"/>
  <c r="I77" i="27" s="1"/>
  <c r="S73" i="27" s="1"/>
  <c r="P130" i="25"/>
  <c r="P132" i="25" s="1"/>
  <c r="Q129" i="25" s="1"/>
  <c r="Q131" i="25" s="1"/>
  <c r="N46" i="26" s="1"/>
  <c r="AA46" i="27" s="1"/>
  <c r="P20" i="25"/>
  <c r="R28" i="27"/>
  <c r="R29" i="27" s="1"/>
  <c r="Q40" i="23"/>
  <c r="AG57" i="26"/>
  <c r="AH53" i="26" s="1"/>
  <c r="O15" i="26"/>
  <c r="H38" i="27"/>
  <c r="Q77" i="27"/>
  <c r="P48" i="27"/>
  <c r="L25" i="36"/>
  <c r="L32" i="36"/>
  <c r="L37" i="36" s="1"/>
  <c r="P32" i="27"/>
  <c r="P33" i="27"/>
  <c r="P46" i="27" s="1"/>
  <c r="P22" i="26"/>
  <c r="AI6" i="26"/>
  <c r="T42" i="23"/>
  <c r="T18" i="23"/>
  <c r="T20" i="23" s="1"/>
  <c r="T21" i="23" s="1"/>
  <c r="P59" i="36" s="1"/>
  <c r="T21" i="27"/>
  <c r="S117" i="24"/>
  <c r="S28" i="27"/>
  <c r="S43" i="23"/>
  <c r="Q32" i="27"/>
  <c r="Q33" i="27"/>
  <c r="Q46" i="27" s="1"/>
  <c r="R6" i="26"/>
  <c r="R15" i="26" s="1"/>
  <c r="AJ15" i="26"/>
  <c r="AJ26" i="26" s="1"/>
  <c r="S22" i="23" l="1"/>
  <c r="O64" i="36"/>
  <c r="O67" i="36" s="1"/>
  <c r="S22" i="27"/>
  <c r="S23" i="27" s="1"/>
  <c r="J77" i="27" s="1"/>
  <c r="S40" i="23"/>
  <c r="F83" i="36"/>
  <c r="F88" i="36" s="1"/>
  <c r="P6" i="26"/>
  <c r="I38" i="27" s="1"/>
  <c r="Q48" i="27"/>
  <c r="R26" i="23"/>
  <c r="S24" i="27"/>
  <c r="J85" i="27" s="1"/>
  <c r="AA21" i="23"/>
  <c r="R22" i="23"/>
  <c r="R23" i="23" s="1"/>
  <c r="N27" i="36"/>
  <c r="N32" i="36" s="1"/>
  <c r="N37" i="36" s="1"/>
  <c r="N38" i="36" s="1"/>
  <c r="S26" i="23"/>
  <c r="R24" i="27"/>
  <c r="I85" i="27" s="1"/>
  <c r="R117" i="24"/>
  <c r="AD117" i="24" s="1"/>
  <c r="AB21" i="23"/>
  <c r="R40" i="23"/>
  <c r="AJ51" i="26"/>
  <c r="R25" i="27"/>
  <c r="I81" i="27" s="1"/>
  <c r="S77" i="27" s="1"/>
  <c r="Q39" i="27"/>
  <c r="AA47" i="27"/>
  <c r="M25" i="36"/>
  <c r="R30" i="27"/>
  <c r="R31" i="27"/>
  <c r="R33" i="27" s="1"/>
  <c r="R46" i="27" s="1"/>
  <c r="R55" i="27"/>
  <c r="P16" i="25"/>
  <c r="P118" i="24" s="1"/>
  <c r="AA118" i="24" s="1"/>
  <c r="Q23" i="23"/>
  <c r="Q26" i="27" s="1"/>
  <c r="Q27" i="27" s="1"/>
  <c r="AH57" i="26"/>
  <c r="AI53" i="26" s="1"/>
  <c r="Q132" i="25"/>
  <c r="Q16" i="25" s="1"/>
  <c r="Q118" i="24" s="1"/>
  <c r="P15" i="26"/>
  <c r="H83" i="36"/>
  <c r="H88" i="36" s="1"/>
  <c r="P64" i="36"/>
  <c r="P67" i="36" s="1"/>
  <c r="U22" i="23"/>
  <c r="U23" i="23" s="1"/>
  <c r="U20" i="25" s="1"/>
  <c r="U105" i="25" s="1"/>
  <c r="Q59" i="36"/>
  <c r="N48" i="26"/>
  <c r="G50" i="27"/>
  <c r="P26" i="27"/>
  <c r="P27" i="27" s="1"/>
  <c r="U40" i="23"/>
  <c r="AD21" i="23"/>
  <c r="T28" i="27"/>
  <c r="T43" i="23"/>
  <c r="S25" i="27"/>
  <c r="J81" i="27" s="1"/>
  <c r="S30" i="27"/>
  <c r="S29" i="27"/>
  <c r="S55" i="27"/>
  <c r="S31" i="27"/>
  <c r="N25" i="36"/>
  <c r="U26" i="23"/>
  <c r="T22" i="23"/>
  <c r="T130" i="25" s="1"/>
  <c r="T117" i="24"/>
  <c r="AE117" i="24" s="1"/>
  <c r="T26" i="23"/>
  <c r="T40" i="23"/>
  <c r="T24" i="27"/>
  <c r="K85" i="27" s="1"/>
  <c r="AC21" i="23"/>
  <c r="Q6" i="26"/>
  <c r="AI15" i="26"/>
  <c r="AI26" i="26" s="1"/>
  <c r="AI51" i="26" s="1"/>
  <c r="S23" i="23"/>
  <c r="S130" i="25"/>
  <c r="T22" i="27"/>
  <c r="T23" i="27" s="1"/>
  <c r="K77" i="27" s="1"/>
  <c r="Q22" i="26"/>
  <c r="R130" i="25" l="1"/>
  <c r="R32" i="27"/>
  <c r="AC117" i="24"/>
  <c r="R48" i="27"/>
  <c r="D49" i="36"/>
  <c r="D53" i="36" s="1"/>
  <c r="D55" i="36" s="1"/>
  <c r="Q20" i="25"/>
  <c r="Q90" i="25" s="1"/>
  <c r="Q23" i="25" s="1"/>
  <c r="G47" i="27"/>
  <c r="F31" i="27"/>
  <c r="U130" i="25"/>
  <c r="AI57" i="26"/>
  <c r="AJ53" i="26" s="1"/>
  <c r="AJ57" i="26" s="1"/>
  <c r="R129" i="25"/>
  <c r="R131" i="25" s="1"/>
  <c r="O46" i="26" s="1"/>
  <c r="AB46" i="27" s="1"/>
  <c r="I83" i="36"/>
  <c r="I88" i="36" s="1"/>
  <c r="Q64" i="36"/>
  <c r="H69" i="36" s="1"/>
  <c r="H70" i="36" s="1"/>
  <c r="AB118" i="24"/>
  <c r="G31" i="27"/>
  <c r="Q15" i="26"/>
  <c r="J38" i="27"/>
  <c r="P112" i="25"/>
  <c r="P43" i="27" s="1"/>
  <c r="Z48" i="27" s="1"/>
  <c r="Z49" i="27" s="1"/>
  <c r="P97" i="25"/>
  <c r="P105" i="25"/>
  <c r="P90" i="25"/>
  <c r="P23" i="25" s="1"/>
  <c r="U90" i="25"/>
  <c r="U23" i="25" s="1"/>
  <c r="U112" i="25"/>
  <c r="AF117" i="24"/>
  <c r="U97" i="25"/>
  <c r="T23" i="23"/>
  <c r="T26" i="27" s="1"/>
  <c r="T27" i="27" s="1"/>
  <c r="U27" i="23"/>
  <c r="U30" i="23" s="1"/>
  <c r="U24" i="25"/>
  <c r="R26" i="27"/>
  <c r="R27" i="27" s="1"/>
  <c r="R20" i="25"/>
  <c r="S32" i="27"/>
  <c r="S33" i="27"/>
  <c r="S46" i="27" s="1"/>
  <c r="T55" i="27"/>
  <c r="T29" i="27"/>
  <c r="T30" i="27"/>
  <c r="T31" i="27"/>
  <c r="T25" i="27"/>
  <c r="S26" i="27"/>
  <c r="S27" i="27" s="1"/>
  <c r="S20" i="25"/>
  <c r="S48" i="27"/>
  <c r="Q97" i="25" l="1"/>
  <c r="Q112" i="25"/>
  <c r="Q43" i="27" s="1"/>
  <c r="AA48" i="27" s="1"/>
  <c r="AA49" i="27" s="1"/>
  <c r="Q105" i="25"/>
  <c r="Q27" i="23" s="1"/>
  <c r="Q30" i="23" s="1"/>
  <c r="R39" i="27"/>
  <c r="AB47" i="27"/>
  <c r="T48" i="27"/>
  <c r="K81" i="27"/>
  <c r="O48" i="26"/>
  <c r="H47" i="27" s="1"/>
  <c r="H50" i="27"/>
  <c r="Q67" i="36"/>
  <c r="P27" i="23"/>
  <c r="P30" i="23" s="1"/>
  <c r="P106" i="25"/>
  <c r="M23" i="26" s="1"/>
  <c r="M26" i="26" s="1"/>
  <c r="P24" i="25"/>
  <c r="P21" i="25" s="1"/>
  <c r="P28" i="25" s="1"/>
  <c r="U21" i="25"/>
  <c r="T20" i="25"/>
  <c r="T90" i="25" s="1"/>
  <c r="T23" i="25" s="1"/>
  <c r="R132" i="25"/>
  <c r="R112" i="25"/>
  <c r="R43" i="27" s="1"/>
  <c r="AB48" i="27" s="1"/>
  <c r="AB49" i="27" s="1"/>
  <c r="R105" i="25"/>
  <c r="R90" i="25"/>
  <c r="R23" i="25" s="1"/>
  <c r="R97" i="25"/>
  <c r="S97" i="25"/>
  <c r="S105" i="25"/>
  <c r="S112" i="25"/>
  <c r="S43" i="27" s="1"/>
  <c r="S90" i="25"/>
  <c r="S23" i="25" s="1"/>
  <c r="T33" i="27"/>
  <c r="T46" i="27" s="1"/>
  <c r="T32" i="27"/>
  <c r="U24" i="23"/>
  <c r="Q24" i="25" l="1"/>
  <c r="Q21" i="25" s="1"/>
  <c r="H68" i="36"/>
  <c r="P107" i="25"/>
  <c r="O37" i="29" s="1"/>
  <c r="D92" i="36"/>
  <c r="M51" i="26"/>
  <c r="M57" i="26" s="1"/>
  <c r="N53" i="26" s="1"/>
  <c r="F37" i="27"/>
  <c r="P115" i="24"/>
  <c r="F30" i="27" s="1"/>
  <c r="P15" i="25"/>
  <c r="Q19" i="25"/>
  <c r="Q28" i="25" s="1"/>
  <c r="Q15" i="25" s="1"/>
  <c r="P24" i="23"/>
  <c r="Q74" i="27" s="1"/>
  <c r="T112" i="25"/>
  <c r="T43" i="27" s="1"/>
  <c r="T105" i="25"/>
  <c r="T24" i="25" s="1"/>
  <c r="T21" i="25" s="1"/>
  <c r="T97" i="25"/>
  <c r="S27" i="23"/>
  <c r="S30" i="23" s="1"/>
  <c r="S24" i="25"/>
  <c r="S21" i="25" s="1"/>
  <c r="R27" i="23"/>
  <c r="R30" i="23" s="1"/>
  <c r="R24" i="25"/>
  <c r="R21" i="25" s="1"/>
  <c r="S129" i="25"/>
  <c r="R16" i="25"/>
  <c r="R118" i="24" s="1"/>
  <c r="Q24" i="23"/>
  <c r="Q37" i="27" l="1"/>
  <c r="R74" i="27"/>
  <c r="D90" i="36"/>
  <c r="D93" i="36" s="1"/>
  <c r="D98" i="36" s="1"/>
  <c r="E19" i="36" s="1"/>
  <c r="H71" i="36"/>
  <c r="H75" i="36" s="1"/>
  <c r="H77" i="36" s="1"/>
  <c r="P82" i="24"/>
  <c r="P108" i="25" s="1"/>
  <c r="Q104" i="25"/>
  <c r="Q106" i="25" s="1"/>
  <c r="N23" i="26" s="1"/>
  <c r="N26" i="26" s="1"/>
  <c r="N51" i="26" s="1"/>
  <c r="N57" i="26" s="1"/>
  <c r="Q115" i="24"/>
  <c r="G30" i="27" s="1"/>
  <c r="P5" i="24"/>
  <c r="AA5" i="24" s="1"/>
  <c r="R19" i="25"/>
  <c r="R28" i="25" s="1"/>
  <c r="R115" i="24" s="1"/>
  <c r="H30" i="27" s="1"/>
  <c r="AC118" i="24"/>
  <c r="H31" i="27"/>
  <c r="P37" i="27"/>
  <c r="D123" i="36"/>
  <c r="D124" i="36" s="1"/>
  <c r="E20" i="36" s="1"/>
  <c r="F42" i="27"/>
  <c r="F51" i="27"/>
  <c r="P116" i="24"/>
  <c r="AA116" i="24" s="1"/>
  <c r="AA115" i="24"/>
  <c r="T27" i="23"/>
  <c r="T30" i="23" s="1"/>
  <c r="T24" i="23" s="1"/>
  <c r="T37" i="27" s="1"/>
  <c r="S131" i="25"/>
  <c r="P46" i="26" s="1"/>
  <c r="AC46" i="27" s="1"/>
  <c r="S39" i="27" s="1"/>
  <c r="R24" i="23"/>
  <c r="S24" i="23"/>
  <c r="S37" i="27" s="1"/>
  <c r="R37" i="27" l="1"/>
  <c r="S74" i="27"/>
  <c r="P4" i="24"/>
  <c r="F9" i="27" s="1"/>
  <c r="F54" i="27" s="1"/>
  <c r="Q107" i="25"/>
  <c r="Q82" i="24" s="1"/>
  <c r="Q108" i="25" s="1"/>
  <c r="P70" i="24"/>
  <c r="F19" i="27" s="1"/>
  <c r="F22" i="27" s="1"/>
  <c r="AA82" i="24"/>
  <c r="G37" i="27"/>
  <c r="G42" i="27" s="1"/>
  <c r="E21" i="36"/>
  <c r="B9" i="36" s="1"/>
  <c r="Q5" i="24"/>
  <c r="Q4" i="24" s="1"/>
  <c r="G9" i="27" s="1"/>
  <c r="G33" i="27" s="1"/>
  <c r="Q53" i="27" s="1"/>
  <c r="Q116" i="24"/>
  <c r="AB116" i="24" s="1"/>
  <c r="AB115" i="24"/>
  <c r="P48" i="26"/>
  <c r="I47" i="27" s="1"/>
  <c r="I50" i="27"/>
  <c r="S19" i="25"/>
  <c r="S28" i="25" s="1"/>
  <c r="S15" i="25" s="1"/>
  <c r="R15" i="25"/>
  <c r="S132" i="25"/>
  <c r="T129" i="25" s="1"/>
  <c r="AC115" i="24"/>
  <c r="R116" i="24"/>
  <c r="R104" i="25" l="1"/>
  <c r="R106" i="25" s="1"/>
  <c r="O23" i="26" s="1"/>
  <c r="O26" i="26" s="1"/>
  <c r="O51" i="26" s="1"/>
  <c r="P3" i="24"/>
  <c r="F8" i="27" s="1"/>
  <c r="F13" i="27" s="1"/>
  <c r="O25" i="29"/>
  <c r="P69" i="24"/>
  <c r="F18" i="27" s="1"/>
  <c r="AA70" i="24"/>
  <c r="F33" i="27"/>
  <c r="P53" i="27" s="1"/>
  <c r="P54" i="27"/>
  <c r="M59" i="26"/>
  <c r="AB82" i="24"/>
  <c r="AA4" i="24"/>
  <c r="G51" i="27"/>
  <c r="B10" i="36"/>
  <c r="P37" i="29"/>
  <c r="Q70" i="24"/>
  <c r="P25" i="29" s="1"/>
  <c r="AA43" i="23"/>
  <c r="S57" i="23" s="1"/>
  <c r="AC116" i="24"/>
  <c r="R107" i="25"/>
  <c r="S104" i="25" s="1"/>
  <c r="N59" i="26"/>
  <c r="G54" i="27"/>
  <c r="H52" i="27" s="1"/>
  <c r="AB4" i="24"/>
  <c r="O53" i="26"/>
  <c r="AB5" i="24"/>
  <c r="Q3" i="24"/>
  <c r="G8" i="27" s="1"/>
  <c r="G13" i="27" s="1"/>
  <c r="F53" i="27"/>
  <c r="G52" i="27"/>
  <c r="T19" i="25"/>
  <c r="T28" i="25" s="1"/>
  <c r="T115" i="24" s="1"/>
  <c r="J30" i="27" s="1"/>
  <c r="S115" i="24"/>
  <c r="S16" i="25"/>
  <c r="S118" i="24" s="1"/>
  <c r="T131" i="25"/>
  <c r="Q46" i="26" s="1"/>
  <c r="AD46" i="27" s="1"/>
  <c r="T39" i="27" s="1"/>
  <c r="H37" i="27" l="1"/>
  <c r="H42" i="27" s="1"/>
  <c r="O57" i="26"/>
  <c r="R5" i="24" s="1"/>
  <c r="R4" i="24" s="1"/>
  <c r="H9" i="27" s="1"/>
  <c r="H54" i="27" s="1"/>
  <c r="F7" i="27"/>
  <c r="AA3" i="24"/>
  <c r="P68" i="24"/>
  <c r="AA68" i="24" s="1"/>
  <c r="AA69" i="24"/>
  <c r="AB70" i="24"/>
  <c r="Q69" i="24"/>
  <c r="G18" i="27" s="1"/>
  <c r="U57" i="23"/>
  <c r="U59" i="23" s="1"/>
  <c r="R57" i="23"/>
  <c r="R59" i="23" s="1"/>
  <c r="T57" i="23"/>
  <c r="T59" i="23" s="1"/>
  <c r="T42" i="27" s="1"/>
  <c r="P57" i="23"/>
  <c r="P59" i="23" s="1"/>
  <c r="Q57" i="23"/>
  <c r="Q54" i="23" s="1"/>
  <c r="Q40" i="27" s="1"/>
  <c r="R79" i="27" s="1"/>
  <c r="G19" i="27"/>
  <c r="G22" i="27" s="1"/>
  <c r="Q37" i="29"/>
  <c r="R82" i="24"/>
  <c r="R108" i="25" s="1"/>
  <c r="H51" i="27"/>
  <c r="Q68" i="24"/>
  <c r="AB68" i="24" s="1"/>
  <c r="G53" i="27"/>
  <c r="AB3" i="24"/>
  <c r="AD118" i="24"/>
  <c r="I31" i="27"/>
  <c r="AD115" i="24"/>
  <c r="I30" i="27"/>
  <c r="P53" i="26"/>
  <c r="S59" i="23"/>
  <c r="S42" i="27" s="1"/>
  <c r="S54" i="23"/>
  <c r="S40" i="27" s="1"/>
  <c r="Q48" i="26"/>
  <c r="J47" i="27" s="1"/>
  <c r="J50" i="27"/>
  <c r="R3" i="24"/>
  <c r="H8" i="27" s="1"/>
  <c r="G7" i="27"/>
  <c r="AC5" i="24"/>
  <c r="P49" i="27"/>
  <c r="S116" i="24"/>
  <c r="AD116" i="24" s="1"/>
  <c r="T15" i="25"/>
  <c r="U19" i="25"/>
  <c r="U28" i="25" s="1"/>
  <c r="U115" i="24" s="1"/>
  <c r="T132" i="25"/>
  <c r="T16" i="25" s="1"/>
  <c r="T118" i="24" s="1"/>
  <c r="AE115" i="24"/>
  <c r="T116" i="24"/>
  <c r="S106" i="25"/>
  <c r="P23" i="26" s="1"/>
  <c r="P26" i="26" s="1"/>
  <c r="O59" i="26"/>
  <c r="AC4" i="24"/>
  <c r="Q49" i="27" l="1"/>
  <c r="AB69" i="24"/>
  <c r="AC82" i="24"/>
  <c r="P42" i="27"/>
  <c r="Q81" i="27" s="1"/>
  <c r="R42" i="27"/>
  <c r="S81" i="27" s="1"/>
  <c r="R70" i="24"/>
  <c r="H19" i="27" s="1"/>
  <c r="Q54" i="27"/>
  <c r="T54" i="23"/>
  <c r="T40" i="27" s="1"/>
  <c r="R54" i="23"/>
  <c r="R40" i="27" s="1"/>
  <c r="S79" i="27" s="1"/>
  <c r="U54" i="23"/>
  <c r="Q59" i="23"/>
  <c r="P54" i="23"/>
  <c r="P40" i="27" s="1"/>
  <c r="Q79" i="27" s="1"/>
  <c r="H33" i="27"/>
  <c r="R53" i="27" s="1"/>
  <c r="U15" i="25"/>
  <c r="AE118" i="24"/>
  <c r="J31" i="27"/>
  <c r="I52" i="27"/>
  <c r="H53" i="27"/>
  <c r="P51" i="26"/>
  <c r="P57" i="26" s="1"/>
  <c r="S5" i="24" s="1"/>
  <c r="I37" i="27"/>
  <c r="H13" i="27"/>
  <c r="H7" i="27"/>
  <c r="AE116" i="24"/>
  <c r="U129" i="25"/>
  <c r="U131" i="25" s="1"/>
  <c r="R46" i="26" s="1"/>
  <c r="R48" i="26" s="1"/>
  <c r="S107" i="25"/>
  <c r="T104" i="25" s="1"/>
  <c r="R68" i="24"/>
  <c r="AC68" i="24" s="1"/>
  <c r="AC3" i="24"/>
  <c r="AF115" i="24"/>
  <c r="U116" i="24"/>
  <c r="AF116" i="24" s="1"/>
  <c r="Q25" i="29" l="1"/>
  <c r="AC70" i="24"/>
  <c r="R69" i="24"/>
  <c r="AC69" i="24" s="1"/>
  <c r="Q42" i="27"/>
  <c r="R81" i="27" s="1"/>
  <c r="Q53" i="26"/>
  <c r="H22" i="27"/>
  <c r="R54" i="27"/>
  <c r="R49" i="27"/>
  <c r="I42" i="27"/>
  <c r="I51" i="27"/>
  <c r="S82" i="24"/>
  <c r="R37" i="29"/>
  <c r="U132" i="25"/>
  <c r="U16" i="25" s="1"/>
  <c r="U118" i="24" s="1"/>
  <c r="AF118" i="24" s="1"/>
  <c r="T106" i="25"/>
  <c r="Q23" i="26" s="1"/>
  <c r="Q26" i="26" s="1"/>
  <c r="AD5" i="24"/>
  <c r="S4" i="24"/>
  <c r="I9" i="27" s="1"/>
  <c r="H18" i="27" l="1"/>
  <c r="Q51" i="26"/>
  <c r="Q57" i="26" s="1"/>
  <c r="R53" i="26" s="1"/>
  <c r="J37" i="27"/>
  <c r="I54" i="27"/>
  <c r="I33" i="27"/>
  <c r="S53" i="27" s="1"/>
  <c r="S70" i="24"/>
  <c r="S108" i="25"/>
  <c r="AD82" i="24"/>
  <c r="AD4" i="24"/>
  <c r="S3" i="24"/>
  <c r="I8" i="27" s="1"/>
  <c r="P59" i="26"/>
  <c r="T107" i="25"/>
  <c r="T5" i="24" l="1"/>
  <c r="AE5" i="24" s="1"/>
  <c r="R25" i="29"/>
  <c r="I19" i="27"/>
  <c r="I13" i="27"/>
  <c r="I7" i="27"/>
  <c r="J42" i="27"/>
  <c r="J51" i="27"/>
  <c r="I53" i="27"/>
  <c r="J52" i="27"/>
  <c r="S69" i="24"/>
  <c r="AD70" i="24"/>
  <c r="T82" i="24"/>
  <c r="T108" i="25" s="1"/>
  <c r="S37" i="29"/>
  <c r="U104" i="25"/>
  <c r="S68" i="24"/>
  <c r="AD68" i="24" s="1"/>
  <c r="AD3" i="24"/>
  <c r="T4" i="24" l="1"/>
  <c r="J9" i="27" s="1"/>
  <c r="J54" i="27" s="1"/>
  <c r="J53" i="27" s="1"/>
  <c r="I22" i="27"/>
  <c r="S54" i="27"/>
  <c r="AD69" i="24"/>
  <c r="I18" i="27"/>
  <c r="S49" i="27"/>
  <c r="U106" i="25"/>
  <c r="R23" i="26" s="1"/>
  <c r="R26" i="26" s="1"/>
  <c r="R51" i="26" s="1"/>
  <c r="AE82" i="24"/>
  <c r="T70" i="24"/>
  <c r="T3" i="24" l="1"/>
  <c r="J8" i="27" s="1"/>
  <c r="J7" i="27" s="1"/>
  <c r="T49" i="27" s="1"/>
  <c r="J33" i="27"/>
  <c r="T53" i="27" s="1"/>
  <c r="AE4" i="24"/>
  <c r="Q59" i="26"/>
  <c r="R57" i="26"/>
  <c r="U5" i="24" s="1"/>
  <c r="S25" i="29"/>
  <c r="J19" i="27"/>
  <c r="T69" i="24"/>
  <c r="AE70" i="24"/>
  <c r="U107" i="25"/>
  <c r="T68" i="24" l="1"/>
  <c r="AE68" i="24" s="1"/>
  <c r="J13" i="27"/>
  <c r="AE3" i="24"/>
  <c r="AF5" i="24"/>
  <c r="U4" i="24"/>
  <c r="U3" i="24" s="1"/>
  <c r="U68" i="24" s="1"/>
  <c r="AE69" i="24"/>
  <c r="J18" i="27"/>
  <c r="J22" i="27"/>
  <c r="T54" i="27"/>
  <c r="U82" i="24"/>
  <c r="U108" i="25" s="1"/>
  <c r="T37" i="29"/>
  <c r="AF4" i="24" l="1"/>
  <c r="R59" i="26"/>
  <c r="AF68" i="24"/>
  <c r="AF3" i="24"/>
  <c r="AF82" i="24"/>
  <c r="U70" i="24"/>
  <c r="T25" i="29" s="1"/>
  <c r="AF70" i="24" l="1"/>
  <c r="U69" i="24"/>
  <c r="AF69" i="24" s="1"/>
  <c r="P100" i="24"/>
  <c r="Q100" i="24"/>
  <c r="R100" i="24"/>
  <c r="S100" i="24"/>
  <c r="T100" i="24"/>
  <c r="U100" i="24"/>
  <c r="AA100" i="24"/>
  <c r="AB100" i="24"/>
  <c r="AC100" i="24"/>
  <c r="AD100" i="24"/>
  <c r="AE100" i="24"/>
  <c r="AF100" i="24"/>
  <c r="P101" i="24"/>
  <c r="Q101" i="24"/>
  <c r="R101" i="24"/>
  <c r="S101" i="24"/>
  <c r="T101" i="24"/>
  <c r="U101" i="24"/>
  <c r="AA101" i="24"/>
  <c r="AB101" i="24"/>
  <c r="AC101" i="24"/>
  <c r="AD101" i="24"/>
  <c r="AE101" i="24"/>
  <c r="AF101" i="24"/>
  <c r="P105" i="24"/>
  <c r="Q105" i="24"/>
  <c r="R105" i="24"/>
  <c r="S105" i="24"/>
  <c r="T105" i="24"/>
  <c r="U105" i="24"/>
  <c r="AA105" i="24"/>
  <c r="AB105" i="24"/>
  <c r="AC105" i="24"/>
  <c r="AD105" i="24"/>
  <c r="AE105" i="24"/>
  <c r="AF105" i="24"/>
  <c r="P124" i="24"/>
  <c r="Q124" i="24"/>
  <c r="R124" i="24"/>
  <c r="S124" i="24"/>
  <c r="T124" i="24"/>
  <c r="U124" i="24"/>
  <c r="AA124" i="24"/>
  <c r="AB124" i="24"/>
  <c r="AC124" i="24"/>
  <c r="AD124" i="24"/>
  <c r="AE124" i="24"/>
  <c r="AF124" i="24"/>
  <c r="P128" i="24"/>
  <c r="Q128" i="24"/>
  <c r="R128" i="24"/>
  <c r="S128" i="24"/>
  <c r="T128" i="24"/>
  <c r="U128" i="24"/>
  <c r="P36" i="23"/>
  <c r="Q36" i="23"/>
  <c r="R36" i="23"/>
  <c r="S36" i="23"/>
  <c r="T36" i="23"/>
  <c r="U36" i="23"/>
  <c r="P53" i="23"/>
  <c r="Q53" i="23"/>
  <c r="R53" i="23"/>
  <c r="S53" i="23"/>
  <c r="T53" i="23"/>
  <c r="U53" i="23"/>
  <c r="P55" i="23"/>
  <c r="Q55" i="23"/>
  <c r="R55" i="23"/>
  <c r="S55" i="23"/>
  <c r="T55" i="23"/>
  <c r="U55" i="23"/>
  <c r="P6" i="25"/>
  <c r="Q6" i="25"/>
  <c r="R6" i="25"/>
  <c r="S6" i="25"/>
  <c r="T6" i="25"/>
  <c r="U6" i="25"/>
  <c r="P17" i="25"/>
  <c r="Q17" i="25"/>
  <c r="R17" i="25"/>
  <c r="S17" i="25"/>
  <c r="T17" i="25"/>
  <c r="U17" i="25"/>
  <c r="P40" i="25"/>
  <c r="Q40" i="25"/>
  <c r="R40" i="25"/>
  <c r="S40" i="25"/>
  <c r="T40" i="25"/>
  <c r="U40" i="25"/>
  <c r="N41" i="25"/>
  <c r="O41" i="25"/>
  <c r="N43" i="25"/>
  <c r="O43" i="25"/>
  <c r="P43" i="25"/>
  <c r="Q43" i="25"/>
  <c r="R43" i="25"/>
  <c r="S43" i="25"/>
  <c r="T43" i="25"/>
  <c r="U43" i="25"/>
  <c r="P44" i="25"/>
  <c r="Q44" i="25"/>
  <c r="R44" i="25"/>
  <c r="S44" i="25"/>
  <c r="T44" i="25"/>
  <c r="U44" i="25"/>
  <c r="F26" i="27"/>
  <c r="G26" i="27"/>
  <c r="H26" i="27"/>
  <c r="I26" i="27"/>
  <c r="J26" i="27"/>
  <c r="F28" i="27"/>
  <c r="G28" i="27"/>
  <c r="H28" i="27"/>
  <c r="I28" i="27"/>
  <c r="J28" i="27"/>
  <c r="F29" i="27"/>
  <c r="G29" i="27"/>
  <c r="H29" i="27"/>
  <c r="I29" i="27"/>
  <c r="J29" i="27"/>
  <c r="P38" i="27"/>
  <c r="Q38" i="27"/>
  <c r="R38" i="27"/>
  <c r="S38" i="27"/>
  <c r="T38" i="27"/>
  <c r="P41" i="27"/>
  <c r="Q41" i="27"/>
  <c r="R41" i="27"/>
  <c r="S41" i="27"/>
  <c r="T41" i="27"/>
  <c r="P50" i="27"/>
  <c r="Q50" i="27"/>
  <c r="R50" i="27"/>
  <c r="S50" i="27"/>
  <c r="T50" i="27"/>
  <c r="P52" i="27"/>
  <c r="Q52" i="27"/>
  <c r="R52" i="27"/>
  <c r="S52" i="27"/>
  <c r="T52" i="27"/>
  <c r="Q75" i="27"/>
  <c r="R75" i="27"/>
  <c r="S75" i="27"/>
  <c r="Q78" i="27"/>
  <c r="R78" i="27"/>
  <c r="S78" i="27"/>
  <c r="Q80" i="27"/>
  <c r="R80" i="27"/>
  <c r="S80" i="27"/>
  <c r="R105" i="28"/>
  <c r="S105" i="28"/>
  <c r="T105" i="28"/>
  <c r="U105" i="28"/>
  <c r="R106" i="28"/>
  <c r="S106" i="28"/>
  <c r="T106" i="28"/>
  <c r="U106" i="28"/>
  <c r="R109" i="28"/>
  <c r="S109" i="28"/>
  <c r="T109" i="28"/>
  <c r="U109" i="28"/>
  <c r="R110" i="28"/>
  <c r="S110" i="28"/>
  <c r="T110" i="28"/>
  <c r="U110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5" authorId="0" shapeId="0" xr:uid="{B41CC5E8-72A5-4A8A-A7F2-2A904B5F28F8}">
      <text>
        <r>
          <rPr>
            <b/>
            <sz val="9"/>
            <color indexed="81"/>
            <rFont val="Tahoma"/>
            <family val="2"/>
          </rPr>
          <t xml:space="preserve">NOTE: Dividend payment here is derived from Retained earnings. The actual dividend payment is an out-flow on Cash-flow statement. If a part (or total) dividend has not been paid out, the remainings will be regconized as a liability on Balance sheet.
</t>
        </r>
      </text>
    </comment>
    <comment ref="B35" authorId="0" shapeId="0" xr:uid="{C4F64C47-7FA0-467C-9A04-47A764FAE5E4}">
      <text>
        <r>
          <rPr>
            <sz val="9"/>
            <color indexed="81"/>
            <rFont val="Tahoma"/>
            <family val="2"/>
          </rPr>
          <t>Increase capital + Increase actual cash</t>
        </r>
      </text>
    </comment>
    <comment ref="B36" authorId="0" shapeId="0" xr:uid="{2C71D97E-29EF-4527-8C66-C2CE127A329B}">
      <text>
        <r>
          <rPr>
            <sz val="9"/>
            <color indexed="81"/>
            <rFont val="Tahoma"/>
            <family val="2"/>
          </rPr>
          <t>Increase capital from the source of Development funds; Share premium or Reatained earnings =&gt; NO actual cash inflow</t>
        </r>
      </text>
    </comment>
    <comment ref="B41" authorId="0" shapeId="0" xr:uid="{9595E5F3-438A-4B41-ADE8-49E32FBC4686}">
      <text>
        <r>
          <rPr>
            <sz val="9"/>
            <color indexed="81"/>
            <rFont val="Tahoma"/>
            <family val="2"/>
          </rPr>
          <t>An increase in Share premium happens when investors pay cash for Company's share. The excessive amount over par value will go to Share premium (means increasing share-premium)</t>
        </r>
      </text>
    </comment>
    <comment ref="B48" authorId="0" shapeId="0" xr:uid="{D9E7A99D-D282-4DFD-90E8-7FD99F401E0F}">
      <text>
        <r>
          <rPr>
            <sz val="9"/>
            <color indexed="81"/>
            <rFont val="Tahoma"/>
            <family val="2"/>
          </rPr>
          <t>An increase in Share premium happens when investors pay cash for Company's share. The excessive amount over par value will go to Share premium (means increasing share-premium)</t>
        </r>
      </text>
    </comment>
    <comment ref="B55" authorId="0" shapeId="0" xr:uid="{72284D95-FA9F-4678-BF9A-12D843BCF169}">
      <text>
        <r>
          <rPr>
            <sz val="9"/>
            <color indexed="81"/>
            <rFont val="Tahoma"/>
            <family val="2"/>
          </rPr>
          <t xml:space="preserve">"Increase" means stocks is bought back =&gt; the number is still negative but larger in absolute value
</t>
        </r>
      </text>
    </comment>
    <comment ref="B62" authorId="0" shapeId="0" xr:uid="{45ACE96E-6705-4B0F-9EDC-D7D8E5172332}">
      <text>
        <r>
          <rPr>
            <sz val="9"/>
            <color indexed="81"/>
            <rFont val="Tahoma"/>
            <family val="2"/>
          </rPr>
          <t xml:space="preserve">"Increase" means stocks is bought back =&gt; the number is still negative but larger in absolute value
</t>
        </r>
      </text>
    </comment>
    <comment ref="B69" authorId="0" shapeId="0" xr:uid="{94D1A006-2E64-4002-9842-F129E88F9258}">
      <text>
        <r>
          <rPr>
            <sz val="9"/>
            <color indexed="81"/>
            <rFont val="Tahoma"/>
            <family val="2"/>
          </rPr>
          <t xml:space="preserve">"Increase" means stocks is bought back =&gt; the number is still negative but larger in absolute value
</t>
        </r>
      </text>
    </comment>
    <comment ref="B76" authorId="0" shapeId="0" xr:uid="{3AD8A1E5-9550-4E2B-9565-1CBB0FA7E814}">
      <text>
        <r>
          <rPr>
            <b/>
            <sz val="9"/>
            <color indexed="81"/>
            <rFont val="Tahoma"/>
            <family val="2"/>
          </rPr>
          <t>Funds</t>
        </r>
        <r>
          <rPr>
            <sz val="9"/>
            <color indexed="81"/>
            <rFont val="Tahoma"/>
            <family val="2"/>
          </rPr>
          <t xml:space="preserve"> are derived from </t>
        </r>
        <r>
          <rPr>
            <b/>
            <sz val="9"/>
            <color indexed="81"/>
            <rFont val="Tahoma"/>
            <family val="2"/>
          </rPr>
          <t>Net income</t>
        </r>
        <r>
          <rPr>
            <sz val="9"/>
            <color indexed="81"/>
            <rFont val="Tahoma"/>
            <family val="2"/>
          </rPr>
          <t xml:space="preserve"> of the year.
Allocation to (increase in) funds must be approved by Annual  General Meeting (AGM)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7" authorId="0" shapeId="0" xr:uid="{5C9412A2-3257-4502-9A02-A6C539AC6205}">
      <text>
        <r>
          <rPr>
            <sz val="9"/>
            <color indexed="81"/>
            <rFont val="Tahoma"/>
            <family val="2"/>
          </rPr>
          <t xml:space="preserve">
Tipical Usage (decrease) of  Investment and Development fund: to raise capital (without additional cash paid-in)
</t>
        </r>
      </text>
    </comment>
    <comment ref="B83" authorId="0" shapeId="0" xr:uid="{9AD4A12E-E7A4-4BA9-BCA3-B06C5F0D65A0}">
      <text>
        <r>
          <rPr>
            <b/>
            <sz val="9"/>
            <color indexed="81"/>
            <rFont val="Tahoma"/>
            <family val="2"/>
          </rPr>
          <t>Funds</t>
        </r>
        <r>
          <rPr>
            <sz val="9"/>
            <color indexed="81"/>
            <rFont val="Tahoma"/>
            <family val="2"/>
          </rPr>
          <t xml:space="preserve"> are derived from </t>
        </r>
        <r>
          <rPr>
            <b/>
            <sz val="9"/>
            <color indexed="81"/>
            <rFont val="Tahoma"/>
            <family val="2"/>
          </rPr>
          <t>Net income</t>
        </r>
        <r>
          <rPr>
            <sz val="9"/>
            <color indexed="81"/>
            <rFont val="Tahoma"/>
            <family val="2"/>
          </rPr>
          <t xml:space="preserve"> of the year.
Allocation to (increase in) funds must be approved by Annual  General Meeting (AGM)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4" authorId="0" shapeId="0" xr:uid="{964D2590-494F-4102-AFBB-53FC5E1F7DF7}">
      <text>
        <r>
          <rPr>
            <sz val="9"/>
            <color indexed="81"/>
            <rFont val="Tahoma"/>
            <family val="2"/>
          </rPr>
          <t xml:space="preserve">
Tipical Usage (decrease) of  Investment and Development fund: to raise capital (without additional cash paid-in)
</t>
        </r>
      </text>
    </comment>
    <comment ref="B88" authorId="0" shapeId="0" xr:uid="{BF8C6617-73E8-454C-8304-20109E5E9D4A}">
      <text>
        <r>
          <rPr>
            <sz val="9"/>
            <color indexed="81"/>
            <rFont val="Tahoma"/>
            <family val="2"/>
          </rPr>
          <t>VNM sets the max level of Financial reserve is 10% chartered capital</t>
        </r>
      </text>
    </comment>
    <comment ref="B90" authorId="0" shapeId="0" xr:uid="{904618EC-9B35-4201-AB65-E10A99227E78}">
      <text>
        <r>
          <rPr>
            <b/>
            <sz val="9"/>
            <color indexed="81"/>
            <rFont val="Tahoma"/>
            <family val="2"/>
          </rPr>
          <t>Funds</t>
        </r>
        <r>
          <rPr>
            <sz val="9"/>
            <color indexed="81"/>
            <rFont val="Tahoma"/>
            <family val="2"/>
          </rPr>
          <t xml:space="preserve"> are derived from </t>
        </r>
        <r>
          <rPr>
            <b/>
            <sz val="9"/>
            <color indexed="81"/>
            <rFont val="Tahoma"/>
            <family val="2"/>
          </rPr>
          <t>Net income</t>
        </r>
        <r>
          <rPr>
            <sz val="9"/>
            <color indexed="81"/>
            <rFont val="Tahoma"/>
            <family val="2"/>
          </rPr>
          <t xml:space="preserve"> of the year.
Allocation to (increase in) funds must be approved by Annual  General Meeting (AGM)</t>
        </r>
      </text>
    </comment>
    <comment ref="B91" authorId="0" shapeId="0" xr:uid="{3AFC7B45-7CDF-4A90-8F04-ECEC724BFF3D}">
      <text>
        <r>
          <rPr>
            <sz val="9"/>
            <color indexed="81"/>
            <rFont val="Tahoma"/>
            <family val="2"/>
          </rPr>
          <t>Tipical Usage (decrease) of Financial Reserve fund: to minimize the negative effect on equity.</t>
        </r>
      </text>
    </comment>
    <comment ref="B95" authorId="0" shapeId="0" xr:uid="{1A5450E9-8240-4D34-8C67-9AFB02ED7A43}">
      <text>
        <r>
          <rPr>
            <sz val="9"/>
            <color indexed="81"/>
            <rFont val="Tahoma"/>
            <family val="2"/>
          </rPr>
          <t>VNM sets the max level of Financial reserve is 10% chartered capital</t>
        </r>
      </text>
    </comment>
    <comment ref="B97" authorId="0" shapeId="0" xr:uid="{1AC00FF4-19F4-4195-B100-2CD4AF67BAA5}">
      <text>
        <r>
          <rPr>
            <b/>
            <sz val="9"/>
            <color indexed="81"/>
            <rFont val="Tahoma"/>
            <family val="2"/>
          </rPr>
          <t>Funds</t>
        </r>
        <r>
          <rPr>
            <sz val="9"/>
            <color indexed="81"/>
            <rFont val="Tahoma"/>
            <family val="2"/>
          </rPr>
          <t xml:space="preserve"> are derived from </t>
        </r>
        <r>
          <rPr>
            <b/>
            <sz val="9"/>
            <color indexed="81"/>
            <rFont val="Tahoma"/>
            <family val="2"/>
          </rPr>
          <t>Net income</t>
        </r>
        <r>
          <rPr>
            <sz val="9"/>
            <color indexed="81"/>
            <rFont val="Tahoma"/>
            <family val="2"/>
          </rPr>
          <t xml:space="preserve"> of the year.
Allocation to (increase in) funds must be approved by Annual  General Meeting (AGM)</t>
        </r>
      </text>
    </comment>
    <comment ref="B98" authorId="0" shapeId="0" xr:uid="{24E0E16C-812F-48E6-BCB0-6A7EFA87D79F}">
      <text>
        <r>
          <rPr>
            <sz val="9"/>
            <color indexed="81"/>
            <rFont val="Tahoma"/>
            <family val="2"/>
          </rPr>
          <t>Tipical Usage (decrease) of Financial Reserve fund: to minimize the negative effect on equity.</t>
        </r>
      </text>
    </comment>
    <comment ref="B105" authorId="0" shapeId="0" xr:uid="{572DAA22-914B-4661-BC50-423B0D71B90E}">
      <text>
        <r>
          <rPr>
            <b/>
            <sz val="9"/>
            <color indexed="81"/>
            <rFont val="Tahoma"/>
            <family val="2"/>
          </rPr>
          <t>Funds</t>
        </r>
        <r>
          <rPr>
            <sz val="9"/>
            <color indexed="81"/>
            <rFont val="Tahoma"/>
            <family val="2"/>
          </rPr>
          <t xml:space="preserve"> are derived from </t>
        </r>
        <r>
          <rPr>
            <b/>
            <sz val="9"/>
            <color indexed="81"/>
            <rFont val="Tahoma"/>
            <family val="2"/>
          </rPr>
          <t>Net income</t>
        </r>
        <r>
          <rPr>
            <sz val="9"/>
            <color indexed="81"/>
            <rFont val="Tahoma"/>
            <family val="2"/>
          </rPr>
          <t xml:space="preserve"> of the year.
Allocation to (increase in) funds must be approved by Annual  General Meeting (AGM)
</t>
        </r>
      </text>
    </comment>
    <comment ref="B106" authorId="0" shapeId="0" xr:uid="{A8A647EB-5885-4B06-AEF1-08DCE8618FA1}">
      <text>
        <r>
          <rPr>
            <sz val="9"/>
            <color indexed="81"/>
            <rFont val="Tahoma"/>
            <family val="2"/>
          </rPr>
          <t>payout to employees</t>
        </r>
      </text>
    </comment>
    <comment ref="B112" authorId="0" shapeId="0" xr:uid="{8964E277-7F10-4FC9-B430-8CB895E98E77}">
      <text>
        <r>
          <rPr>
            <b/>
            <sz val="9"/>
            <color indexed="81"/>
            <rFont val="Tahoma"/>
            <family val="2"/>
          </rPr>
          <t>NOTE</t>
        </r>
        <r>
          <rPr>
            <sz val="9"/>
            <color indexed="81"/>
            <rFont val="Tahoma"/>
            <family val="2"/>
          </rPr>
          <t xml:space="preserve">: Based on par-value of 10,000 VND.
</t>
        </r>
        <r>
          <rPr>
            <b/>
            <sz val="9"/>
            <color indexed="81"/>
            <rFont val="Tahoma"/>
            <family val="2"/>
          </rPr>
          <t>HOWEVER</t>
        </r>
        <r>
          <rPr>
            <sz val="9"/>
            <color indexed="81"/>
            <rFont val="Tahoma"/>
            <family val="2"/>
          </rPr>
          <t xml:space="preserve">: The original meaning of </t>
        </r>
        <r>
          <rPr>
            <b/>
            <sz val="9"/>
            <color indexed="81"/>
            <rFont val="Tahoma"/>
            <family val="2"/>
          </rPr>
          <t>dividend payout ratio</t>
        </r>
        <r>
          <rPr>
            <sz val="9"/>
            <color indexed="81"/>
            <rFont val="Tahoma"/>
            <family val="2"/>
          </rPr>
          <t xml:space="preserve"> is the percentage of dividend payment from the year's Net income (not applicable here)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51" authorId="0" shapeId="0" xr:uid="{1F766C80-098D-480B-8442-88EA9D702D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Liquidity: Current Ratio, Quick Ratio, Cash Ratio</t>
        </r>
      </text>
    </comment>
    <comment ref="L56" authorId="0" shapeId="0" xr:uid="{A98D1F9B-65E6-400F-B984-D17FA16E7A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Use receivable days, inventory days, payable days and cash conversion cycle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6" authorId="0" shapeId="0" xr:uid="{91810E41-778D-42B9-A854-B18DF50A8C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Nhập tay từ footnote
</t>
        </r>
      </text>
    </comment>
    <comment ref="B94" authorId="0" shapeId="0" xr:uid="{AC02BDBA-49E3-4198-9CFD-294EAF4FCF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Giả định biên LN gộp = average 3 năm + 0.5%?</t>
        </r>
      </text>
    </comment>
    <comment ref="B96" authorId="0" shapeId="0" xr:uid="{DA07CB4D-D338-4C9C-AB80-A88D6603C6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Insert data from Euromonitor (by volume - sản lượng tiêu thụ) %</t>
        </r>
      </text>
    </comment>
    <comment ref="B101" authorId="0" shapeId="0" xr:uid="{F8C721E3-E1CB-465F-AF8B-3BB017DE0A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Insert data from Euromonitor: Beer in Vietnam June 2025
(mil litres)</t>
        </r>
      </text>
    </comment>
    <comment ref="B118" authorId="0" shapeId="0" xr:uid="{6B28D959-5E6C-4217-80B5-C5FF9F47BE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Cho grow cùng sales volume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3" authorId="0" shapeId="0" xr:uid="{66B832C9-6EEB-40EF-A388-C511CD4CAC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 acumm 1-2
</t>
        </r>
      </text>
    </comment>
    <comment ref="M53" authorId="0" shapeId="0" xr:uid="{7AFE5CC4-10B0-482E-ABBF-71970A447B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tỷ lệ kh ko thể &gt; giá trị còn lại nên p?lấy min
</t>
        </r>
      </text>
    </comment>
    <comment ref="B140" authorId="0" shapeId="0" xr:uid="{8AD777AF-4299-43D8-B178-CBB797686B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Asmpt: same as previous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8" authorId="0" shapeId="0" xr:uid="{A5701F74-E1B4-43B9-841F-7ACB364303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cho grow cùng inventory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<sst xmlns="http://schemas.openxmlformats.org/spreadsheetml/2006/main" count="1531" uniqueCount="1071">
  <si>
    <t>1. Lợi nhuận trước thuế</t>
  </si>
  <si>
    <t>- Các khoản dự phòng</t>
  </si>
  <si>
    <t>- Lãi, lỗ từ hoạt động đầu tư</t>
  </si>
  <si>
    <t>- Chi phí lãi vay</t>
  </si>
  <si>
    <t>3. Lợi nhuận từ hoạt động kinh doanh trước thay đổi vốn lưu động</t>
  </si>
  <si>
    <t>- Tăng, giảm các khoản phải thu</t>
  </si>
  <si>
    <t>- Tăng, giảm hàng tồn kho</t>
  </si>
  <si>
    <t>- Tăng, giảm các khoản phải trả (Không kể lãi vay phải trả, thuế thu nhập doanh nghiệp phải nộp)</t>
  </si>
  <si>
    <t>- Thuế thu nhập doanh nghiệp đã nộp</t>
  </si>
  <si>
    <t>- Tiền thu khác từ hoạt động kinh doanh</t>
  </si>
  <si>
    <t>Lưu chuyển tiền thuần từ hoạt động kinh doanh</t>
  </si>
  <si>
    <t>II. Lưu chuyển tiền từ hoạt động đầu tư</t>
  </si>
  <si>
    <t>Lưu chuyển tiền thuần từ hoạt động đầu tư</t>
  </si>
  <si>
    <t>III. Lưu chuyển tiền từ hoạt động tài chính</t>
  </si>
  <si>
    <t>Lưu chuyển tiền thuần từ hoạt động tài chính</t>
  </si>
  <si>
    <t>Tiền và tương đương tiền đầu kỳ</t>
  </si>
  <si>
    <t>Ảnh hưởng của thay đổi tỷ giá hối đoái quy đổi ngoại tệ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</si>
  <si>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</si>
  <si>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</si>
  <si>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</si>
  <si>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1. Tiền thu từ phát hành cổ phiếu, nhận vốn góp của chủ sở hữu</t>
  </si>
  <si>
    <t>2. Tiền chi trả vốn góp cho các chủ sở hữu, mua lại cổ phiếu của doanh nghiệp đã phát hành</t>
  </si>
  <si>
    <t>Lưu chuyển tiền thuần trong kỳ</t>
  </si>
  <si>
    <t>Tiền và tương đương tiền cuối kỳ</t>
  </si>
  <si>
    <t>I. Lưu chuyển tiền từ hoạt động kinh doanh</t>
  </si>
  <si>
    <t>2. Điều chỉnh cho các khoản</t>
  </si>
  <si>
    <t>- Khấu hao TSCĐ</t>
  </si>
  <si>
    <t>- Lợi nhuận thuần từ đầu tư vào công ty liên kết</t>
  </si>
  <si>
    <t>- Xóa sổ tài sản cố định (thuần)</t>
  </si>
  <si>
    <t>- Lãi, lỗ chênh lệch tỷ giá hối đoái chưa thực hiện</t>
  </si>
  <si>
    <t>- Lãi, lỗ từ thanh lý TSCĐ</t>
  </si>
  <si>
    <t>- Lãi tiền gửi</t>
  </si>
  <si>
    <t>- Thu nhập lãi</t>
  </si>
  <si>
    <t>- Các khoản chi trực tiếp từ lợi nhuận</t>
  </si>
  <si>
    <t>- Tăng giảm chi phí trả trước</t>
  </si>
  <si>
    <t>- Tăng giảm tài sản ngắn hạn khác</t>
  </si>
  <si>
    <t>- Tiền lãi vay phải trả</t>
  </si>
  <si>
    <t>- Tiền chi khác từ hoạt động kinh doanh</t>
  </si>
  <si>
    <t>4. Tiền thu hồi cho vay, bán lại các công cụ nợ của các đơn vị khác</t>
  </si>
  <si>
    <t>5. Đầu tư góp vốn vào công ty liên doanh liên kết</t>
  </si>
  <si>
    <t>6. Chi đầu tư ngắn hạn</t>
  </si>
  <si>
    <t>7. Tiền chi đầu tư góp vốn vào đơn vị khác</t>
  </si>
  <si>
    <t>8. Tiền thu hồi đầu tư góp vốn vào đơn vị khác</t>
  </si>
  <si>
    <t>9. Lãi tiền gửi đã thu</t>
  </si>
  <si>
    <t>10. Tiền thu lãi cho vay, cổ tức và lợi nhuận được chia</t>
  </si>
  <si>
    <t>11. Tiền chi mua lại phần vốn góp của các cổ đông thiểu số</t>
  </si>
  <si>
    <t>3. Tiền vay ngắn hạn, dài hạn nhận được</t>
  </si>
  <si>
    <t>4. Tiền chi trả nợ gốc vay</t>
  </si>
  <si>
    <t>5. Tiền chi trả nợ thuê tài chính</t>
  </si>
  <si>
    <t>6. Tiền chi khác từ hoạt động tài chính</t>
  </si>
  <si>
    <t>7. Tiền chi trả từ cổ phần hóa</t>
  </si>
  <si>
    <t>8. Cổ tức, lợi nhuận đã trả cho chủ sở hữu</t>
  </si>
  <si>
    <t>9. Vốn góp của các cổ đông thiểu số vào các công ty con</t>
  </si>
  <si>
    <t>10. Chi tiêu quỹ phúc lợi xã hội</t>
  </si>
  <si>
    <t>1. Tổng doanh thu hoạt động kinh doanh</t>
  </si>
  <si>
    <t>2. Các khoản giảm trừ doanh thu</t>
  </si>
  <si>
    <t>3. Doanh thu thuần (1)-(2)</t>
  </si>
  <si>
    <t>4. Giá vốn hàng bán</t>
  </si>
  <si>
    <t>5. Lợi nhuận gộp (3)-(4)</t>
  </si>
  <si>
    <t>6. Doanh thu hoạt động tài chính</t>
  </si>
  <si>
    <t>7. Chi phí tài chính</t>
  </si>
  <si>
    <t>-Trong đó: Chi phí lãi vay</t>
  </si>
  <si>
    <t>8. Phần lợi nhuận hoặc lỗ trong công ty liên kết liên doanh</t>
  </si>
  <si>
    <t>9. Chi phí bán hàng</t>
  </si>
  <si>
    <t>10. Chi phí quản lý doanh nghiệp</t>
  </si>
  <si>
    <t>11. Lợi nhuận thuần từ hoạt động kinh doanh (5)+(6)-(7)+(8)-(9)-(10)</t>
  </si>
  <si>
    <t>12. Thu nhập khác</t>
  </si>
  <si>
    <t>13. Chi phí khác</t>
  </si>
  <si>
    <t>14. Lợi nhuận khác (12)-(13)</t>
  </si>
  <si>
    <t>15. Tổng lợi nhuận kế toán trước thuế (11)+(14)</t>
  </si>
  <si>
    <t>16. Chi phí thuế TNDN hiện hành</t>
  </si>
  <si>
    <t>17. Chi phí thuế TNDN hoãn lại</t>
  </si>
  <si>
    <t>18. Chi phí thuế TNDN (16)+(17)</t>
  </si>
  <si>
    <t>19. Lợi nhuận sau thuế thu nhập doanh nghiệp (15)-(18)</t>
  </si>
  <si>
    <t>20. Lợi nhuận sau thuế của cổ đông không kiểm soát</t>
  </si>
  <si>
    <t>21. Lợi nhuận sau thuế của cổ đông của công ty mẹ (19)-(20)</t>
  </si>
  <si>
    <t>A. Tài sản lưu động và đầu tư ngắn hạn</t>
  </si>
  <si>
    <t>I. Tiền và các khoản tương đương tiền</t>
  </si>
  <si>
    <t>II. Các khoản đầu tư tài chính ngắn hạn</t>
  </si>
  <si>
    <t>III. Các khoản phải thu ngắn hạn</t>
  </si>
  <si>
    <t>IV. Tổng hàng tồn kho</t>
  </si>
  <si>
    <t>V. Tài sản ngắn hạn khác</t>
  </si>
  <si>
    <t>B. Tài sản cố định và đầu tư dài hạn</t>
  </si>
  <si>
    <t>I. Các khoản phải thu dài hạn</t>
  </si>
  <si>
    <t>II. Tài sản cố định</t>
  </si>
  <si>
    <t>III. Bất động sản đầu tư</t>
  </si>
  <si>
    <t>IV. Tài sản dở dang dài hạn</t>
  </si>
  <si>
    <t>V. Các khoản đầu tư tài chính dài hạn</t>
  </si>
  <si>
    <t>VI. Tổng tài sản dài hạn khác</t>
  </si>
  <si>
    <t>VII. Lợi thế thương mại</t>
  </si>
  <si>
    <t>TỔNG CỘNG TÀI SẢN</t>
  </si>
  <si>
    <t>NGUỒN VỐN</t>
  </si>
  <si>
    <t>A. Nợ phải trả</t>
  </si>
  <si>
    <t>I. Nợ ngắn hạn</t>
  </si>
  <si>
    <t>II. Nợ dài hạn</t>
  </si>
  <si>
    <t>B. Nguồn vốn chủ sở hữu</t>
  </si>
  <si>
    <t>I. Vốn chủ sở hữu</t>
  </si>
  <si>
    <t>II. Nguồn kinh phí và quỹ khác</t>
  </si>
  <si>
    <t>TỔNG CỘNG NGUỒN VỐN</t>
  </si>
  <si>
    <t>1. Tiền</t>
  </si>
  <si>
    <t>2. Các khoản tương đương tiền</t>
  </si>
  <si>
    <t>1. Chứng khoán kinh doanh</t>
  </si>
  <si>
    <t>2. Dự phòng giảm giá chứng khoán kinh doanh</t>
  </si>
  <si>
    <t>3. Đầu tư nắm giữ đến ngày đáo hạn</t>
  </si>
  <si>
    <t>1. Phải thu ngắn hạn của khách hàng</t>
  </si>
  <si>
    <t>2. Trả trước cho người bán</t>
  </si>
  <si>
    <t>3. Phải thu nội bộ ngắn hạn</t>
  </si>
  <si>
    <t>4. Phải thu theo tiến độ hợp đồng xây dựng</t>
  </si>
  <si>
    <t>5. Phải thu về cho vay ngắn hạn</t>
  </si>
  <si>
    <t>6. Phải thu ngắn hạn khác</t>
  </si>
  <si>
    <t>7. Dự phòng phải thu ngắn hạn khó đòi</t>
  </si>
  <si>
    <t>1. Hàng tồn kho</t>
  </si>
  <si>
    <t>2. Dự phòng giảm giá hàng tồn kho</t>
  </si>
  <si>
    <t>1. Chi phí trả trước ngắn hạn</t>
  </si>
  <si>
    <t>2. Thuế giá trị gia tăng được khấu trừ</t>
  </si>
  <si>
    <t>3. Thuế và các khoản phải thu Nhà nước</t>
  </si>
  <si>
    <t>4. Giao dịch mua bán lại trái phiếu chính phủ</t>
  </si>
  <si>
    <t>5. Tài sản ngắn hạn khác</t>
  </si>
  <si>
    <t>1. Phải thu dài hạn của khách hàng</t>
  </si>
  <si>
    <t>2. Vốn kinh doanh tại các đơn vị trực thuộc</t>
  </si>
  <si>
    <t>3. Phải thu dài hạn nội bộ</t>
  </si>
  <si>
    <t>4. Phải thu về cho vay dài hạn</t>
  </si>
  <si>
    <t>5. Phải thu dài hạn khác</t>
  </si>
  <si>
    <t>6. Dự phòng phải thu dài hạn khó đòi</t>
  </si>
  <si>
    <t>1. Tài sản cố định hữu hình</t>
  </si>
  <si>
    <t>- Nguyên giá</t>
  </si>
  <si>
    <t>- Giá trị hao mòn lũy kế</t>
  </si>
  <si>
    <t>2. Tài sản cố định thuê tài chính</t>
  </si>
  <si>
    <t>3. Tài sản cố định vô hình</t>
  </si>
  <si>
    <t>1. Chi phí sản xuất, kinh doanh dở dang dài hạn</t>
  </si>
  <si>
    <t>2. chi phí xây dựng cơ bản dở dang</t>
  </si>
  <si>
    <t>1. Đầu tư vào công ty con</t>
  </si>
  <si>
    <t>2. Đầu tư vào công ty liên kết, liên doanh</t>
  </si>
  <si>
    <t>3. Đầu tư khác vào công cụ vốn</t>
  </si>
  <si>
    <t>4. Dự phòng giảm giá đầu tư tài chính dài hạn</t>
  </si>
  <si>
    <t>5. Đầu tư nắm giữ đến ngày đáo hạn</t>
  </si>
  <si>
    <t>1. Chi phí trả trước dài hạn</t>
  </si>
  <si>
    <t>2. Tài sản Thuế thu nhập hoãn lại</t>
  </si>
  <si>
    <t>3. Tài sản dài hạn khác</t>
  </si>
  <si>
    <t>1. Vay và nợ thuê tài chính ngắn hạn</t>
  </si>
  <si>
    <t>2. Vay và nợ dài hạn đến hạn phải trả</t>
  </si>
  <si>
    <t>3. Phải trả người bán ngắn hạn</t>
  </si>
  <si>
    <t>4. Người mua trả tiền trước</t>
  </si>
  <si>
    <t>5. Thuế và các khoản phải nộp nhà nước</t>
  </si>
  <si>
    <t>6. Phải trả người lao động</t>
  </si>
  <si>
    <t>7. Chi phí phải trả ngắn hạn</t>
  </si>
  <si>
    <t>8. Phải trả nội bộ ngắn hạn</t>
  </si>
  <si>
    <t>9. Phải trả theo tiến độ kế hoạch hợp đồng xây dựng</t>
  </si>
  <si>
    <t>10. Doanh thu chưa thực hiện ngắn hạn</t>
  </si>
  <si>
    <t>11. Phải trả ngắn hạn khác</t>
  </si>
  <si>
    <t>12. Dự phòng phải trả ngắn hạn</t>
  </si>
  <si>
    <t>13. Quỹ khen thưởng phúc lợi</t>
  </si>
  <si>
    <t>14. Quỹ bình ổn giá</t>
  </si>
  <si>
    <t>15. Giao dịch mua bán lại trái phiếu chính phủ</t>
  </si>
  <si>
    <t>1. Phải trả người bán dài hạn</t>
  </si>
  <si>
    <t>2. Chi phí phải trả dài hạn</t>
  </si>
  <si>
    <t>3. Phải trả nội bộ về vốn kinh doanh</t>
  </si>
  <si>
    <t>4. Phải trả nội bộ dài hạn</t>
  </si>
  <si>
    <t>5. Phải trả dài hạn khác</t>
  </si>
  <si>
    <t>6. Vay và nợ thuê tài chính dài hạn</t>
  </si>
  <si>
    <t>7. Trái phiếu chuyển đổi</t>
  </si>
  <si>
    <t>8. Thuế thu nhập hoãn lại phải trả</t>
  </si>
  <si>
    <t>9. Dự phòng trợ cấp mất việc làm</t>
  </si>
  <si>
    <t>10. Dự phòng phải trả dài hạn</t>
  </si>
  <si>
    <t>11. Doanh thu chưa thực hiện dài hạn</t>
  </si>
  <si>
    <t>12. Quỹ phát triển khoa học và công nghệ</t>
  </si>
  <si>
    <t>1. Vốn đầu tư của chủ sở hữu</t>
  </si>
  <si>
    <t>2. Thặng dư vốn cổ phần</t>
  </si>
  <si>
    <t>3. Quyền chọn chuyển đổi trái phiếu</t>
  </si>
  <si>
    <t>4. Vốn khác của chủ sở hữu</t>
  </si>
  <si>
    <t>5. Cổ phiếu quỹ</t>
  </si>
  <si>
    <t>6. Chênh lệch đánh giá lại tài sản</t>
  </si>
  <si>
    <t>7. Chênh lệch tỷ giá hối đoái</t>
  </si>
  <si>
    <t>8. Quỹ đầu tư phát triển</t>
  </si>
  <si>
    <t>9. Quỹ dự phòng tài chính</t>
  </si>
  <si>
    <t>10. Quỹ khác thuộc vốn chủ sở hữu</t>
  </si>
  <si>
    <t>11. Lợi nhuận sau thuế chưa phân phối</t>
  </si>
  <si>
    <t>- LNST chưa phân phối lũy kế đến cuối kỳ trước</t>
  </si>
  <si>
    <t>- LNST chưa phân phối kỳ này</t>
  </si>
  <si>
    <t>12. Nguồn vốn đầu tư xây dựng cơ bản</t>
  </si>
  <si>
    <t>13. Quỹ hỗ trợ sắp xếp doanh nghiệp</t>
  </si>
  <si>
    <t>14. Lợi ích của cổ đông không kiểm soát</t>
  </si>
  <si>
    <t>1. Nguồn kinh phí</t>
  </si>
  <si>
    <t>2. Nguồn kinh phí đã hình thành tài sản cố định</t>
  </si>
  <si>
    <t>3. Quỹ dự phòng trợ cấp mất việc làm</t>
  </si>
  <si>
    <t>SAB</t>
  </si>
  <si>
    <t xml:space="preserve"> VN EQUITY</t>
  </si>
  <si>
    <t>SAB VN EQUITY</t>
  </si>
  <si>
    <t>VNINDEX VN EQUITY</t>
  </si>
  <si>
    <t>VNI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</si>
  <si>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</si>
  <si>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</si>
  <si>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</si>
  <si>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</si>
  <si>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</si>
  <si>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</si>
  <si>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</si>
  <si>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</si>
  <si>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</si>
  <si>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</si>
  <si>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</si>
  <si>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</si>
  <si>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</si>
  <si>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</si>
  <si>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</si>
  <si>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</si>
  <si>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</si>
  <si>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</si>
  <si>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</si>
  <si>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</si>
  <si>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</si>
  <si>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</si>
  <si>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</si>
  <si>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</si>
  <si>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</si>
  <si>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</si>
  <si>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</si>
  <si>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</si>
  <si>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</si>
  <si>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</si>
  <si>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</si>
  <si>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</si>
  <si>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</si>
  <si>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</si>
  <si>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</si>
  <si>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</si>
  <si>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</si>
  <si>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</si>
  <si>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</si>
  <si>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</si>
  <si>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</si>
  <si>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</si>
  <si>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</si>
  <si>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</si>
  <si>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</si>
  <si>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</si>
  <si>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</si>
  <si>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</si>
  <si>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</si>
  <si>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</si>
  <si>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</si>
  <si>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</si>
  <si>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</si>
  <si>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</si>
  <si>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</si>
  <si>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</si>
  <si>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</si>
  <si>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</si>
  <si>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</si>
  <si>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</si>
  <si>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</si>
  <si>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</si>
  <si>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</si>
  <si>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</si>
  <si>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</si>
  <si>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</si>
  <si>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</si>
  <si>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</si>
  <si>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</si>
  <si>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</si>
  <si>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</si>
  <si>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</si>
  <si>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</si>
  <si>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</si>
  <si>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</si>
  <si>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</si>
  <si>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</si>
  <si>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</si>
  <si>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</si>
  <si>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</si>
  <si>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</si>
  <si>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</si>
  <si>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</si>
  <si>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</si>
  <si>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</si>
  <si>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</si>
  <si>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</si>
  <si>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</si>
  <si>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</si>
  <si>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</si>
  <si>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</si>
  <si>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</si>
  <si>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</si>
  <si>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</si>
  <si>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</si>
  <si>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</si>
  <si>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</si>
  <si>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</si>
  <si>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</si>
  <si>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</si>
  <si>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</si>
  <si>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</si>
  <si>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</si>
  <si>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</si>
  <si>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</si>
  <si>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</si>
  <si>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</si>
  <si>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</si>
  <si>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</si>
  <si>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</si>
  <si>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</si>
  <si>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</si>
  <si>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</si>
  <si>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</si>
  <si>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</si>
  <si>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</si>
  <si>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</si>
  <si>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</si>
  <si>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</si>
  <si>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</si>
  <si>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</si>
  <si>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</si>
  <si>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</si>
  <si>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</si>
  <si>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</si>
  <si>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</si>
  <si>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</si>
  <si>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</si>
  <si>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</si>
  <si>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</si>
  <si>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</si>
  <si>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</si>
  <si>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</si>
  <si>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</si>
  <si>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</si>
  <si>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</si>
  <si>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</si>
  <si>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</si>
  <si>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</si>
  <si>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</si>
  <si>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</si>
  <si>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</si>
  <si>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</si>
  <si>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</si>
  <si>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</si>
  <si>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</si>
  <si>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</si>
  <si>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</si>
  <si>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</si>
  <si>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</si>
  <si>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</si>
  <si>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</si>
  <si>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</si>
  <si>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</si>
  <si>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</si>
  <si>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</si>
  <si>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</si>
  <si>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</si>
  <si>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</si>
  <si>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</si>
  <si>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</si>
  <si>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</si>
  <si>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</si>
  <si>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</si>
  <si>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</si>
  <si>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</si>
  <si>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</si>
  <si>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</si>
  <si>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</si>
  <si>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</si>
  <si>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</si>
  <si>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R_SAB</t>
  </si>
  <si>
    <t>R_VNI</t>
  </si>
  <si>
    <t>Raw Beta</t>
  </si>
  <si>
    <t>Adj. beta</t>
  </si>
  <si>
    <t>Price</t>
  </si>
  <si>
    <t>Growth rate</t>
  </si>
  <si>
    <t>E2024</t>
  </si>
  <si>
    <t>E2025</t>
  </si>
  <si>
    <t>E2026</t>
  </si>
  <si>
    <t>E2027</t>
  </si>
  <si>
    <t>E2028</t>
  </si>
  <si>
    <t>E2029</t>
  </si>
  <si>
    <t>E2030</t>
  </si>
  <si>
    <t>Net sales</t>
  </si>
  <si>
    <t>Cost of sales</t>
  </si>
  <si>
    <t>Gross Profit</t>
  </si>
  <si>
    <t>Financial income</t>
  </si>
  <si>
    <t>Financial expenses</t>
  </si>
  <si>
    <t xml:space="preserve">     of which: interest expenses</t>
  </si>
  <si>
    <t>Gain/(loss) from joint ventures (from 2015)</t>
  </si>
  <si>
    <t>Selling expenses</t>
  </si>
  <si>
    <t>General and admin expenses</t>
  </si>
  <si>
    <t>Operating profit/(loss)</t>
  </si>
  <si>
    <t xml:space="preserve">     Other incomes</t>
  </si>
  <si>
    <t xml:space="preserve">     Other expenses</t>
  </si>
  <si>
    <t>Net other income/(expenses)</t>
  </si>
  <si>
    <t>Income from investments in other entities</t>
  </si>
  <si>
    <t>Net accounting profit/(loss) before tax</t>
  </si>
  <si>
    <t xml:space="preserve">     Corporate income tax - current</t>
  </si>
  <si>
    <t xml:space="preserve">     Corporate income tax - deferred</t>
  </si>
  <si>
    <t>Corporate income tax expenses</t>
  </si>
  <si>
    <t>Net profit/(loss) after tax</t>
  </si>
  <si>
    <t>Minority interests</t>
  </si>
  <si>
    <t>Attributable to parent company</t>
  </si>
  <si>
    <t>EPS_basis (VND)</t>
  </si>
  <si>
    <t>EPS_diluted (VND)</t>
  </si>
  <si>
    <t>Net profit growth</t>
  </si>
  <si>
    <t xml:space="preserve">Trích quỹ khen thưởng, phúc lợi </t>
  </si>
  <si>
    <t>Cổ tức cổ phiếu ưu đãi</t>
  </si>
  <si>
    <t>Cổ phiếu lưu hành</t>
  </si>
  <si>
    <t>SGA margin</t>
  </si>
  <si>
    <t>Number of outstanding share</t>
  </si>
  <si>
    <t>BPS</t>
  </si>
  <si>
    <t>GPM</t>
  </si>
  <si>
    <t>OPM</t>
  </si>
  <si>
    <t>NPM</t>
  </si>
  <si>
    <t>EBIT</t>
  </si>
  <si>
    <t>EBITDA</t>
  </si>
  <si>
    <t>Selling expense</t>
  </si>
  <si>
    <t>Effective  tax rate</t>
  </si>
  <si>
    <t>COGS</t>
  </si>
  <si>
    <t>ROE</t>
  </si>
  <si>
    <t>PER</t>
  </si>
  <si>
    <t>PBR</t>
  </si>
  <si>
    <t>EV</t>
  </si>
  <si>
    <t>Input</t>
  </si>
  <si>
    <t>Var</t>
  </si>
  <si>
    <t>Note</t>
  </si>
  <si>
    <t>Code for CF</t>
  </si>
  <si>
    <t>CURRENT ASSETS</t>
  </si>
  <si>
    <t>x</t>
  </si>
  <si>
    <t>Cash and cash equivalents</t>
  </si>
  <si>
    <t xml:space="preserve">     Cash</t>
  </si>
  <si>
    <t xml:space="preserve">     Cash equivalents</t>
  </si>
  <si>
    <t>Short-term investments</t>
  </si>
  <si>
    <t xml:space="preserve">     Short-term investments</t>
  </si>
  <si>
    <t xml:space="preserve">     Provision for diminution</t>
  </si>
  <si>
    <t xml:space="preserve">     Held-to-maturity investment</t>
  </si>
  <si>
    <t>Accounts receivable</t>
  </si>
  <si>
    <t xml:space="preserve">     Trade accounts receivable</t>
  </si>
  <si>
    <t xml:space="preserve">     Prepayments to suppliers</t>
  </si>
  <si>
    <t xml:space="preserve">     Intercompany receivables</t>
  </si>
  <si>
    <t xml:space="preserve">     Construction contract in progress receivables</t>
  </si>
  <si>
    <t xml:space="preserve">     Short-term loans receivables</t>
  </si>
  <si>
    <t xml:space="preserve">     Other receivables</t>
  </si>
  <si>
    <t xml:space="preserve">     Provision for doubtful debts</t>
  </si>
  <si>
    <t xml:space="preserve">     Shortage of current assets waiting for solution</t>
  </si>
  <si>
    <t>Inventories</t>
  </si>
  <si>
    <t xml:space="preserve">     Inventories</t>
  </si>
  <si>
    <t xml:space="preserve">     Provision for decline in inventories</t>
  </si>
  <si>
    <t>Other current assets</t>
  </si>
  <si>
    <t xml:space="preserve">     Short-term prepaid expenses</t>
  </si>
  <si>
    <t xml:space="preserve">     VAT to be claimed</t>
  </si>
  <si>
    <t xml:space="preserve">     Other taxes receivable</t>
  </si>
  <si>
    <t xml:space="preserve">     Government bonds purchased for resale</t>
  </si>
  <si>
    <t xml:space="preserve">     Other current assets</t>
  </si>
  <si>
    <t>LONG-TERM ASSETS</t>
  </si>
  <si>
    <t>Long-term trade receivables</t>
  </si>
  <si>
    <t xml:space="preserve">     Long-term trade receivables from customers</t>
  </si>
  <si>
    <t xml:space="preserve">     Long-term prepayments to suppliers</t>
  </si>
  <si>
    <t xml:space="preserve">     Paid-in capital in wholly-owned subsidiaries</t>
  </si>
  <si>
    <t xml:space="preserve">     Long-term intercompany receivables</t>
  </si>
  <si>
    <t xml:space="preserve">     Long-term loans receivables</t>
  </si>
  <si>
    <t xml:space="preserve">     Other long-term receivables</t>
  </si>
  <si>
    <t xml:space="preserve">     Provision for doubtful LT receivable</t>
  </si>
  <si>
    <t>Fixed assets</t>
  </si>
  <si>
    <t xml:space="preserve">     Tangible fixed assets</t>
  </si>
  <si>
    <t xml:space="preserve">          Cost</t>
  </si>
  <si>
    <t>Tangible assets</t>
  </si>
  <si>
    <t xml:space="preserve">          Accumulated depreciation</t>
  </si>
  <si>
    <t xml:space="preserve">     Finance lease assets</t>
  </si>
  <si>
    <t xml:space="preserve">     Intangible fixed assets</t>
  </si>
  <si>
    <t>Intangibles</t>
  </si>
  <si>
    <t xml:space="preserve">     Construction in progress (before 2015)</t>
  </si>
  <si>
    <t>Investment properties</t>
  </si>
  <si>
    <t xml:space="preserve">     Cost</t>
  </si>
  <si>
    <t xml:space="preserve">     Accumulated depreciation</t>
  </si>
  <si>
    <t>Long-term incomplete assets</t>
  </si>
  <si>
    <t xml:space="preserve">     Long-term cost of work in progress</t>
  </si>
  <si>
    <t xml:space="preserve">     Construction in progress</t>
  </si>
  <si>
    <t>CIP</t>
  </si>
  <si>
    <t>Long-term investments</t>
  </si>
  <si>
    <t xml:space="preserve">     Investments in subsidiaries</t>
  </si>
  <si>
    <t xml:space="preserve">     Investments in associates</t>
  </si>
  <si>
    <t xml:space="preserve">     Other long-term investments</t>
  </si>
  <si>
    <t xml:space="preserve">     Provision for long-term investments</t>
  </si>
  <si>
    <t>Good will (before 2015)</t>
  </si>
  <si>
    <t>Other long-term assets</t>
  </si>
  <si>
    <t xml:space="preserve">     Long-term prepayments</t>
  </si>
  <si>
    <t xml:space="preserve">     Deferred income tax assets</t>
  </si>
  <si>
    <t xml:space="preserve">     Long-term equipment, material and spare parts</t>
  </si>
  <si>
    <t xml:space="preserve">     Other long-term assets</t>
  </si>
  <si>
    <t xml:space="preserve">     Good will</t>
  </si>
  <si>
    <t>TOTAL ASSETS</t>
  </si>
  <si>
    <t>LIABILITIES</t>
  </si>
  <si>
    <t>Current liabilities</t>
  </si>
  <si>
    <t xml:space="preserve">     Trade accounts payable</t>
  </si>
  <si>
    <t xml:space="preserve">     Advances from customers</t>
  </si>
  <si>
    <t xml:space="preserve">     Taxes and other payable to State Budget</t>
  </si>
  <si>
    <t xml:space="preserve">     Payable to employees</t>
  </si>
  <si>
    <t xml:space="preserve">     Accrued expenses</t>
  </si>
  <si>
    <t xml:space="preserve">     Intercompany payables</t>
  </si>
  <si>
    <t xml:space="preserve">     Construction contract in progress payables</t>
  </si>
  <si>
    <t xml:space="preserve">     Short-term unrealized revenue</t>
  </si>
  <si>
    <t xml:space="preserve">     Other payables</t>
  </si>
  <si>
    <t xml:space="preserve">     Short-term borrowings</t>
  </si>
  <si>
    <t xml:space="preserve">     Provision for ST liabilities</t>
  </si>
  <si>
    <t xml:space="preserve">     Bonus and welfare funds</t>
  </si>
  <si>
    <t>C.C01 - Equity</t>
  </si>
  <si>
    <t xml:space="preserve">     Price stabilization fund</t>
  </si>
  <si>
    <t>Long-term liabilities</t>
  </si>
  <si>
    <t xml:space="preserve">     Long-term trade payables</t>
  </si>
  <si>
    <t xml:space="preserve">     Long-term advances from customers</t>
  </si>
  <si>
    <t xml:space="preserve">     Long-term accrued expenses</t>
  </si>
  <si>
    <t xml:space="preserve">     Intra-company payables for operating capital received</t>
  </si>
  <si>
    <t xml:space="preserve">     Long-term intercompany payables</t>
  </si>
  <si>
    <t xml:space="preserve">     Unrealized revenue</t>
  </si>
  <si>
    <t xml:space="preserve">     Other long-term payables</t>
  </si>
  <si>
    <t xml:space="preserve">     Long-term borrowings</t>
  </si>
  <si>
    <t xml:space="preserve">     Convertible bonds</t>
  </si>
  <si>
    <t xml:space="preserve">     Preferred shares</t>
  </si>
  <si>
    <t xml:space="preserve">     Deferred income tax liabilities</t>
  </si>
  <si>
    <t xml:space="preserve">     Provision for severance allowances</t>
  </si>
  <si>
    <t xml:space="preserve">     Provision for long-term liabilities</t>
  </si>
  <si>
    <t xml:space="preserve">     Technology-science development fund</t>
  </si>
  <si>
    <t>OWNER'S EQUITY</t>
  </si>
  <si>
    <t>Capital and reserves</t>
  </si>
  <si>
    <t xml:space="preserve">     Paid-in capital</t>
  </si>
  <si>
    <t>411a</t>
  </si>
  <si>
    <t xml:space="preserve">          Common shares</t>
  </si>
  <si>
    <t>411b</t>
  </si>
  <si>
    <t xml:space="preserve">          Preferred shares</t>
  </si>
  <si>
    <t xml:space="preserve">     Share premium</t>
  </si>
  <si>
    <t xml:space="preserve">     Conversion options on convertible bonds</t>
  </si>
  <si>
    <t xml:space="preserve">     Owner's other capital</t>
  </si>
  <si>
    <t xml:space="preserve">     Treasury shares</t>
  </si>
  <si>
    <t xml:space="preserve">     Differences upon asset revaluation</t>
  </si>
  <si>
    <t xml:space="preserve">     Foreign exchange differences</t>
  </si>
  <si>
    <t xml:space="preserve">     Investment and development funds</t>
  </si>
  <si>
    <t xml:space="preserve">     Enterprise arrangement fund</t>
  </si>
  <si>
    <t xml:space="preserve">     Financial researve funds</t>
  </si>
  <si>
    <t xml:space="preserve">     Other funds</t>
  </si>
  <si>
    <t>421a</t>
  </si>
  <si>
    <t xml:space="preserve">     Undistributed earnings</t>
  </si>
  <si>
    <t>421b</t>
  </si>
  <si>
    <t xml:space="preserve">          Beginning accumulated undistributed earnings</t>
  </si>
  <si>
    <t xml:space="preserve">          Current period undistributed earnings</t>
  </si>
  <si>
    <t xml:space="preserve">     Minority interests</t>
  </si>
  <si>
    <t>Budget sources and other funds</t>
  </si>
  <si>
    <t xml:space="preserve">     Bonus and welfare funds (Before 2010)</t>
  </si>
  <si>
    <t xml:space="preserve">     Budget sources and other funds</t>
  </si>
  <si>
    <t xml:space="preserve">     Funds used for fixed asset acquisitions</t>
  </si>
  <si>
    <t>MINORITY INTERESTS</t>
  </si>
  <si>
    <t>TOTAL RESOURCES</t>
  </si>
  <si>
    <t xml:space="preserve">Check </t>
  </si>
  <si>
    <t>CHECK CF ERROR</t>
  </si>
  <si>
    <t>Historical</t>
  </si>
  <si>
    <t>Projected</t>
  </si>
  <si>
    <t>SHAREHOLDER EQUITY</t>
  </si>
  <si>
    <t>Chartered capital</t>
  </si>
  <si>
    <t>Share premium</t>
  </si>
  <si>
    <t>Owner's other capital</t>
  </si>
  <si>
    <t>Treasury shares</t>
  </si>
  <si>
    <t>Differences upon asset revaluation</t>
  </si>
  <si>
    <t>Foreign exchange differences</t>
  </si>
  <si>
    <t>Investment and development fund</t>
  </si>
  <si>
    <t>Enterprise arrangement fund</t>
  </si>
  <si>
    <t>Financial reserve fund</t>
  </si>
  <si>
    <t>Other funds</t>
  </si>
  <si>
    <t>Retained earnings</t>
  </si>
  <si>
    <t>Non-controlling interest</t>
  </si>
  <si>
    <t>Total shareholder equity</t>
  </si>
  <si>
    <t>Retained Earnings</t>
  </si>
  <si>
    <t>Beginning balance</t>
  </si>
  <si>
    <t>Profit for the year</t>
  </si>
  <si>
    <t>Transfer to funds</t>
  </si>
  <si>
    <t>Investment &amp; Development fund</t>
  </si>
  <si>
    <t>Financial Reserve (10% chartered)</t>
  </si>
  <si>
    <t>Bonus funds</t>
  </si>
  <si>
    <t>Dividend payment</t>
  </si>
  <si>
    <t>Increase chartered capital</t>
  </si>
  <si>
    <t>Others</t>
  </si>
  <si>
    <t>Ending balance</t>
  </si>
  <si>
    <t>Detailed Calculation</t>
  </si>
  <si>
    <t>New capital</t>
  </si>
  <si>
    <t>Bonus/Right issue</t>
  </si>
  <si>
    <t>Increase</t>
  </si>
  <si>
    <t>Decrease</t>
  </si>
  <si>
    <t>Treasury stock</t>
  </si>
  <si>
    <t>Investment &amp; development Fund</t>
  </si>
  <si>
    <t>Financial reserve (Max 10% chartered)</t>
  </si>
  <si>
    <t>Non-equity funds</t>
  </si>
  <si>
    <t>Bonus fund</t>
  </si>
  <si>
    <t>Equity Assumption</t>
  </si>
  <si>
    <t>Dividend Payout Ratio</t>
  </si>
  <si>
    <t>Dividend Ratio (per face value)</t>
  </si>
  <si>
    <t>Transfer to funds (% NPAT)</t>
  </si>
  <si>
    <t>Financial reserve</t>
  </si>
  <si>
    <t>Bonus paid-out (% disposable bonus fund)</t>
  </si>
  <si>
    <t>chưa dự phóng 2026</t>
  </si>
  <si>
    <t>Adjusted</t>
  </si>
  <si>
    <t>Adjustment</t>
  </si>
  <si>
    <t>Raw</t>
  </si>
  <si>
    <t>ITEMS</t>
  </si>
  <si>
    <t>leave</t>
  </si>
  <si>
    <t>I. CASH FLOWS FROM OPERATING  ACTIVITIES</t>
  </si>
  <si>
    <t>Profit/(loss) before tax</t>
  </si>
  <si>
    <t>Adjustments for:</t>
  </si>
  <si>
    <t xml:space="preserve">Depreciation and amortisation of fixed assets and investment properties </t>
  </si>
  <si>
    <t>Provisions</t>
  </si>
  <si>
    <t>Foreign exchange (gains)/losses arising from revaluation of monetary accounts</t>
  </si>
  <si>
    <t>(Profits)/losses from investing activities</t>
  </si>
  <si>
    <t>Loại lãi tiền gửi/thanh lý TSCĐ</t>
  </si>
  <si>
    <t>Interest expense</t>
  </si>
  <si>
    <t>Cộng lại int exp</t>
  </si>
  <si>
    <t>Other adjustments</t>
  </si>
  <si>
    <t>Operating profit/(loss)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</si>
  <si>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</si>
  <si>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</si>
  <si>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</si>
  <si>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</si>
  <si>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 xml:space="preserve">(Increase)/decrease in held-for-trading securities </t>
  </si>
  <si>
    <t>hide</t>
  </si>
  <si>
    <t>Interest paid</t>
  </si>
  <si>
    <t>Corporate income tax paid</t>
  </si>
  <si>
    <t>Other cash inflows from operating activities</t>
  </si>
  <si>
    <t>Other cash outflows from operating activities</t>
  </si>
  <si>
    <t xml:space="preserve">Net cash flows from/(used in) operating activities </t>
  </si>
  <si>
    <t>II.  CASH FLOWS FROM INVESTING  ACTIVITIES</t>
  </si>
  <si>
    <t>Purchase, construction of fixed assets and other long-term assets</t>
  </si>
  <si>
    <t>Proceeds from disposals of fixed assets and other long-term assets</t>
  </si>
  <si>
    <t xml:space="preserve">Loans to other entities and payments for purchase of debt instruments of other entities </t>
  </si>
  <si>
    <t xml:space="preserve">Collections from borrowers and proceeds from sale of debt instruments of other entities </t>
  </si>
  <si>
    <t xml:space="preserve">Payments for investments in other entities </t>
  </si>
  <si>
    <t>Proceeds from sale of investments in other entities</t>
  </si>
  <si>
    <t>Interest and dividends received</t>
  </si>
  <si>
    <t xml:space="preserve">Net cash flows from/(used in) investing activities </t>
  </si>
  <si>
    <t xml:space="preserve">III. CASH FLOWS FROM FINANCING ACTIVITIES </t>
  </si>
  <si>
    <t>Capital contribution and issuance of shares</t>
  </si>
  <si>
    <t>Capital redemption</t>
  </si>
  <si>
    <t xml:space="preserve">Drawdown of borrowings </t>
  </si>
  <si>
    <t>Net-off dòng thu và chi nợ ngắn hạn</t>
  </si>
  <si>
    <t xml:space="preserve">Repayment of borrowings </t>
  </si>
  <si>
    <t>Payment of principal of finance lease liabilities</t>
  </si>
  <si>
    <t xml:space="preserve">Dividends paid </t>
  </si>
  <si>
    <t xml:space="preserve">Net cash flows from/(used in) financing activities </t>
  </si>
  <si>
    <t>Net increase/(decrease) in cash [and cash equivalents]</t>
  </si>
  <si>
    <t>Cash [and cash equivalents] at beginning of period</t>
  </si>
  <si>
    <t>Impact of exchange rate fluctuation</t>
  </si>
  <si>
    <t>Cash [and cash equivalents] at end of period</t>
  </si>
  <si>
    <t>Check</t>
  </si>
  <si>
    <r>
      <rPr>
        <sz val="8"/>
        <color rgb="FFFFC000"/>
        <rFont val="Open Sans"/>
        <family val="2"/>
      </rPr>
      <t xml:space="preserve">  </t>
    </r>
    <r>
      <rPr>
        <sz val="8"/>
        <color theme="1"/>
        <rFont val="Open Sans"/>
        <family val="2"/>
      </rPr>
      <t xml:space="preserve"> </t>
    </r>
    <r>
      <rPr>
        <b/>
        <sz val="8"/>
        <color rgb="FF000000"/>
        <rFont val="Open Sans"/>
        <family val="2"/>
      </rPr>
      <t>Statement of financial position</t>
    </r>
  </si>
  <si>
    <r>
      <t xml:space="preserve"> </t>
    </r>
    <r>
      <rPr>
        <b/>
        <sz val="8"/>
        <color rgb="FF000000"/>
        <rFont val="Open Sans"/>
        <family val="2"/>
      </rPr>
      <t>Statement of comprehensive income</t>
    </r>
  </si>
  <si>
    <t>Year to Dec. (bn VND)</t>
  </si>
  <si>
    <t>2026F</t>
  </si>
  <si>
    <t>2027F</t>
  </si>
  <si>
    <t>2028F</t>
  </si>
  <si>
    <t>2029F</t>
  </si>
  <si>
    <t>Total assets</t>
  </si>
  <si>
    <t>Net Revenue</t>
  </si>
  <si>
    <t>Current assets</t>
  </si>
  <si>
    <t>Growth (%)</t>
  </si>
  <si>
    <t>Cash &amp; equivalents</t>
  </si>
  <si>
    <t>Short-term financial asset</t>
  </si>
  <si>
    <t>Gross profit</t>
  </si>
  <si>
    <t>GPM (%)</t>
  </si>
  <si>
    <t>SG&amp;A</t>
  </si>
  <si>
    <t>Other short-term assets</t>
  </si>
  <si>
    <t>Operating profit</t>
  </si>
  <si>
    <t xml:space="preserve">Non-current assets </t>
  </si>
  <si>
    <t>Net fixed assets</t>
  </si>
  <si>
    <t>OPM (%)</t>
  </si>
  <si>
    <t>Investment assets</t>
  </si>
  <si>
    <t>Non-operating profit</t>
  </si>
  <si>
    <t>Total liabilities</t>
  </si>
  <si>
    <t>Financial expense</t>
  </si>
  <si>
    <t xml:space="preserve">  In which: interest expenses</t>
  </si>
  <si>
    <t>Accounts payable</t>
  </si>
  <si>
    <t>Net other non-operating profit</t>
  </si>
  <si>
    <t>Short-term borrowings</t>
  </si>
  <si>
    <t>Pre-tax profit</t>
  </si>
  <si>
    <t>Income tax</t>
  </si>
  <si>
    <t>Non-current liabilities</t>
  </si>
  <si>
    <t>Net profit</t>
  </si>
  <si>
    <t>Long-term borrowings</t>
  </si>
  <si>
    <t>Other financial liabilities</t>
  </si>
  <si>
    <t>NPM (%)</t>
  </si>
  <si>
    <t>Total shareholders' equity</t>
  </si>
  <si>
    <t>Controlling interest</t>
  </si>
  <si>
    <t>Capital stock</t>
  </si>
  <si>
    <t>Capital surplus</t>
  </si>
  <si>
    <t>Other capital</t>
  </si>
  <si>
    <t>EBIT Margin (%)</t>
  </si>
  <si>
    <t>Non-controlling interest equity</t>
  </si>
  <si>
    <t>*Total debt</t>
  </si>
  <si>
    <t>QNS VN EQUITY</t>
  </si>
  <si>
    <t>*Net debt (cash)</t>
  </si>
  <si>
    <t>EBITDA margin (%)</t>
  </si>
  <si>
    <t xml:space="preserve"> Statement of cash flow</t>
  </si>
  <si>
    <t xml:space="preserve"> Key ratios</t>
  </si>
  <si>
    <t>Year to Dec.</t>
  </si>
  <si>
    <t>Cash flow from operations</t>
  </si>
  <si>
    <t>EPS (VND)</t>
  </si>
  <si>
    <t>BPS (VND)</t>
  </si>
  <si>
    <t>PE_RATIO</t>
  </si>
  <si>
    <t>Depreciation &amp; Amortization</t>
  </si>
  <si>
    <t>DPS</t>
  </si>
  <si>
    <t>PX_TO_BOOK_RATIO</t>
  </si>
  <si>
    <t>(Gain) from Investing activities</t>
  </si>
  <si>
    <t>PER (x)</t>
  </si>
  <si>
    <t>ev/ebitda</t>
  </si>
  <si>
    <t>Change in working capital</t>
  </si>
  <si>
    <t>PBR (x)</t>
  </si>
  <si>
    <t>ENTERPRISE_VALUE</t>
  </si>
  <si>
    <t>EV/EBITDA (x)</t>
  </si>
  <si>
    <t>Cash flow from investments</t>
  </si>
  <si>
    <t>Dividend payout ratio (%)</t>
  </si>
  <si>
    <t>DVD_PAYOUT_RATIO</t>
  </si>
  <si>
    <t>Change in fixed assets</t>
  </si>
  <si>
    <t>Dividend yield (%)</t>
  </si>
  <si>
    <t>Change in investment assets</t>
  </si>
  <si>
    <t>Profitability</t>
  </si>
  <si>
    <t>PX_LAST</t>
  </si>
  <si>
    <t>Divident</t>
  </si>
  <si>
    <t>Cash flow from financing</t>
  </si>
  <si>
    <t>Divident yield</t>
  </si>
  <si>
    <t>Change in equity</t>
  </si>
  <si>
    <t>Net borrowing</t>
  </si>
  <si>
    <t>ROA (%)</t>
  </si>
  <si>
    <t>Dividends</t>
  </si>
  <si>
    <t>ROE (%)</t>
  </si>
  <si>
    <t>Change in total cash</t>
  </si>
  <si>
    <t>Stability</t>
  </si>
  <si>
    <t>Beginning cash</t>
  </si>
  <si>
    <t>Debt to equity ratio (%)</t>
  </si>
  <si>
    <t>Change in FX rates</t>
  </si>
  <si>
    <t>Net debt to EBITDA ratio (%)</t>
  </si>
  <si>
    <t>Ending cash</t>
  </si>
  <si>
    <t>Cash ratio (%)</t>
  </si>
  <si>
    <t>Interest coverage ratio (x)</t>
  </si>
  <si>
    <t>Activity (%)</t>
  </si>
  <si>
    <t>Payble turnover (days)</t>
  </si>
  <si>
    <t>Inventory turnover (days)</t>
  </si>
  <si>
    <t>Receivable turnover (days)</t>
  </si>
  <si>
    <t>Purchase</t>
  </si>
  <si>
    <t>EB = OB + Purchase - COGS</t>
  </si>
  <si>
    <t>=&gt; Purchase = EB - OB + COGS</t>
  </si>
  <si>
    <t>Năm</t>
  </si>
  <si>
    <t>(Đơn vị: tỷ VND)</t>
  </si>
  <si>
    <t>Doanh thu (tỷ VND)</t>
  </si>
  <si>
    <t>Doanh thu</t>
  </si>
  <si>
    <t>LN HĐKD (tỷ VND)</t>
  </si>
  <si>
    <t>Bia</t>
  </si>
  <si>
    <t>LNST (tỷ VND)</t>
  </si>
  <si>
    <t>Khác</t>
  </si>
  <si>
    <t>EPS (đồng)</t>
  </si>
  <si>
    <t>Lợi nhuận gộp</t>
  </si>
  <si>
    <t>BPS (đồng)</t>
  </si>
  <si>
    <t>Lợi nhuân từ HĐKD</t>
  </si>
  <si>
    <t>Biên LN HĐKD (%)</t>
  </si>
  <si>
    <t>Lợi nhuận ròng</t>
  </si>
  <si>
    <t>Biên LNST (%)</t>
  </si>
  <si>
    <t>Biên lợi nhuận (%)</t>
  </si>
  <si>
    <t>Biên lợi nhuận gộp</t>
  </si>
  <si>
    <t>Biên lợi nhuận từ HĐKD</t>
  </si>
  <si>
    <t>Biên lợi nhuận ròng</t>
  </si>
  <si>
    <t>Tăng trưởng (%YoY)</t>
  </si>
  <si>
    <t>Doanh thu thuần</t>
  </si>
  <si>
    <t>2030F</t>
  </si>
  <si>
    <t>DETAILED SALES FORECAST</t>
  </si>
  <si>
    <t>VND million</t>
  </si>
  <si>
    <t>FORECAST</t>
  </si>
  <si>
    <t>Segment</t>
  </si>
  <si>
    <t>Revenue</t>
  </si>
  <si>
    <t>Beer</t>
  </si>
  <si>
    <t>Raw materials</t>
  </si>
  <si>
    <t>Beverages</t>
  </si>
  <si>
    <t>Total</t>
  </si>
  <si>
    <t>Growth</t>
  </si>
  <si>
    <t>% Revenue</t>
  </si>
  <si>
    <t>Bao bì vật tư</t>
  </si>
  <si>
    <t>Nước giải khát</t>
  </si>
  <si>
    <t>% COGS</t>
  </si>
  <si>
    <t>GP</t>
  </si>
  <si>
    <t>GM</t>
  </si>
  <si>
    <t>% GM in Rev</t>
  </si>
  <si>
    <t>&gt;&gt;&gt; Revenue of beer</t>
  </si>
  <si>
    <t>Doanh thu (BVND)</t>
  </si>
  <si>
    <t>Revenue (BVND)</t>
  </si>
  <si>
    <t>MVND</t>
  </si>
  <si>
    <t>Euro</t>
  </si>
  <si>
    <t>Sản lượng</t>
  </si>
  <si>
    <t xml:space="preserve">Volume </t>
  </si>
  <si>
    <t>mLit</t>
  </si>
  <si>
    <t>WC</t>
  </si>
  <si>
    <t>Giá</t>
  </si>
  <si>
    <t xml:space="preserve">Price </t>
  </si>
  <si>
    <t>VND</t>
  </si>
  <si>
    <t xml:space="preserve">COGS </t>
  </si>
  <si>
    <t>Biên LN gộp (%)</t>
  </si>
  <si>
    <t>GM (%)</t>
  </si>
  <si>
    <t>Mkt share</t>
  </si>
  <si>
    <t>Growth rate of mkt</t>
  </si>
  <si>
    <t>Total alcohol consumption,
litres mn</t>
  </si>
  <si>
    <t>Total alcohol
consumption,
litres per capita</t>
  </si>
  <si>
    <t>Beer, litres mn</t>
  </si>
  <si>
    <t>Beer, litres per capita</t>
  </si>
  <si>
    <t>%</t>
  </si>
  <si>
    <t>&gt;&gt;&gt; Revenue of packing</t>
  </si>
  <si>
    <t xml:space="preserve">GP </t>
  </si>
  <si>
    <t xml:space="preserve">GM </t>
  </si>
  <si>
    <t>E2031</t>
  </si>
  <si>
    <t>2031F</t>
  </si>
  <si>
    <t xml:space="preserve">Assumption </t>
  </si>
  <si>
    <t>Items</t>
  </si>
  <si>
    <t>Provision for AR and OR</t>
  </si>
  <si>
    <t>E.101</t>
  </si>
  <si>
    <t>C.101</t>
  </si>
  <si>
    <t>Net rev</t>
  </si>
  <si>
    <t>%Rev</t>
  </si>
  <si>
    <t>Previous yr</t>
  </si>
  <si>
    <t>Per AR and OR</t>
  </si>
  <si>
    <t>Units: VND billion, except per share data</t>
  </si>
  <si>
    <t>FIXED ASSETS</t>
  </si>
  <si>
    <t>Total Assets = Old assets + New assets</t>
  </si>
  <si>
    <t>TOTAL FIXED ASSETS</t>
  </si>
  <si>
    <t>1/ Tangible Fixed Assets</t>
  </si>
  <si>
    <t>Historical price</t>
  </si>
  <si>
    <t>Accum depreciation</t>
  </si>
  <si>
    <t xml:space="preserve">Net Depreciation for Tangible </t>
  </si>
  <si>
    <t>Depreciation rate</t>
  </si>
  <si>
    <t>Depreciation period</t>
  </si>
  <si>
    <t>2/ Intangible Fixed Assets</t>
  </si>
  <si>
    <t>Accum Amortization</t>
  </si>
  <si>
    <t>Net Amortization in year</t>
  </si>
  <si>
    <t>Amortization rate</t>
  </si>
  <si>
    <t>Amortization period</t>
  </si>
  <si>
    <t>3/ Financial Lease</t>
  </si>
  <si>
    <t>Net Depreciation for Financial Lease</t>
  </si>
  <si>
    <t>4/ Investment Properties</t>
  </si>
  <si>
    <t>Net Depreciation for Investment Properties</t>
  </si>
  <si>
    <t>Total D&amp;A Expenses</t>
  </si>
  <si>
    <t>D&amp;A/Sales</t>
  </si>
  <si>
    <t>D&amp;A/COGS</t>
  </si>
  <si>
    <t>OLD ASSETS</t>
  </si>
  <si>
    <t>1/ Tangible FA</t>
  </si>
  <si>
    <t xml:space="preserve"> </t>
  </si>
  <si>
    <t>2/ Intangible FA</t>
  </si>
  <si>
    <t>2.1 Land use rights</t>
  </si>
  <si>
    <t>Net Land use rights</t>
  </si>
  <si>
    <t>2.2 Others</t>
  </si>
  <si>
    <t>Net</t>
  </si>
  <si>
    <t>3/ Financial lease</t>
  </si>
  <si>
    <t>Financial Lease</t>
  </si>
  <si>
    <t>4/ Investment properties</t>
  </si>
  <si>
    <t>Investment Properties</t>
  </si>
  <si>
    <t>Inflation rate</t>
  </si>
  <si>
    <t>NEW ASSETS</t>
  </si>
  <si>
    <t>New Fixed Assets</t>
  </si>
  <si>
    <t xml:space="preserve">Purchase </t>
  </si>
  <si>
    <t>Average</t>
  </si>
  <si>
    <t>Depreciation of Tangible Assets</t>
  </si>
  <si>
    <t>New purchase</t>
  </si>
  <si>
    <t>New assets in 2026</t>
  </si>
  <si>
    <t>New assets in 2027</t>
  </si>
  <si>
    <t>New assets in 2028</t>
  </si>
  <si>
    <t>New assets in 2029</t>
  </si>
  <si>
    <t>New assets in 2030</t>
  </si>
  <si>
    <t>Total Depreciation</t>
  </si>
  <si>
    <t>New Intangible Assets</t>
  </si>
  <si>
    <t>Amortization of Intangible Assets</t>
  </si>
  <si>
    <t>Total Amortization</t>
  </si>
  <si>
    <t>New Lease assets</t>
  </si>
  <si>
    <t>Amortization of Lease assets</t>
  </si>
  <si>
    <t>Investment Property</t>
  </si>
  <si>
    <t>Depreciation of Investment Property</t>
  </si>
  <si>
    <t>Assumption</t>
  </si>
  <si>
    <t>Depreciation period of new assets (year)</t>
  </si>
  <si>
    <t>Tangible</t>
  </si>
  <si>
    <t>Intangible</t>
  </si>
  <si>
    <t>Chuyển từ XDCBDD sang nhà cửa cho thuê</t>
  </si>
  <si>
    <t>CONSTRUCTION IN PROGRESS (CIP)</t>
  </si>
  <si>
    <t>Increase in year</t>
  </si>
  <si>
    <t>Transfer to tangible fixed assets</t>
  </si>
  <si>
    <t>Transfer to intangible fixed assets</t>
  </si>
  <si>
    <t>Transfer to investment properties</t>
  </si>
  <si>
    <t>Other changes</t>
  </si>
  <si>
    <t xml:space="preserve">Note: </t>
  </si>
  <si>
    <t>Site clearance prj at SG-Chu Chi Brewery</t>
  </si>
  <si>
    <t>Commercial &amp; service center</t>
  </si>
  <si>
    <t>Pilot beer production system</t>
  </si>
  <si>
    <t>Sabeco 4.0</t>
  </si>
  <si>
    <t>&gt;&gt;&gt; Summary</t>
  </si>
  <si>
    <t>Short-term loans and liabilities</t>
  </si>
  <si>
    <t xml:space="preserve">     Bank loans</t>
  </si>
  <si>
    <t xml:space="preserve">     Current portion of long-term debt</t>
  </si>
  <si>
    <t xml:space="preserve">     Current portion of financial lease</t>
  </si>
  <si>
    <t xml:space="preserve">    Other</t>
  </si>
  <si>
    <t>Control</t>
  </si>
  <si>
    <t xml:space="preserve">Long-term </t>
  </si>
  <si>
    <t>Short-term</t>
  </si>
  <si>
    <t xml:space="preserve">     Financially leased liabilities</t>
  </si>
  <si>
    <t>&gt;&gt;&gt; Details</t>
  </si>
  <si>
    <t>1/ Short-term loans and liabilities</t>
  </si>
  <si>
    <t xml:space="preserve">    Short-term loans</t>
  </si>
  <si>
    <t>ST loans financed for WCInv</t>
  </si>
  <si>
    <t>VTB QN</t>
  </si>
  <si>
    <t xml:space="preserve">Bangkok </t>
  </si>
  <si>
    <t>VCB - QN</t>
  </si>
  <si>
    <t xml:space="preserve">VCB - Thanh Xuan </t>
  </si>
  <si>
    <t>Shinhan - Pham Hung</t>
  </si>
  <si>
    <t xml:space="preserve">Standard Chartered - HCM </t>
  </si>
  <si>
    <t>VTB - Quang Minh</t>
  </si>
  <si>
    <t>Shinhan  - Hanoi</t>
  </si>
  <si>
    <t>EIB - Quang Ngai</t>
  </si>
  <si>
    <t>Current portion of long-term debt</t>
  </si>
  <si>
    <t>Current portion of financial lease</t>
  </si>
  <si>
    <t>2/ Long-term loans and liabilities</t>
  </si>
  <si>
    <t>Long-term</t>
  </si>
  <si>
    <t>1/ Bank loans</t>
  </si>
  <si>
    <t xml:space="preserve">    Bank loans</t>
  </si>
  <si>
    <t>Maturities (average)</t>
  </si>
  <si>
    <t>VTB - CN4</t>
  </si>
  <si>
    <t>2/ Financial lease</t>
  </si>
  <si>
    <t xml:space="preserve">    Financial lease</t>
  </si>
  <si>
    <t>VIB</t>
  </si>
  <si>
    <t>VTB</t>
  </si>
  <si>
    <t>LienViet Postbank</t>
  </si>
  <si>
    <t>VCB</t>
  </si>
  <si>
    <t>Bangkok - HCM</t>
  </si>
  <si>
    <t>BIDV - Quang Minh</t>
  </si>
  <si>
    <t>Shinhan - Hanoi</t>
  </si>
  <si>
    <t>Purpose: Long-term debts financed for FCInv: FA purchases, CIP, Investment properties</t>
  </si>
  <si>
    <t>I/r expense</t>
  </si>
  <si>
    <t>Long+short-term loan</t>
  </si>
  <si>
    <t xml:space="preserve">Mean I/r rate </t>
  </si>
  <si>
    <t>I/r expense short</t>
  </si>
  <si>
    <t xml:space="preserve">     Interest income on loans and Deposits granted</t>
  </si>
  <si>
    <t xml:space="preserve">     Gain on disposal of securities</t>
  </si>
  <si>
    <t xml:space="preserve">     Dividends income</t>
  </si>
  <si>
    <t xml:space="preserve">     Gain from disposal of Short-term or long-term investments</t>
  </si>
  <si>
    <t xml:space="preserve">     Gains from sale of foreign currency</t>
  </si>
  <si>
    <t xml:space="preserve">     Realized foreign exchange gains</t>
  </si>
  <si>
    <t xml:space="preserve">     Unrealized foreign exchange gains</t>
  </si>
  <si>
    <t xml:space="preserve">     Gains from sale of deferred payments goods</t>
  </si>
  <si>
    <t xml:space="preserve">     Others</t>
  </si>
  <si>
    <t xml:space="preserve">     Interest expenses on loans</t>
  </si>
  <si>
    <t xml:space="preserve">     Payments discount, gains from sale of deferred payments goods</t>
  </si>
  <si>
    <t xml:space="preserve">     Loss from disposal of Short-term or long-term investments</t>
  </si>
  <si>
    <t xml:space="preserve">     Loss from sale of foreign currency</t>
  </si>
  <si>
    <t xml:space="preserve">     Realized foreign exchange losses</t>
  </si>
  <si>
    <t xml:space="preserve">     Unrealized foreign exchange losses</t>
  </si>
  <si>
    <t xml:space="preserve">     Provisions for reduction in price of short-term or long-term investments</t>
  </si>
  <si>
    <t>Interest rate deposits</t>
  </si>
  <si>
    <t>Interest rate loans</t>
  </si>
  <si>
    <t>-</t>
  </si>
  <si>
    <t>New assets in 2031</t>
  </si>
  <si>
    <t>Prepared by: TV</t>
  </si>
  <si>
    <t>Entity:</t>
  </si>
  <si>
    <t>Reviewed by: LB</t>
  </si>
  <si>
    <t>Fiscal year:</t>
  </si>
  <si>
    <t xml:space="preserve">Date: </t>
  </si>
  <si>
    <t>Date of report:</t>
  </si>
  <si>
    <t>Ticker</t>
  </si>
  <si>
    <t>SAB VN Equity</t>
  </si>
  <si>
    <t>Adjusted Beta</t>
  </si>
  <si>
    <t>Violet</t>
  </si>
  <si>
    <t>Other sheets</t>
  </si>
  <si>
    <t>Target Price</t>
  </si>
  <si>
    <t>WACC</t>
  </si>
  <si>
    <t xml:space="preserve">Blue </t>
  </si>
  <si>
    <t>Upside</t>
  </si>
  <si>
    <t>Cost of Equity</t>
  </si>
  <si>
    <t>Cost of Debt</t>
  </si>
  <si>
    <t>Black</t>
  </si>
  <si>
    <t>Same sheet</t>
  </si>
  <si>
    <t>Current Price</t>
  </si>
  <si>
    <t>Beta</t>
  </si>
  <si>
    <t>Weight of Debt</t>
  </si>
  <si>
    <t>Outstanding share (bn)</t>
  </si>
  <si>
    <t>Rf</t>
  </si>
  <si>
    <t>Weighted Average Cost of Capital (WACC)</t>
  </si>
  <si>
    <t>Equity value</t>
  </si>
  <si>
    <t>Equity Risk Premium</t>
  </si>
  <si>
    <t>Weight of Equity</t>
  </si>
  <si>
    <t>WACC (%)</t>
  </si>
  <si>
    <t>Total debt</t>
  </si>
  <si>
    <t>MV of Equity</t>
  </si>
  <si>
    <t>Risk-free rate (%)</t>
  </si>
  <si>
    <t>Tax rate</t>
  </si>
  <si>
    <t>MV of Debt</t>
  </si>
  <si>
    <t>Equity risk premium (%)</t>
  </si>
  <si>
    <t xml:space="preserve">Tổng hợp định gía </t>
  </si>
  <si>
    <t>Debt cost (%)</t>
  </si>
  <si>
    <t>Weight</t>
  </si>
  <si>
    <t>The cost of equity(%)</t>
  </si>
  <si>
    <t>FCFF</t>
  </si>
  <si>
    <t>Debt-to-equity ratio</t>
  </si>
  <si>
    <t>P/E</t>
  </si>
  <si>
    <t>NI</t>
  </si>
  <si>
    <t>+</t>
  </si>
  <si>
    <t>NCC</t>
  </si>
  <si>
    <t>Int(1-t)</t>
  </si>
  <si>
    <t>WCInv</t>
  </si>
  <si>
    <t>Capex</t>
  </si>
  <si>
    <t>Discount factor</t>
  </si>
  <si>
    <t>PV of FCFF</t>
  </si>
  <si>
    <t>PV of Terminal Value</t>
  </si>
  <si>
    <t>Terminal Growth</t>
  </si>
  <si>
    <t>Enterprise Value (VND bn)</t>
  </si>
  <si>
    <t>(-) Total Debt</t>
  </si>
  <si>
    <t>(+) Cash&amp;Cash Equivalents</t>
  </si>
  <si>
    <t>Minority int</t>
  </si>
  <si>
    <t>Implied Equity Value</t>
  </si>
  <si>
    <t>Share outstanding</t>
  </si>
  <si>
    <t>Price per Share (VND)</t>
  </si>
  <si>
    <t>Plus</t>
  </si>
  <si>
    <t xml:space="preserve">Lãi vay (sau thuế) </t>
  </si>
  <si>
    <t>Minus</t>
  </si>
  <si>
    <t>Đầu tư TSCĐ</t>
  </si>
  <si>
    <t>Đầu tư Vốn lưu động</t>
  </si>
  <si>
    <t>Số năm chiết khấu</t>
  </si>
  <si>
    <t xml:space="preserve">Hệ số chiết khấu </t>
  </si>
  <si>
    <t>Giá trị hiện tại của FCFF</t>
  </si>
  <si>
    <t>Tổng giá trị hiện tại của FCFF</t>
  </si>
  <si>
    <t>Giá trị dài hạn</t>
  </si>
  <si>
    <t>Giá trị hiện tại của giá trị dài hạn</t>
  </si>
  <si>
    <t xml:space="preserve">Giá trị doanh nghiệp </t>
  </si>
  <si>
    <t>Tiền mặt và tiền gửi ngân hàng</t>
  </si>
  <si>
    <t xml:space="preserve">Vay nợ </t>
  </si>
  <si>
    <t xml:space="preserve">Lợi ích cổ đông thiểu số </t>
  </si>
  <si>
    <t>Giá trị VCSH</t>
  </si>
  <si>
    <t>Số cổ phiếu</t>
  </si>
  <si>
    <t>Price per share</t>
  </si>
  <si>
    <t>Forecast FCF of SAB</t>
  </si>
  <si>
    <t>Unit: billion VND</t>
  </si>
  <si>
    <t>Plus: After-tax interest expense</t>
  </si>
  <si>
    <t>Plus: Depreciation &amp; Amortization</t>
  </si>
  <si>
    <t>Minus: Change in working capital</t>
  </si>
  <si>
    <t>Minus: CapEx</t>
  </si>
  <si>
    <t>Free Cash Flow (FCF)</t>
  </si>
  <si>
    <t>Discount rate</t>
  </si>
  <si>
    <t>PV of FCF</t>
  </si>
  <si>
    <t>Present value of long-term value</t>
  </si>
  <si>
    <t>Enterprise value</t>
  </si>
  <si>
    <t>Debt</t>
  </si>
  <si>
    <t xml:space="preserve">  </t>
  </si>
  <si>
    <t>Minority interest</t>
  </si>
  <si>
    <t>Number of shares outstanding (billion units)</t>
  </si>
  <si>
    <t>Target price (VND)</t>
  </si>
  <si>
    <t>So sánh các doanh nghiệp trong ngành</t>
  </si>
  <si>
    <t>Mã chứng khoán</t>
  </si>
  <si>
    <t>PE</t>
  </si>
  <si>
    <t>Vốn hóa</t>
  </si>
  <si>
    <t xml:space="preserve">Tăng trưởng </t>
  </si>
  <si>
    <t xml:space="preserve"> (tỷ VND)</t>
  </si>
  <si>
    <t>Doanh thu (%)</t>
  </si>
  <si>
    <t>EPS (%)</t>
  </si>
  <si>
    <t>HEIM MK Equity</t>
  </si>
  <si>
    <t>HEINEKEN MALAYSIA BHD</t>
  </si>
  <si>
    <t>CAB MK Equity</t>
  </si>
  <si>
    <t>MLBI IJ Equity</t>
  </si>
  <si>
    <t>LION SL Equity</t>
  </si>
  <si>
    <t>LION BREWERY CEYLON PLC</t>
  </si>
  <si>
    <t>BHN VN Equity</t>
  </si>
  <si>
    <t>HANOI BEER ALCOHOL &amp; BEVERAG</t>
  </si>
  <si>
    <t>Trung bình</t>
  </si>
  <si>
    <t>P/E bình quân 5 năm</t>
  </si>
  <si>
    <t>P/E mục tiêu</t>
  </si>
  <si>
    <t>EPS forward (2026F)</t>
  </si>
  <si>
    <t>Giá mục tiêu</t>
  </si>
  <si>
    <t>Minh Huyền</t>
  </si>
  <si>
    <t>2097F</t>
  </si>
  <si>
    <t>CARLSBERG BREWERY MALAYSIA BHD</t>
  </si>
  <si>
    <t>MULTI BINTANG INDONESIA TPK</t>
  </si>
  <si>
    <t>2025A</t>
  </si>
  <si>
    <t>20230F</t>
  </si>
  <si>
    <t>2024A</t>
  </si>
  <si>
    <t>Triển vọng doanh thu, lợi nhuận của QNS (2024-2030F)</t>
  </si>
  <si>
    <t>2023A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</si>
</sst>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0.0%"/>
    <numFmt numFmtId="168" formatCode="_(* #,##0_);_(* \(#,##0\);_(* &quot;-&quot;??_);_(@_)"/>
    <numFmt numFmtId="169" formatCode="0.000"/>
    <numFmt numFmtId="170" formatCode="_(* #,##0_);_(* \(#,##0\);_(* &quot;-&quot;_);_(@_)"/>
    <numFmt numFmtId="171" formatCode="_-* #,##0_-;\-* #,##0_-;_-* &quot;-&quot;??_-;_-@_-"/>
    <numFmt numFmtId="172" formatCode="#,##0.0_ ;\-#,##0.0\ "/>
    <numFmt numFmtId="173" formatCode="#,##0;\(#,##0\)"/>
    <numFmt numFmtId="174" formatCode="#,##0.0;\(#,##0.0\)"/>
    <numFmt numFmtId="175" formatCode="#,##0;\(#,##0\);\-"/>
    <numFmt numFmtId="176" formatCode="_(* #,##0.0_);_(* \(#,##0.0\);_(* &quot;-&quot;??_);_(@_)"/>
    <numFmt numFmtId="177" formatCode="#,##0.0;\(#,##0.0\);\-"/>
    <numFmt numFmtId="178" formatCode="_(* #,##0.000_);_(* \(#,##0.000\);_(* &quot;-&quot;??_);_(@_)"/>
    <numFmt numFmtId="179" formatCode="0.000%"/>
    <numFmt numFmtId="180" formatCode="#,##0.0_);\(#,##0.0\)"/>
    <numFmt numFmtId="181" formatCode="#,##0.0000"/>
    <numFmt numFmtId="182" formatCode="_(* #,##0.0_);_(* \(#,##0.0\);_(* &quot;-&quot;_);_(@_)"/>
    <numFmt numFmtId="183" formatCode="_-* #,##0.00\ _₫_-;\-* #,##0.00\ _₫_-;_-* &quot;-&quot;??\ _₫_-;_-@_-"/>
  </numFmts>
  <fonts count="9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0"/>
      <color theme="1"/>
      <name val="Arial"/>
      <family val="2"/>
      <charset val="163"/>
      <scheme val="minor"/>
    </font>
    <font>
      <sz val="10"/>
      <color theme="1"/>
      <name val="Arial"/>
      <family val="2"/>
      <charset val="163"/>
      <scheme val="minor"/>
    </font>
    <font>
      <b/>
      <sz val="10"/>
      <color theme="1"/>
      <name val="Arial"/>
      <family val="2"/>
      <charset val="163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  <charset val="163"/>
      <scheme val="minor"/>
    </font>
    <font>
      <sz val="9"/>
      <color theme="1"/>
      <name val="Arial"/>
      <family val="2"/>
      <charset val="163"/>
      <scheme val="minor"/>
    </font>
    <font>
      <sz val="10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7030A0"/>
      <name val="Arial"/>
      <family val="2"/>
      <scheme val="minor"/>
    </font>
    <font>
      <b/>
      <sz val="11"/>
      <color rgb="FF002060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rgb="FF002060"/>
      <name val="Arial"/>
      <family val="2"/>
      <scheme val="minor"/>
    </font>
    <font>
      <sz val="10"/>
      <color rgb="FF000000"/>
      <name val="Oneshinhan lighgt"/>
    </font>
    <font>
      <sz val="10"/>
      <color rgb="FF002060"/>
      <name val="Oneshinhan lighgt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i/>
      <sz val="8.5"/>
      <color theme="1"/>
      <name val="Arial"/>
      <family val="2"/>
    </font>
    <font>
      <sz val="10"/>
      <color theme="1"/>
      <name val="Times New Roman"/>
      <family val="1"/>
    </font>
    <font>
      <b/>
      <sz val="7.5"/>
      <color rgb="FF000000"/>
      <name val="Arial"/>
      <family val="2"/>
    </font>
    <font>
      <sz val="9"/>
      <color rgb="FF000000"/>
      <name val="Arial Narrow"/>
      <family val="2"/>
    </font>
    <font>
      <b/>
      <sz val="8"/>
      <color rgb="FF000000"/>
      <name val="Arial"/>
      <family val="2"/>
    </font>
    <font>
      <sz val="7.5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 Narrow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  <scheme val="minor"/>
    </font>
    <font>
      <b/>
      <sz val="10"/>
      <color theme="1"/>
      <name val="Arial"/>
      <family val="2"/>
    </font>
    <font>
      <sz val="11"/>
      <color rgb="FF0070C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charset val="163"/>
      <scheme val="minor"/>
    </font>
    <font>
      <sz val="9"/>
      <color rgb="FFFF0000"/>
      <name val="Arial"/>
      <family val="2"/>
      <charset val="163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Open Sans"/>
      <family val="2"/>
    </font>
    <font>
      <sz val="8"/>
      <color rgb="FFFFC000"/>
      <name val="Open Sans"/>
      <family val="2"/>
    </font>
    <font>
      <b/>
      <sz val="8"/>
      <color rgb="FF000000"/>
      <name val="Open Sans"/>
      <family val="2"/>
    </font>
    <font>
      <sz val="8"/>
      <color rgb="FF000000"/>
      <name val="Open Sans"/>
      <family val="2"/>
    </font>
    <font>
      <b/>
      <sz val="8"/>
      <color theme="1"/>
      <name val="Open Sans"/>
      <family val="2"/>
    </font>
    <font>
      <i/>
      <sz val="8"/>
      <color rgb="FF000000"/>
      <name val="Open Sans"/>
      <family val="2"/>
    </font>
    <font>
      <i/>
      <sz val="8"/>
      <color theme="1"/>
      <name val="Open Sans"/>
      <family val="2"/>
    </font>
    <font>
      <sz val="11"/>
      <color theme="1"/>
      <name val="Open Sans"/>
      <family val="2"/>
    </font>
    <font>
      <sz val="8"/>
      <name val="Open Sans"/>
      <family val="2"/>
    </font>
    <font>
      <sz val="8"/>
      <color rgb="FFFF0000"/>
      <name val="Open Sans"/>
      <family val="2"/>
    </font>
    <font>
      <b/>
      <sz val="9"/>
      <color theme="1"/>
      <name val="Open Sans"/>
      <family val="2"/>
    </font>
    <font>
      <sz val="9"/>
      <color theme="1"/>
      <name val="Open Sans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10"/>
      <color theme="0"/>
      <name val="Arial"/>
      <family val="2"/>
    </font>
    <font>
      <i/>
      <sz val="10"/>
      <color rgb="FF0070C0"/>
      <name val="Arial"/>
      <family val="2"/>
    </font>
    <font>
      <sz val="11"/>
      <color theme="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8"/>
      <name val="Arial"/>
      <family val="2"/>
      <charset val="163"/>
      <scheme val="minor"/>
    </font>
    <font>
      <i/>
      <sz val="10"/>
      <color rgb="FF000000"/>
      <name val="Arial"/>
      <family val="2"/>
    </font>
    <font>
      <i/>
      <sz val="10"/>
      <color rgb="FF00B050"/>
      <name val="Arial"/>
      <family val="2"/>
    </font>
    <font>
      <b/>
      <sz val="10"/>
      <color rgb="FF000000"/>
      <name val="Arial"/>
      <family val="2"/>
    </font>
    <font>
      <b/>
      <sz val="10"/>
      <color rgb="FF00B050"/>
      <name val="Arial"/>
      <family val="2"/>
    </font>
    <font>
      <b/>
      <sz val="11"/>
      <color rgb="FFC00000"/>
      <name val="Arial"/>
      <family val="2"/>
      <scheme val="minor"/>
    </font>
    <font>
      <b/>
      <i/>
      <sz val="11"/>
      <name val="Arial"/>
      <family val="2"/>
      <scheme val="minor"/>
    </font>
    <font>
      <i/>
      <sz val="11"/>
      <color rgb="FF0070C0"/>
      <name val="Arial"/>
      <family val="2"/>
      <scheme val="minor"/>
    </font>
    <font>
      <sz val="10"/>
      <name val="Arial"/>
      <family val="2"/>
      <charset val="163"/>
      <scheme val="minor"/>
    </font>
    <font>
      <i/>
      <sz val="10"/>
      <color rgb="FFFF0000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9"/>
      <name val="Arial Unicode MS"/>
      <family val="2"/>
    </font>
    <font>
      <sz val="11"/>
      <color theme="8" tint="-0.249977111117893"/>
      <name val="Arial"/>
      <family val="2"/>
      <charset val="163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/>
      <diagonal/>
    </border>
    <border>
      <left/>
      <right/>
      <top style="medium">
        <color rgb="FF00B0F0"/>
      </top>
      <bottom style="medium">
        <color rgb="FF6699FF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 style="medium">
        <color rgb="FF00B0F0"/>
      </right>
      <top/>
      <bottom/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/>
      <right style="thin">
        <color rgb="FF0070C0"/>
      </right>
      <top/>
      <bottom/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</borders>
  <cellStyleXfs count="13">
    <xf numFmtId="0" fontId="0" fillId="0" borderId="0"/>
    <xf numFmtId="0" fontId="1" fillId="0" borderId="0" applyNumberFormat="0" applyFill="0" applyAlignment="0" applyProtection="0"/>
    <xf numFmtId="164" fontId="1" fillId="0" borderId="0" applyNumberFormat="0" applyFill="0" applyAlignment="0" applyProtection="0"/>
    <xf numFmtId="9" fontId="2" fillId="0" borderId="0" applyFont="0" applyFill="0" applyBorder="0" applyAlignment="0" applyProtection="0"/>
    <xf numFmtId="0" fontId="1" fillId="0" borderId="0"/>
    <xf numFmtId="0" fontId="39" fillId="0" borderId="0"/>
    <xf numFmtId="0" fontId="39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89" fillId="0" borderId="0"/>
  </cellStyleXfs>
  <cellXfs count="1140">
    <xf numFmtId="0" fontId="0" fillId="0" borderId="0" xfId="0"/>
    <xf numFmtId="2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right" vertical="center" wrapText="1"/>
    </xf>
    <xf numFmtId="0" fontId="4" fillId="0" borderId="0" xfId="0" applyFont="1"/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4"/>
    </xf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4"/>
    </xf>
    <xf numFmtId="0" fontId="8" fillId="0" borderId="0" xfId="0" applyFont="1" applyAlignment="1">
      <alignment horizontal="left" vertical="center" wrapText="1" indent="3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11" fillId="0" borderId="0" xfId="0" applyFont="1" applyAlignment="1">
      <alignment horizontal="left" vertical="center" wrapText="1" indent="5"/>
    </xf>
    <xf numFmtId="0" fontId="11" fillId="0" borderId="0" xfId="0" applyFont="1" applyAlignment="1">
      <alignment horizontal="left" vertical="center" wrapText="1" indent="4"/>
    </xf>
    <xf numFmtId="0" fontId="11" fillId="0" borderId="0" xfId="0" applyFont="1" applyAlignment="1">
      <alignment horizontal="left" vertical="center" wrapText="1" indent="6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6"/>
    </xf>
    <xf numFmtId="14" fontId="0" fillId="0" borderId="0" xfId="0" applyNumberFormat="1"/>
    <xf numFmtId="1" fontId="0" fillId="0" borderId="0" xfId="0" applyNumberFormat="1"/>
    <xf numFmtId="10" fontId="0" fillId="0" borderId="0" xfId="3" applyNumberFormat="1" applyFont="1"/>
    <xf numFmtId="14" fontId="0" fillId="0" borderId="0" xfId="0" applyNumberFormat="1" applyAlignment="1">
      <alignment horizontal="right"/>
    </xf>
    <xf numFmtId="14" fontId="0" fillId="0" borderId="0" xfId="4" applyNumberFormat="1" applyFont="1"/>
    <xf numFmtId="10" fontId="0" fillId="0" borderId="0" xfId="0" applyNumberFormat="1"/>
    <xf numFmtId="0" fontId="0" fillId="0" borderId="1" xfId="0" applyBorder="1"/>
    <xf numFmtId="0" fontId="0" fillId="0" borderId="6" xfId="0" applyBorder="1"/>
    <xf numFmtId="0" fontId="13" fillId="3" borderId="0" xfId="0" applyFont="1" applyFill="1"/>
    <xf numFmtId="0" fontId="13" fillId="3" borderId="0" xfId="0" applyFont="1" applyFill="1" applyAlignment="1">
      <alignment horizontal="right"/>
    </xf>
    <xf numFmtId="49" fontId="13" fillId="4" borderId="4" xfId="0" applyNumberFormat="1" applyFont="1" applyFill="1" applyBorder="1"/>
    <xf numFmtId="170" fontId="13" fillId="0" borderId="0" xfId="0" applyNumberFormat="1" applyFont="1"/>
    <xf numFmtId="167" fontId="0" fillId="0" borderId="0" xfId="3" applyNumberFormat="1" applyFont="1"/>
    <xf numFmtId="49" fontId="0" fillId="0" borderId="4" xfId="0" applyNumberFormat="1" applyBorder="1"/>
    <xf numFmtId="170" fontId="0" fillId="0" borderId="0" xfId="0" applyNumberFormat="1"/>
    <xf numFmtId="170" fontId="0" fillId="0" borderId="1" xfId="0" applyNumberFormat="1" applyBorder="1"/>
    <xf numFmtId="9" fontId="0" fillId="0" borderId="0" xfId="3" applyFont="1"/>
    <xf numFmtId="9" fontId="0" fillId="0" borderId="0" xfId="0" applyNumberFormat="1"/>
    <xf numFmtId="10" fontId="0" fillId="0" borderId="4" xfId="0" applyNumberFormat="1" applyBorder="1"/>
    <xf numFmtId="10" fontId="13" fillId="4" borderId="4" xfId="0" applyNumberFormat="1" applyFont="1" applyFill="1" applyBorder="1"/>
    <xf numFmtId="167" fontId="0" fillId="0" borderId="0" xfId="0" applyNumberFormat="1"/>
    <xf numFmtId="10" fontId="0" fillId="0" borderId="5" xfId="0" applyNumberFormat="1" applyBorder="1"/>
    <xf numFmtId="10" fontId="14" fillId="0" borderId="0" xfId="0" applyNumberFormat="1" applyFont="1"/>
    <xf numFmtId="10" fontId="15" fillId="0" borderId="0" xfId="0" applyNumberFormat="1" applyFont="1"/>
    <xf numFmtId="167" fontId="14" fillId="0" borderId="0" xfId="0" applyNumberFormat="1" applyFont="1"/>
    <xf numFmtId="9" fontId="0" fillId="0" borderId="0" xfId="3" applyFont="1" applyFill="1" applyBorder="1"/>
    <xf numFmtId="1" fontId="1" fillId="0" borderId="0" xfId="2" applyNumberFormat="1" applyFill="1"/>
    <xf numFmtId="1" fontId="1" fillId="0" borderId="1" xfId="2" applyNumberFormat="1" applyFill="1" applyBorder="1"/>
    <xf numFmtId="169" fontId="0" fillId="0" borderId="0" xfId="2" applyNumberFormat="1" applyFont="1" applyFill="1"/>
    <xf numFmtId="10" fontId="13" fillId="0" borderId="6" xfId="0" applyNumberFormat="1" applyFont="1" applyBorder="1"/>
    <xf numFmtId="10" fontId="13" fillId="0" borderId="7" xfId="0" applyNumberFormat="1" applyFont="1" applyBorder="1"/>
    <xf numFmtId="2" fontId="13" fillId="0" borderId="7" xfId="0" applyNumberFormat="1" applyFont="1" applyBorder="1"/>
    <xf numFmtId="3" fontId="13" fillId="0" borderId="7" xfId="0" applyNumberFormat="1" applyFont="1" applyBorder="1"/>
    <xf numFmtId="9" fontId="13" fillId="0" borderId="7" xfId="3" applyFont="1" applyFill="1" applyBorder="1"/>
    <xf numFmtId="170" fontId="13" fillId="0" borderId="7" xfId="0" applyNumberFormat="1" applyFont="1" applyBorder="1"/>
    <xf numFmtId="10" fontId="0" fillId="0" borderId="2" xfId="0" applyNumberFormat="1" applyBorder="1"/>
    <xf numFmtId="3" fontId="0" fillId="0" borderId="2" xfId="0" applyNumberFormat="1" applyBorder="1"/>
    <xf numFmtId="9" fontId="0" fillId="0" borderId="2" xfId="3" applyFont="1" applyFill="1" applyBorder="1"/>
    <xf numFmtId="1" fontId="1" fillId="0" borderId="2" xfId="2" applyNumberFormat="1" applyFill="1" applyBorder="1"/>
    <xf numFmtId="10" fontId="1" fillId="0" borderId="2" xfId="2" applyNumberFormat="1" applyFill="1" applyBorder="1"/>
    <xf numFmtId="10" fontId="1" fillId="0" borderId="0" xfId="2" applyNumberFormat="1" applyFill="1"/>
    <xf numFmtId="10" fontId="1" fillId="0" borderId="1" xfId="2" applyNumberFormat="1" applyFill="1" applyBorder="1"/>
    <xf numFmtId="0" fontId="0" fillId="0" borderId="2" xfId="0" applyBorder="1"/>
    <xf numFmtId="10" fontId="1" fillId="0" borderId="7" xfId="2" applyNumberFormat="1" applyFill="1" applyBorder="1"/>
    <xf numFmtId="10" fontId="1" fillId="0" borderId="8" xfId="2" applyNumberFormat="1" applyFill="1" applyBorder="1"/>
    <xf numFmtId="10" fontId="0" fillId="0" borderId="6" xfId="0" applyNumberFormat="1" applyBorder="1"/>
    <xf numFmtId="10" fontId="0" fillId="0" borderId="7" xfId="0" applyNumberFormat="1" applyBorder="1"/>
    <xf numFmtId="3" fontId="16" fillId="0" borderId="7" xfId="0" applyNumberFormat="1" applyFont="1" applyBorder="1"/>
    <xf numFmtId="3" fontId="16" fillId="0" borderId="8" xfId="0" applyNumberFormat="1" applyFont="1" applyBorder="1"/>
    <xf numFmtId="3" fontId="16" fillId="0" borderId="0" xfId="0" applyNumberFormat="1" applyFont="1"/>
    <xf numFmtId="0" fontId="0" fillId="0" borderId="4" xfId="0" applyBorder="1"/>
    <xf numFmtId="1" fontId="0" fillId="0" borderId="0" xfId="2" applyNumberFormat="1" applyFont="1"/>
    <xf numFmtId="3" fontId="0" fillId="0" borderId="0" xfId="2" applyNumberFormat="1" applyFont="1"/>
    <xf numFmtId="1" fontId="1" fillId="0" borderId="0" xfId="2" applyNumberFormat="1"/>
    <xf numFmtId="1" fontId="1" fillId="0" borderId="1" xfId="2" applyNumberFormat="1" applyBorder="1"/>
    <xf numFmtId="167" fontId="0" fillId="0" borderId="0" xfId="3" applyNumberFormat="1" applyFont="1" applyBorder="1"/>
    <xf numFmtId="167" fontId="0" fillId="0" borderId="0" xfId="3" applyNumberFormat="1" applyFont="1" applyFill="1" applyBorder="1"/>
    <xf numFmtId="167" fontId="0" fillId="5" borderId="0" xfId="3" applyNumberFormat="1" applyFont="1" applyFill="1" applyBorder="1"/>
    <xf numFmtId="167" fontId="0" fillId="5" borderId="1" xfId="3" applyNumberFormat="1" applyFont="1" applyFill="1" applyBorder="1"/>
    <xf numFmtId="3" fontId="0" fillId="0" borderId="1" xfId="0" applyNumberFormat="1" applyBorder="1"/>
    <xf numFmtId="167" fontId="0" fillId="0" borderId="1" xfId="3" applyNumberFormat="1" applyFont="1" applyBorder="1"/>
    <xf numFmtId="167" fontId="0" fillId="5" borderId="0" xfId="0" applyNumberFormat="1" applyFill="1"/>
    <xf numFmtId="167" fontId="0" fillId="5" borderId="1" xfId="0" applyNumberFormat="1" applyFill="1" applyBorder="1"/>
    <xf numFmtId="49" fontId="0" fillId="0" borderId="0" xfId="0" applyNumberFormat="1"/>
    <xf numFmtId="49" fontId="0" fillId="0" borderId="5" xfId="0" applyNumberFormat="1" applyBorder="1"/>
    <xf numFmtId="49" fontId="0" fillId="0" borderId="2" xfId="0" applyNumberFormat="1" applyBorder="1"/>
    <xf numFmtId="167" fontId="0" fillId="0" borderId="2" xfId="3" applyNumberFormat="1" applyFont="1" applyBorder="1"/>
    <xf numFmtId="167" fontId="0" fillId="5" borderId="2" xfId="0" applyNumberFormat="1" applyFill="1" applyBorder="1"/>
    <xf numFmtId="0" fontId="0" fillId="0" borderId="7" xfId="0" applyBorder="1"/>
    <xf numFmtId="0" fontId="0" fillId="0" borderId="8" xfId="0" applyBorder="1"/>
    <xf numFmtId="9" fontId="0" fillId="0" borderId="0" xfId="3" applyFont="1" applyBorder="1"/>
    <xf numFmtId="9" fontId="0" fillId="0" borderId="1" xfId="3" applyFont="1" applyBorder="1"/>
    <xf numFmtId="0" fontId="17" fillId="0" borderId="0" xfId="0" applyFont="1"/>
    <xf numFmtId="0" fontId="13" fillId="0" borderId="0" xfId="0" applyFont="1"/>
    <xf numFmtId="3" fontId="0" fillId="0" borderId="0" xfId="2" applyNumberFormat="1" applyFont="1" applyFill="1"/>
    <xf numFmtId="9" fontId="0" fillId="0" borderId="1" xfId="3" applyFont="1" applyFill="1" applyBorder="1"/>
    <xf numFmtId="166" fontId="0" fillId="0" borderId="0" xfId="0" applyNumberFormat="1"/>
    <xf numFmtId="165" fontId="0" fillId="0" borderId="0" xfId="0" applyNumberFormat="1"/>
    <xf numFmtId="0" fontId="18" fillId="0" borderId="0" xfId="0" applyFont="1"/>
    <xf numFmtId="3" fontId="18" fillId="0" borderId="0" xfId="0" applyNumberFormat="1" applyFont="1"/>
    <xf numFmtId="3" fontId="18" fillId="0" borderId="1" xfId="0" applyNumberFormat="1" applyFont="1" applyBorder="1"/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/>
    <xf numFmtId="165" fontId="19" fillId="0" borderId="0" xfId="0" applyNumberFormat="1" applyFont="1"/>
    <xf numFmtId="0" fontId="0" fillId="0" borderId="1" xfId="0" applyBorder="1" applyAlignment="1">
      <alignment horizontal="right"/>
    </xf>
    <xf numFmtId="168" fontId="0" fillId="0" borderId="1" xfId="0" applyNumberFormat="1" applyBorder="1"/>
    <xf numFmtId="0" fontId="20" fillId="0" borderId="0" xfId="0" applyFont="1" applyAlignment="1">
      <alignment horizontal="left" wrapText="1" readingOrder="1"/>
    </xf>
    <xf numFmtId="0" fontId="21" fillId="0" borderId="0" xfId="0" applyFont="1" applyAlignment="1">
      <alignment horizontal="right" wrapText="1" readingOrder="1"/>
    </xf>
    <xf numFmtId="0" fontId="20" fillId="0" borderId="0" xfId="0" applyFont="1" applyAlignment="1">
      <alignment horizontal="right" wrapText="1" readingOrder="1"/>
    </xf>
    <xf numFmtId="3" fontId="21" fillId="0" borderId="0" xfId="0" applyNumberFormat="1" applyFont="1" applyAlignment="1">
      <alignment horizontal="right" wrapText="1" readingOrder="1"/>
    </xf>
    <xf numFmtId="9" fontId="21" fillId="0" borderId="0" xfId="0" applyNumberFormat="1" applyFont="1" applyAlignment="1">
      <alignment horizontal="right" wrapText="1" readingOrder="1"/>
    </xf>
    <xf numFmtId="0" fontId="23" fillId="0" borderId="0" xfId="0" applyFont="1" applyAlignment="1">
      <alignment horizontal="justify"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justify" vertical="center" wrapText="1"/>
    </xf>
    <xf numFmtId="3" fontId="24" fillId="0" borderId="0" xfId="0" applyNumberFormat="1" applyFont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justify" vertical="center"/>
    </xf>
    <xf numFmtId="0" fontId="22" fillId="0" borderId="0" xfId="0" applyFont="1" applyAlignment="1">
      <alignment horizontal="justify" vertical="center" wrapText="1"/>
    </xf>
    <xf numFmtId="0" fontId="25" fillId="0" borderId="0" xfId="0" applyFont="1" applyAlignment="1">
      <alignment vertical="center" wrapText="1"/>
    </xf>
    <xf numFmtId="9" fontId="23" fillId="0" borderId="0" xfId="0" applyNumberFormat="1" applyFont="1" applyAlignment="1">
      <alignment horizontal="center" vertical="center" wrapText="1"/>
    </xf>
    <xf numFmtId="9" fontId="23" fillId="0" borderId="0" xfId="3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vertical="center" wrapText="1"/>
    </xf>
    <xf numFmtId="3" fontId="27" fillId="0" borderId="0" xfId="0" applyNumberFormat="1" applyFont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9" fontId="27" fillId="0" borderId="0" xfId="0" applyNumberFormat="1" applyFont="1" applyAlignment="1">
      <alignment horizontal="right" vertical="center" wrapText="1"/>
    </xf>
    <xf numFmtId="9" fontId="31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left" vertical="center" wrapText="1"/>
    </xf>
    <xf numFmtId="3" fontId="4" fillId="0" borderId="0" xfId="0" applyNumberFormat="1" applyFont="1"/>
    <xf numFmtId="3" fontId="12" fillId="0" borderId="0" xfId="0" applyNumberFormat="1" applyFont="1" applyAlignment="1">
      <alignment horizontal="right" vertical="center" wrapText="1"/>
    </xf>
    <xf numFmtId="0" fontId="33" fillId="3" borderId="2" xfId="0" applyFont="1" applyFill="1" applyBorder="1"/>
    <xf numFmtId="0" fontId="33" fillId="7" borderId="2" xfId="0" applyFont="1" applyFill="1" applyBorder="1"/>
    <xf numFmtId="0" fontId="33" fillId="7" borderId="0" xfId="0" applyFont="1" applyFill="1" applyAlignment="1">
      <alignment horizontal="center"/>
    </xf>
    <xf numFmtId="0" fontId="0" fillId="2" borderId="0" xfId="0" applyFill="1"/>
    <xf numFmtId="0" fontId="34" fillId="0" borderId="9" xfId="0" applyFont="1" applyBorder="1"/>
    <xf numFmtId="0" fontId="33" fillId="8" borderId="7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49" fontId="13" fillId="4" borderId="10" xfId="0" applyNumberFormat="1" applyFont="1" applyFill="1" applyBorder="1"/>
    <xf numFmtId="168" fontId="13" fillId="0" borderId="0" xfId="0" applyNumberFormat="1" applyFont="1"/>
    <xf numFmtId="0" fontId="13" fillId="3" borderId="1" xfId="0" applyFont="1" applyFill="1" applyBorder="1"/>
    <xf numFmtId="164" fontId="0" fillId="0" borderId="0" xfId="0" applyNumberFormat="1"/>
    <xf numFmtId="49" fontId="13" fillId="9" borderId="10" xfId="0" applyNumberFormat="1" applyFont="1" applyFill="1" applyBorder="1"/>
    <xf numFmtId="3" fontId="13" fillId="0" borderId="0" xfId="0" applyNumberFormat="1" applyFont="1"/>
    <xf numFmtId="164" fontId="13" fillId="0" borderId="0" xfId="0" applyNumberFormat="1" applyFont="1"/>
    <xf numFmtId="49" fontId="0" fillId="0" borderId="10" xfId="0" applyNumberFormat="1" applyBorder="1"/>
    <xf numFmtId="0" fontId="0" fillId="3" borderId="1" xfId="0" applyFill="1" applyBorder="1"/>
    <xf numFmtId="168" fontId="16" fillId="0" borderId="0" xfId="0" applyNumberFormat="1" applyFont="1"/>
    <xf numFmtId="49" fontId="15" fillId="0" borderId="10" xfId="0" applyNumberFormat="1" applyFont="1" applyBorder="1"/>
    <xf numFmtId="10" fontId="13" fillId="9" borderId="10" xfId="0" applyNumberFormat="1" applyFont="1" applyFill="1" applyBorder="1"/>
    <xf numFmtId="49" fontId="13" fillId="8" borderId="10" xfId="0" applyNumberFormat="1" applyFont="1" applyFill="1" applyBorder="1"/>
    <xf numFmtId="0" fontId="36" fillId="0" borderId="0" xfId="0" applyFont="1"/>
    <xf numFmtId="49" fontId="13" fillId="8" borderId="11" xfId="0" applyNumberFormat="1" applyFont="1" applyFill="1" applyBorder="1"/>
    <xf numFmtId="0" fontId="13" fillId="3" borderId="3" xfId="0" applyFont="1" applyFill="1" applyBorder="1"/>
    <xf numFmtId="164" fontId="1" fillId="0" borderId="0" xfId="2" applyNumberFormat="1"/>
    <xf numFmtId="39" fontId="0" fillId="0" borderId="0" xfId="0" applyNumberFormat="1"/>
    <xf numFmtId="0" fontId="33" fillId="3" borderId="0" xfId="0" applyFont="1" applyFill="1"/>
    <xf numFmtId="0" fontId="13" fillId="3" borderId="0" xfId="0" applyFont="1" applyFill="1" applyAlignment="1">
      <alignment horizontal="center"/>
    </xf>
    <xf numFmtId="168" fontId="1" fillId="0" borderId="0" xfId="0" applyNumberFormat="1" applyFont="1"/>
    <xf numFmtId="0" fontId="1" fillId="0" borderId="0" xfId="0" applyFont="1"/>
    <xf numFmtId="49" fontId="1" fillId="0" borderId="10" xfId="0" applyNumberFormat="1" applyFont="1" applyBorder="1"/>
    <xf numFmtId="0" fontId="38" fillId="0" borderId="0" xfId="0" applyFont="1" applyAlignment="1">
      <alignment horizontal="left" vertical="center" wrapText="1" indent="3"/>
    </xf>
    <xf numFmtId="168" fontId="37" fillId="0" borderId="0" xfId="0" applyNumberFormat="1" applyFont="1"/>
    <xf numFmtId="0" fontId="33" fillId="3" borderId="3" xfId="0" applyFont="1" applyFill="1" applyBorder="1"/>
    <xf numFmtId="0" fontId="33" fillId="8" borderId="8" xfId="0" applyFont="1" applyFill="1" applyBorder="1" applyAlignment="1">
      <alignment horizontal="center"/>
    </xf>
    <xf numFmtId="168" fontId="13" fillId="0" borderId="1" xfId="0" applyNumberFormat="1" applyFont="1" applyBorder="1"/>
    <xf numFmtId="168" fontId="1" fillId="0" borderId="1" xfId="0" applyNumberFormat="1" applyFont="1" applyBorder="1"/>
    <xf numFmtId="168" fontId="37" fillId="0" borderId="1" xfId="0" applyNumberFormat="1" applyFont="1" applyBorder="1"/>
    <xf numFmtId="164" fontId="1" fillId="0" borderId="1" xfId="2" applyNumberFormat="1" applyBorder="1"/>
    <xf numFmtId="0" fontId="39" fillId="0" borderId="0" xfId="0" applyFont="1"/>
    <xf numFmtId="0" fontId="40" fillId="10" borderId="0" xfId="5" applyFont="1" applyFill="1"/>
    <xf numFmtId="164" fontId="39" fillId="10" borderId="0" xfId="5" applyNumberFormat="1" applyFill="1"/>
    <xf numFmtId="0" fontId="39" fillId="0" borderId="1" xfId="0" applyFont="1" applyBorder="1"/>
    <xf numFmtId="0" fontId="41" fillId="0" borderId="0" xfId="0" applyFont="1"/>
    <xf numFmtId="164" fontId="40" fillId="10" borderId="0" xfId="5" applyNumberFormat="1" applyFont="1" applyFill="1"/>
    <xf numFmtId="0" fontId="41" fillId="0" borderId="1" xfId="0" applyFont="1" applyBorder="1"/>
    <xf numFmtId="0" fontId="42" fillId="0" borderId="0" xfId="5" applyFont="1" applyAlignment="1">
      <alignment horizontal="left"/>
    </xf>
    <xf numFmtId="0" fontId="40" fillId="2" borderId="0" xfId="6" applyFont="1" applyFill="1" applyAlignment="1">
      <alignment horizontal="centerContinuous" vertical="center"/>
    </xf>
    <xf numFmtId="0" fontId="40" fillId="2" borderId="0" xfId="6" applyFont="1" applyFill="1" applyAlignment="1">
      <alignment vertical="center"/>
    </xf>
    <xf numFmtId="0" fontId="40" fillId="2" borderId="1" xfId="6" applyFont="1" applyFill="1" applyBorder="1" applyAlignment="1">
      <alignment vertical="center"/>
    </xf>
    <xf numFmtId="0" fontId="43" fillId="7" borderId="0" xfId="0" applyFont="1" applyFill="1" applyAlignment="1">
      <alignment horizontal="left"/>
    </xf>
    <xf numFmtId="0" fontId="43" fillId="8" borderId="0" xfId="0" applyFont="1" applyFill="1" applyAlignment="1">
      <alignment horizontal="center"/>
    </xf>
    <xf numFmtId="0" fontId="43" fillId="8" borderId="1" xfId="0" applyFont="1" applyFill="1" applyBorder="1" applyAlignment="1">
      <alignment horizontal="center"/>
    </xf>
    <xf numFmtId="0" fontId="44" fillId="0" borderId="0" xfId="0" applyFont="1"/>
    <xf numFmtId="0" fontId="39" fillId="2" borderId="0" xfId="5" applyFill="1"/>
    <xf numFmtId="168" fontId="39" fillId="2" borderId="0" xfId="7" applyNumberFormat="1" applyFont="1" applyFill="1" applyBorder="1"/>
    <xf numFmtId="168" fontId="39" fillId="2" borderId="1" xfId="7" applyNumberFormat="1" applyFont="1" applyFill="1" applyBorder="1"/>
    <xf numFmtId="164" fontId="41" fillId="0" borderId="0" xfId="0" applyNumberFormat="1" applyFont="1"/>
    <xf numFmtId="164" fontId="41" fillId="0" borderId="1" xfId="0" applyNumberFormat="1" applyFont="1" applyBorder="1"/>
    <xf numFmtId="168" fontId="45" fillId="2" borderId="0" xfId="7" applyNumberFormat="1" applyFont="1" applyFill="1" applyBorder="1"/>
    <xf numFmtId="168" fontId="45" fillId="2" borderId="1" xfId="7" applyNumberFormat="1" applyFont="1" applyFill="1" applyBorder="1"/>
    <xf numFmtId="0" fontId="44" fillId="0" borderId="2" xfId="0" applyFont="1" applyBorder="1"/>
    <xf numFmtId="0" fontId="41" fillId="0" borderId="2" xfId="0" applyFont="1" applyBorder="1"/>
    <xf numFmtId="3" fontId="41" fillId="0" borderId="2" xfId="0" applyNumberFormat="1" applyFont="1" applyBorder="1"/>
    <xf numFmtId="3" fontId="41" fillId="0" borderId="3" xfId="0" applyNumberFormat="1" applyFont="1" applyBorder="1"/>
    <xf numFmtId="0" fontId="41" fillId="0" borderId="0" xfId="0" applyFont="1" applyAlignment="1">
      <alignment vertical="top"/>
    </xf>
    <xf numFmtId="0" fontId="40" fillId="2" borderId="0" xfId="5" applyFont="1" applyFill="1" applyAlignment="1">
      <alignment vertical="top"/>
    </xf>
    <xf numFmtId="168" fontId="40" fillId="2" borderId="0" xfId="7" applyNumberFormat="1" applyFont="1" applyFill="1" applyBorder="1" applyAlignment="1">
      <alignment vertical="top"/>
    </xf>
    <xf numFmtId="168" fontId="40" fillId="2" borderId="7" xfId="7" applyNumberFormat="1" applyFont="1" applyFill="1" applyBorder="1" applyAlignment="1">
      <alignment vertical="top"/>
    </xf>
    <xf numFmtId="168" fontId="40" fillId="2" borderId="8" xfId="7" applyNumberFormat="1" applyFont="1" applyFill="1" applyBorder="1" applyAlignment="1">
      <alignment vertical="top"/>
    </xf>
    <xf numFmtId="168" fontId="41" fillId="0" borderId="0" xfId="0" applyNumberFormat="1" applyFont="1"/>
    <xf numFmtId="164" fontId="39" fillId="2" borderId="0" xfId="5" applyNumberFormat="1" applyFill="1"/>
    <xf numFmtId="0" fontId="39" fillId="2" borderId="0" xfId="5" applyFill="1" applyAlignment="1">
      <alignment horizontal="left" indent="1"/>
    </xf>
    <xf numFmtId="168" fontId="46" fillId="2" borderId="0" xfId="7" applyNumberFormat="1" applyFont="1" applyFill="1" applyBorder="1"/>
    <xf numFmtId="168" fontId="41" fillId="0" borderId="0" xfId="7" applyNumberFormat="1" applyFont="1" applyBorder="1"/>
    <xf numFmtId="168" fontId="41" fillId="0" borderId="1" xfId="7" applyNumberFormat="1" applyFont="1" applyBorder="1"/>
    <xf numFmtId="0" fontId="47" fillId="0" borderId="0" xfId="0" applyFont="1"/>
    <xf numFmtId="0" fontId="42" fillId="2" borderId="0" xfId="5" applyFont="1" applyFill="1" applyAlignment="1">
      <alignment horizontal="left" indent="2"/>
    </xf>
    <xf numFmtId="168" fontId="42" fillId="0" borderId="0" xfId="7" applyNumberFormat="1" applyFont="1" applyFill="1" applyBorder="1"/>
    <xf numFmtId="168" fontId="42" fillId="0" borderId="1" xfId="7" applyNumberFormat="1" applyFont="1" applyFill="1" applyBorder="1"/>
    <xf numFmtId="168" fontId="47" fillId="2" borderId="0" xfId="7" applyNumberFormat="1" applyFont="1" applyFill="1" applyBorder="1"/>
    <xf numFmtId="168" fontId="41" fillId="2" borderId="0" xfId="7" applyNumberFormat="1" applyFont="1" applyFill="1" applyBorder="1"/>
    <xf numFmtId="168" fontId="47" fillId="0" borderId="0" xfId="7" applyNumberFormat="1" applyFont="1" applyBorder="1"/>
    <xf numFmtId="164" fontId="39" fillId="2" borderId="0" xfId="5" applyNumberFormat="1" applyFill="1" applyAlignment="1">
      <alignment horizontal="left" indent="1"/>
    </xf>
    <xf numFmtId="168" fontId="45" fillId="0" borderId="0" xfId="7" applyNumberFormat="1" applyFont="1" applyBorder="1"/>
    <xf numFmtId="168" fontId="45" fillId="0" borderId="1" xfId="7" applyNumberFormat="1" applyFont="1" applyBorder="1"/>
    <xf numFmtId="0" fontId="41" fillId="0" borderId="0" xfId="0" applyFont="1" applyAlignment="1">
      <alignment horizontal="left" indent="1"/>
    </xf>
    <xf numFmtId="168" fontId="48" fillId="2" borderId="0" xfId="7" applyNumberFormat="1" applyFont="1" applyFill="1" applyBorder="1"/>
    <xf numFmtId="168" fontId="45" fillId="2" borderId="2" xfId="7" applyNumberFormat="1" applyFont="1" applyFill="1" applyBorder="1"/>
    <xf numFmtId="0" fontId="34" fillId="0" borderId="0" xfId="0" applyFont="1"/>
    <xf numFmtId="0" fontId="40" fillId="2" borderId="7" xfId="5" applyFont="1" applyFill="1" applyBorder="1"/>
    <xf numFmtId="164" fontId="40" fillId="2" borderId="7" xfId="5" applyNumberFormat="1" applyFont="1" applyFill="1" applyBorder="1"/>
    <xf numFmtId="168" fontId="34" fillId="2" borderId="7" xfId="5" applyNumberFormat="1" applyFont="1" applyFill="1" applyBorder="1"/>
    <xf numFmtId="168" fontId="34" fillId="2" borderId="8" xfId="5" applyNumberFormat="1" applyFont="1" applyFill="1" applyBorder="1"/>
    <xf numFmtId="164" fontId="41" fillId="2" borderId="0" xfId="8" applyNumberFormat="1" applyFont="1" applyFill="1" applyBorder="1"/>
    <xf numFmtId="164" fontId="41" fillId="2" borderId="1" xfId="8" applyNumberFormat="1" applyFont="1" applyFill="1" applyBorder="1"/>
    <xf numFmtId="164" fontId="41" fillId="0" borderId="0" xfId="0" applyNumberFormat="1" applyFont="1" applyAlignment="1">
      <alignment horizontal="left" indent="1"/>
    </xf>
    <xf numFmtId="0" fontId="39" fillId="0" borderId="0" xfId="6" applyAlignment="1">
      <alignment horizontal="left" indent="1"/>
    </xf>
    <xf numFmtId="168" fontId="45" fillId="2" borderId="0" xfId="7" applyNumberFormat="1" applyFont="1" applyFill="1" applyBorder="1" applyAlignment="1">
      <alignment horizontal="right"/>
    </xf>
    <xf numFmtId="0" fontId="39" fillId="0" borderId="7" xfId="6" applyBorder="1" applyAlignment="1">
      <alignment horizontal="left" indent="1"/>
    </xf>
    <xf numFmtId="164" fontId="39" fillId="0" borderId="7" xfId="6" applyNumberFormat="1" applyBorder="1" applyAlignment="1">
      <alignment horizontal="left" indent="1"/>
    </xf>
    <xf numFmtId="168" fontId="41" fillId="0" borderId="7" xfId="0" applyNumberFormat="1" applyFont="1" applyBorder="1"/>
    <xf numFmtId="168" fontId="41" fillId="0" borderId="8" xfId="0" applyNumberFormat="1" applyFont="1" applyBorder="1"/>
    <xf numFmtId="0" fontId="41" fillId="0" borderId="7" xfId="0" applyFont="1" applyBorder="1"/>
    <xf numFmtId="164" fontId="41" fillId="0" borderId="7" xfId="0" applyNumberFormat="1" applyFont="1" applyBorder="1"/>
    <xf numFmtId="168" fontId="41" fillId="0" borderId="7" xfId="7" applyNumberFormat="1" applyFont="1" applyBorder="1"/>
    <xf numFmtId="168" fontId="41" fillId="0" borderId="8" xfId="7" applyNumberFormat="1" applyFont="1" applyBorder="1"/>
    <xf numFmtId="168" fontId="41" fillId="0" borderId="0" xfId="7" applyNumberFormat="1" applyFont="1" applyBorder="1" applyAlignment="1">
      <alignment horizontal="right"/>
    </xf>
    <xf numFmtId="168" fontId="41" fillId="0" borderId="7" xfId="7" applyNumberFormat="1" applyFont="1" applyBorder="1" applyAlignment="1">
      <alignment horizontal="right"/>
    </xf>
    <xf numFmtId="164" fontId="1" fillId="0" borderId="0" xfId="2" applyNumberFormat="1" applyAlignment="1">
      <alignment horizontal="right"/>
    </xf>
    <xf numFmtId="164" fontId="45" fillId="2" borderId="0" xfId="7" applyFont="1" applyFill="1" applyBorder="1"/>
    <xf numFmtId="168" fontId="41" fillId="0" borderId="3" xfId="7" applyNumberFormat="1" applyFont="1" applyBorder="1"/>
    <xf numFmtId="167" fontId="41" fillId="0" borderId="0" xfId="0" applyNumberFormat="1" applyFont="1"/>
    <xf numFmtId="9" fontId="41" fillId="0" borderId="0" xfId="0" applyNumberFormat="1" applyFont="1"/>
    <xf numFmtId="9" fontId="45" fillId="0" borderId="0" xfId="0" applyNumberFormat="1" applyFont="1"/>
    <xf numFmtId="9" fontId="45" fillId="0" borderId="1" xfId="0" applyNumberFormat="1" applyFont="1" applyBorder="1"/>
    <xf numFmtId="9" fontId="45" fillId="0" borderId="0" xfId="7" applyNumberFormat="1" applyFont="1" applyBorder="1"/>
    <xf numFmtId="9" fontId="45" fillId="0" borderId="1" xfId="7" applyNumberFormat="1" applyFont="1" applyBorder="1"/>
    <xf numFmtId="168" fontId="46" fillId="0" borderId="0" xfId="7" applyNumberFormat="1" applyFont="1" applyBorder="1"/>
    <xf numFmtId="168" fontId="46" fillId="0" borderId="1" xfId="7" applyNumberFormat="1" applyFont="1" applyBorder="1"/>
    <xf numFmtId="0" fontId="49" fillId="0" borderId="0" xfId="0" applyFont="1"/>
    <xf numFmtId="164" fontId="34" fillId="0" borderId="0" xfId="0" applyNumberFormat="1" applyFont="1"/>
    <xf numFmtId="168" fontId="41" fillId="0" borderId="1" xfId="0" applyNumberFormat="1" applyFont="1" applyBorder="1"/>
    <xf numFmtId="1" fontId="41" fillId="0" borderId="7" xfId="0" applyNumberFormat="1" applyFont="1" applyBorder="1"/>
    <xf numFmtId="10" fontId="41" fillId="0" borderId="0" xfId="0" applyNumberFormat="1" applyFont="1" applyAlignment="1">
      <alignment horizontal="left" indent="1"/>
    </xf>
    <xf numFmtId="10" fontId="41" fillId="0" borderId="0" xfId="0" applyNumberFormat="1" applyFont="1" applyAlignment="1">
      <alignment horizontal="right" indent="1"/>
    </xf>
    <xf numFmtId="10" fontId="41" fillId="0" borderId="1" xfId="0" applyNumberFormat="1" applyFont="1" applyBorder="1" applyAlignment="1">
      <alignment horizontal="right" indent="1"/>
    </xf>
    <xf numFmtId="167" fontId="39" fillId="11" borderId="0" xfId="8" applyNumberFormat="1" applyFont="1" applyFill="1" applyBorder="1"/>
    <xf numFmtId="10" fontId="41" fillId="0" borderId="1" xfId="0" applyNumberFormat="1" applyFont="1" applyBorder="1" applyAlignment="1">
      <alignment horizontal="left" indent="1"/>
    </xf>
    <xf numFmtId="167" fontId="48" fillId="12" borderId="0" xfId="8" applyNumberFormat="1" applyFont="1" applyFill="1" applyBorder="1"/>
    <xf numFmtId="0" fontId="41" fillId="0" borderId="0" xfId="0" applyFont="1" applyAlignment="1">
      <alignment horizontal="left"/>
    </xf>
    <xf numFmtId="9" fontId="41" fillId="0" borderId="0" xfId="8" applyFont="1" applyBorder="1"/>
    <xf numFmtId="167" fontId="46" fillId="0" borderId="0" xfId="8" applyNumberFormat="1" applyFont="1" applyFill="1" applyBorder="1"/>
    <xf numFmtId="167" fontId="46" fillId="0" borderId="1" xfId="8" applyNumberFormat="1" applyFont="1" applyFill="1" applyBorder="1"/>
    <xf numFmtId="9" fontId="46" fillId="0" borderId="0" xfId="8" applyFont="1" applyBorder="1"/>
    <xf numFmtId="9" fontId="46" fillId="0" borderId="1" xfId="8" applyFont="1" applyBorder="1"/>
    <xf numFmtId="38" fontId="41" fillId="0" borderId="0" xfId="0" applyNumberFormat="1" applyFont="1"/>
    <xf numFmtId="9" fontId="41" fillId="0" borderId="1" xfId="8" applyFont="1" applyBorder="1"/>
    <xf numFmtId="3" fontId="41" fillId="0" borderId="0" xfId="0" applyNumberFormat="1" applyFont="1"/>
    <xf numFmtId="3" fontId="41" fillId="0" borderId="1" xfId="0" applyNumberFormat="1" applyFont="1" applyBorder="1"/>
    <xf numFmtId="170" fontId="41" fillId="0" borderId="0" xfId="0" applyNumberFormat="1" applyFont="1"/>
    <xf numFmtId="3" fontId="41" fillId="0" borderId="7" xfId="0" applyNumberFormat="1" applyFont="1" applyBorder="1"/>
    <xf numFmtId="3" fontId="41" fillId="0" borderId="8" xfId="0" applyNumberFormat="1" applyFont="1" applyBorder="1"/>
    <xf numFmtId="168" fontId="45" fillId="2" borderId="1" xfId="7" applyNumberFormat="1" applyFont="1" applyFill="1" applyBorder="1" applyAlignment="1">
      <alignment horizontal="right"/>
    </xf>
    <xf numFmtId="168" fontId="45" fillId="2" borderId="3" xfId="7" applyNumberFormat="1" applyFont="1" applyFill="1" applyBorder="1" applyAlignment="1">
      <alignment horizontal="right"/>
    </xf>
    <xf numFmtId="170" fontId="13" fillId="0" borderId="1" xfId="0" applyNumberFormat="1" applyFont="1" applyBorder="1"/>
    <xf numFmtId="10" fontId="14" fillId="0" borderId="1" xfId="0" applyNumberFormat="1" applyFont="1" applyBorder="1"/>
    <xf numFmtId="168" fontId="45" fillId="0" borderId="0" xfId="7" applyNumberFormat="1" applyFont="1" applyFill="1" applyBorder="1"/>
    <xf numFmtId="164" fontId="41" fillId="0" borderId="1" xfId="0" applyNumberFormat="1" applyFont="1" applyBorder="1" applyAlignment="1">
      <alignment horizontal="left" indent="1"/>
    </xf>
    <xf numFmtId="164" fontId="41" fillId="0" borderId="8" xfId="0" applyNumberFormat="1" applyFont="1" applyBorder="1"/>
    <xf numFmtId="168" fontId="41" fillId="0" borderId="0" xfId="0" applyNumberFormat="1" applyFont="1" applyAlignment="1">
      <alignment horizontal="left" indent="1"/>
    </xf>
    <xf numFmtId="168" fontId="39" fillId="0" borderId="7" xfId="6" applyNumberFormat="1" applyBorder="1" applyAlignment="1">
      <alignment horizontal="left" indent="1"/>
    </xf>
    <xf numFmtId="168" fontId="39" fillId="0" borderId="7" xfId="6" applyNumberFormat="1" applyBorder="1" applyAlignment="1">
      <alignment horizontal="right" indent="1"/>
    </xf>
    <xf numFmtId="168" fontId="41" fillId="0" borderId="1" xfId="0" applyNumberFormat="1" applyFont="1" applyBorder="1" applyAlignment="1">
      <alignment horizontal="left" indent="1"/>
    </xf>
    <xf numFmtId="164" fontId="45" fillId="2" borderId="2" xfId="7" applyFont="1" applyFill="1" applyBorder="1"/>
    <xf numFmtId="168" fontId="45" fillId="2" borderId="3" xfId="7" applyNumberFormat="1" applyFont="1" applyFill="1" applyBorder="1"/>
    <xf numFmtId="1" fontId="41" fillId="0" borderId="0" xfId="0" applyNumberFormat="1" applyFont="1"/>
    <xf numFmtId="1" fontId="41" fillId="0" borderId="1" xfId="0" applyNumberFormat="1" applyFont="1" applyBorder="1"/>
    <xf numFmtId="168" fontId="39" fillId="2" borderId="0" xfId="5" applyNumberFormat="1" applyFill="1"/>
    <xf numFmtId="171" fontId="41" fillId="0" borderId="7" xfId="9" applyNumberFormat="1" applyFont="1" applyBorder="1"/>
    <xf numFmtId="0" fontId="39" fillId="2" borderId="0" xfId="5" applyFill="1" applyAlignment="1">
      <alignment horizontal="right" indent="1"/>
    </xf>
    <xf numFmtId="0" fontId="49" fillId="2" borderId="0" xfId="5" applyFont="1" applyFill="1" applyAlignment="1">
      <alignment horizontal="left" indent="1"/>
    </xf>
    <xf numFmtId="168" fontId="41" fillId="2" borderId="1" xfId="7" applyNumberFormat="1" applyFont="1" applyFill="1" applyBorder="1"/>
    <xf numFmtId="164" fontId="45" fillId="2" borderId="1" xfId="7" applyFont="1" applyFill="1" applyBorder="1"/>
    <xf numFmtId="164" fontId="45" fillId="2" borderId="3" xfId="7" applyFont="1" applyFill="1" applyBorder="1"/>
    <xf numFmtId="171" fontId="41" fillId="0" borderId="8" xfId="9" applyNumberFormat="1" applyFont="1" applyBorder="1"/>
    <xf numFmtId="3" fontId="0" fillId="0" borderId="1" xfId="2" applyNumberFormat="1" applyFont="1" applyFill="1" applyBorder="1"/>
    <xf numFmtId="0" fontId="52" fillId="0" borderId="0" xfId="0" applyFont="1"/>
    <xf numFmtId="0" fontId="47" fillId="0" borderId="13" xfId="0" applyFont="1" applyBorder="1" applyAlignment="1">
      <alignment horizontal="center" vertical="center"/>
    </xf>
    <xf numFmtId="0" fontId="33" fillId="8" borderId="14" xfId="0" applyFont="1" applyFill="1" applyBorder="1" applyAlignment="1">
      <alignment horizontal="center"/>
    </xf>
    <xf numFmtId="0" fontId="33" fillId="8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3" fillId="13" borderId="15" xfId="0" applyFont="1" applyFill="1" applyBorder="1" applyAlignment="1">
      <alignment horizont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left" vertical="center"/>
    </xf>
    <xf numFmtId="0" fontId="34" fillId="0" borderId="15" xfId="0" applyFont="1" applyBorder="1" applyAlignment="1">
      <alignment vertical="center"/>
    </xf>
    <xf numFmtId="0" fontId="34" fillId="0" borderId="18" xfId="0" applyFont="1" applyBorder="1" applyAlignment="1">
      <alignment horizontal="center" vertical="center"/>
    </xf>
    <xf numFmtId="0" fontId="34" fillId="0" borderId="18" xfId="0" applyFont="1" applyBorder="1" applyAlignment="1">
      <alignment horizontal="left" vertical="center"/>
    </xf>
    <xf numFmtId="0" fontId="53" fillId="0" borderId="0" xfId="0" applyFont="1" applyAlignment="1">
      <alignment vertical="center"/>
    </xf>
    <xf numFmtId="38" fontId="1" fillId="0" borderId="17" xfId="2" applyNumberFormat="1" applyBorder="1" applyAlignment="1">
      <alignment horizontal="center" vertical="center"/>
    </xf>
    <xf numFmtId="38" fontId="1" fillId="0" borderId="17" xfId="2" applyNumberFormat="1" applyBorder="1" applyAlignment="1">
      <alignment vertical="center"/>
    </xf>
    <xf numFmtId="38" fontId="1" fillId="0" borderId="0" xfId="2" applyNumberFormat="1" applyAlignment="1">
      <alignment vertical="center"/>
    </xf>
    <xf numFmtId="38" fontId="1" fillId="0" borderId="0" xfId="2" applyNumberFormat="1"/>
    <xf numFmtId="38" fontId="1" fillId="0" borderId="1" xfId="2" applyNumberFormat="1" applyBorder="1"/>
    <xf numFmtId="38" fontId="1" fillId="0" borderId="17" xfId="2" applyNumberFormat="1" applyBorder="1" applyAlignment="1">
      <alignment horizontal="left" vertical="center"/>
    </xf>
    <xf numFmtId="38" fontId="1" fillId="0" borderId="0" xfId="2" applyNumberFormat="1" applyAlignment="1">
      <alignment horizontal="right" vertical="center"/>
    </xf>
    <xf numFmtId="38" fontId="1" fillId="14" borderId="0" xfId="2" applyNumberFormat="1" applyFill="1"/>
    <xf numFmtId="38" fontId="1" fillId="0" borderId="17" xfId="2" applyNumberFormat="1" applyBorder="1" applyAlignment="1">
      <alignment vertical="center" wrapText="1"/>
    </xf>
    <xf numFmtId="38" fontId="1" fillId="0" borderId="17" xfId="2" applyNumberFormat="1" applyBorder="1" applyAlignment="1">
      <alignment horizontal="left" vertical="center" wrapText="1" indent="2"/>
    </xf>
    <xf numFmtId="38" fontId="1" fillId="0" borderId="0" xfId="2" applyNumberFormat="1" applyAlignment="1">
      <alignment vertical="center" wrapText="1"/>
    </xf>
    <xf numFmtId="38" fontId="1" fillId="0" borderId="17" xfId="2" applyNumberFormat="1" applyBorder="1" applyAlignment="1">
      <alignment horizontal="center" vertical="center" wrapText="1"/>
    </xf>
    <xf numFmtId="38" fontId="1" fillId="0" borderId="0" xfId="2" applyNumberFormat="1" applyAlignment="1">
      <alignment horizontal="center" vertical="center" wrapText="1"/>
    </xf>
    <xf numFmtId="38" fontId="1" fillId="0" borderId="0" xfId="2" applyNumberFormat="1" applyFill="1"/>
    <xf numFmtId="38" fontId="1" fillId="0" borderId="0" xfId="2" applyNumberFormat="1" applyAlignment="1">
      <alignment horizontal="right" vertical="center" wrapText="1"/>
    </xf>
    <xf numFmtId="38" fontId="1" fillId="0" borderId="17" xfId="2" applyNumberFormat="1" applyFill="1" applyBorder="1" applyAlignment="1">
      <alignment horizontal="center" vertical="center" wrapText="1"/>
    </xf>
    <xf numFmtId="38" fontId="1" fillId="0" borderId="0" xfId="2" applyNumberFormat="1" applyFill="1" applyAlignment="1">
      <alignment horizontal="center" vertical="center" wrapText="1"/>
    </xf>
    <xf numFmtId="38" fontId="1" fillId="0" borderId="19" xfId="2" applyNumberFormat="1" applyBorder="1" applyAlignment="1">
      <alignment horizontal="center" vertical="center" wrapText="1"/>
    </xf>
    <xf numFmtId="38" fontId="1" fillId="0" borderId="2" xfId="2" applyNumberFormat="1" applyBorder="1" applyAlignment="1">
      <alignment horizontal="center" vertical="center" wrapText="1"/>
    </xf>
    <xf numFmtId="38" fontId="1" fillId="0" borderId="2" xfId="2" applyNumberFormat="1" applyBorder="1" applyAlignment="1">
      <alignment vertical="center" wrapText="1"/>
    </xf>
    <xf numFmtId="38" fontId="1" fillId="0" borderId="2" xfId="2" applyNumberFormat="1" applyBorder="1"/>
    <xf numFmtId="0" fontId="0" fillId="15" borderId="0" xfId="0" applyFill="1"/>
    <xf numFmtId="38" fontId="0" fillId="0" borderId="17" xfId="2" applyNumberFormat="1" applyFont="1" applyFill="1" applyBorder="1" applyAlignment="1">
      <alignment vertical="center"/>
    </xf>
    <xf numFmtId="38" fontId="1" fillId="0" borderId="19" xfId="2" applyNumberFormat="1" applyBorder="1" applyAlignment="1">
      <alignment vertical="center"/>
    </xf>
    <xf numFmtId="0" fontId="13" fillId="2" borderId="0" xfId="0" applyFont="1" applyFill="1"/>
    <xf numFmtId="10" fontId="0" fillId="2" borderId="0" xfId="0" applyNumberFormat="1" applyFill="1"/>
    <xf numFmtId="0" fontId="54" fillId="2" borderId="0" xfId="0" applyFont="1" applyFill="1" applyAlignment="1">
      <alignment horizontal="center" vertical="center"/>
    </xf>
    <xf numFmtId="0" fontId="54" fillId="2" borderId="0" xfId="0" applyFont="1" applyFill="1"/>
    <xf numFmtId="0" fontId="57" fillId="2" borderId="21" xfId="0" applyFont="1" applyFill="1" applyBorder="1" applyAlignment="1">
      <alignment horizontal="left" vertical="center"/>
    </xf>
    <xf numFmtId="0" fontId="56" fillId="2" borderId="21" xfId="0" applyFont="1" applyFill="1" applyBorder="1" applyAlignment="1">
      <alignment horizontal="right" vertical="center"/>
    </xf>
    <xf numFmtId="0" fontId="57" fillId="2" borderId="21" xfId="0" applyFont="1" applyFill="1" applyBorder="1" applyAlignment="1">
      <alignment horizontal="justify" vertical="center"/>
    </xf>
    <xf numFmtId="0" fontId="56" fillId="2" borderId="20" xfId="0" applyFont="1" applyFill="1" applyBorder="1" applyAlignment="1">
      <alignment horizontal="left" vertical="center"/>
    </xf>
    <xf numFmtId="3" fontId="58" fillId="2" borderId="20" xfId="0" applyNumberFormat="1" applyFont="1" applyFill="1" applyBorder="1" applyAlignment="1">
      <alignment horizontal="right" vertical="center"/>
    </xf>
    <xf numFmtId="3" fontId="54" fillId="2" borderId="0" xfId="0" applyNumberFormat="1" applyFont="1" applyFill="1"/>
    <xf numFmtId="0" fontId="56" fillId="2" borderId="0" xfId="0" applyFont="1" applyFill="1" applyAlignment="1">
      <alignment horizontal="justify" vertical="center"/>
    </xf>
    <xf numFmtId="3" fontId="58" fillId="2" borderId="0" xfId="0" applyNumberFormat="1" applyFont="1" applyFill="1" applyAlignment="1">
      <alignment horizontal="right" vertical="center"/>
    </xf>
    <xf numFmtId="0" fontId="57" fillId="2" borderId="22" xfId="0" applyFont="1" applyFill="1" applyBorder="1" applyAlignment="1">
      <alignment vertical="center"/>
    </xf>
    <xf numFmtId="3" fontId="54" fillId="2" borderId="22" xfId="0" applyNumberFormat="1" applyFont="1" applyFill="1" applyBorder="1" applyAlignment="1">
      <alignment horizontal="right" vertical="center"/>
    </xf>
    <xf numFmtId="0" fontId="59" fillId="2" borderId="0" xfId="0" applyFont="1" applyFill="1" applyAlignment="1">
      <alignment horizontal="left" vertical="center" indent="1"/>
    </xf>
    <xf numFmtId="172" fontId="60" fillId="2" borderId="0" xfId="7" applyNumberFormat="1" applyFont="1" applyFill="1" applyAlignment="1">
      <alignment horizontal="right" vertical="center"/>
    </xf>
    <xf numFmtId="0" fontId="57" fillId="2" borderId="0" xfId="0" applyFont="1" applyFill="1" applyAlignment="1">
      <alignment horizontal="left" vertical="center" indent="1"/>
    </xf>
    <xf numFmtId="3" fontId="54" fillId="2" borderId="0" xfId="0" applyNumberFormat="1" applyFont="1" applyFill="1" applyAlignment="1">
      <alignment horizontal="right" vertical="center"/>
    </xf>
    <xf numFmtId="0" fontId="56" fillId="2" borderId="20" xfId="0" applyFont="1" applyFill="1" applyBorder="1" applyAlignment="1">
      <alignment vertical="center"/>
    </xf>
    <xf numFmtId="173" fontId="54" fillId="2" borderId="20" xfId="0" applyNumberFormat="1" applyFont="1" applyFill="1" applyBorder="1" applyAlignment="1">
      <alignment horizontal="right" vertical="center"/>
    </xf>
    <xf numFmtId="0" fontId="56" fillId="2" borderId="0" xfId="0" applyFont="1" applyFill="1" applyAlignment="1">
      <alignment vertical="center"/>
    </xf>
    <xf numFmtId="173" fontId="58" fillId="2" borderId="0" xfId="0" applyNumberFormat="1" applyFont="1" applyFill="1" applyAlignment="1">
      <alignment horizontal="right" vertical="center"/>
    </xf>
    <xf numFmtId="174" fontId="60" fillId="16" borderId="0" xfId="7" applyNumberFormat="1" applyFont="1" applyFill="1" applyAlignment="1">
      <alignment horizontal="right" vertical="center"/>
    </xf>
    <xf numFmtId="0" fontId="57" fillId="2" borderId="20" xfId="0" applyFont="1" applyFill="1" applyBorder="1" applyAlignment="1">
      <alignment horizontal="justify" vertical="center"/>
    </xf>
    <xf numFmtId="3" fontId="0" fillId="2" borderId="0" xfId="0" applyNumberFormat="1" applyFill="1"/>
    <xf numFmtId="0" fontId="57" fillId="2" borderId="0" xfId="0" applyFont="1" applyFill="1" applyAlignment="1">
      <alignment vertical="center"/>
    </xf>
    <xf numFmtId="174" fontId="60" fillId="2" borderId="0" xfId="7" applyNumberFormat="1" applyFont="1" applyFill="1" applyAlignment="1">
      <alignment horizontal="right" vertical="center"/>
    </xf>
    <xf numFmtId="0" fontId="59" fillId="2" borderId="20" xfId="0" applyFont="1" applyFill="1" applyBorder="1" applyAlignment="1">
      <alignment horizontal="left" vertical="center" indent="1"/>
    </xf>
    <xf numFmtId="174" fontId="60" fillId="2" borderId="20" xfId="0" applyNumberFormat="1" applyFont="1" applyFill="1" applyBorder="1" applyAlignment="1">
      <alignment horizontal="right" vertical="center"/>
    </xf>
    <xf numFmtId="173" fontId="54" fillId="2" borderId="0" xfId="0" applyNumberFormat="1" applyFont="1" applyFill="1" applyAlignment="1">
      <alignment horizontal="right" vertical="center"/>
    </xf>
    <xf numFmtId="0" fontId="57" fillId="2" borderId="20" xfId="0" applyFont="1" applyFill="1" applyBorder="1" applyAlignment="1">
      <alignment horizontal="left" vertical="center" indent="1"/>
    </xf>
    <xf numFmtId="3" fontId="54" fillId="2" borderId="20" xfId="0" applyNumberFormat="1" applyFont="1" applyFill="1" applyBorder="1" applyAlignment="1">
      <alignment horizontal="right" vertical="center"/>
    </xf>
    <xf numFmtId="0" fontId="56" fillId="2" borderId="21" xfId="0" applyFont="1" applyFill="1" applyBorder="1" applyAlignment="1">
      <alignment horizontal="left" vertical="center"/>
    </xf>
    <xf numFmtId="3" fontId="58" fillId="2" borderId="21" xfId="0" applyNumberFormat="1" applyFont="1" applyFill="1" applyBorder="1" applyAlignment="1">
      <alignment horizontal="right" vertical="center"/>
    </xf>
    <xf numFmtId="0" fontId="56" fillId="2" borderId="22" xfId="0" applyFont="1" applyFill="1" applyBorder="1" applyAlignment="1">
      <alignment horizontal="justify" vertical="center"/>
    </xf>
    <xf numFmtId="173" fontId="58" fillId="2" borderId="22" xfId="0" applyNumberFormat="1" applyFont="1" applyFill="1" applyBorder="1" applyAlignment="1">
      <alignment horizontal="right" vertical="center"/>
    </xf>
    <xf numFmtId="0" fontId="56" fillId="2" borderId="22" xfId="0" applyFont="1" applyFill="1" applyBorder="1" applyAlignment="1">
      <alignment vertical="center"/>
    </xf>
    <xf numFmtId="3" fontId="56" fillId="2" borderId="20" xfId="0" applyNumberFormat="1" applyFont="1" applyFill="1" applyBorder="1" applyAlignment="1">
      <alignment horizontal="right" vertical="center"/>
    </xf>
    <xf numFmtId="0" fontId="57" fillId="2" borderId="22" xfId="0" applyFont="1" applyFill="1" applyBorder="1" applyAlignment="1">
      <alignment horizontal="left" vertical="center" indent="1"/>
    </xf>
    <xf numFmtId="173" fontId="0" fillId="2" borderId="0" xfId="0" applyNumberFormat="1" applyFill="1"/>
    <xf numFmtId="37" fontId="54" fillId="2" borderId="0" xfId="0" applyNumberFormat="1" applyFont="1" applyFill="1" applyAlignment="1">
      <alignment horizontal="right" vertical="center"/>
    </xf>
    <xf numFmtId="0" fontId="57" fillId="2" borderId="20" xfId="0" applyFont="1" applyFill="1" applyBorder="1" applyAlignment="1">
      <alignment vertical="center"/>
    </xf>
    <xf numFmtId="0" fontId="56" fillId="2" borderId="0" xfId="0" applyFont="1" applyFill="1" applyAlignment="1">
      <alignment horizontal="center" vertical="center"/>
    </xf>
    <xf numFmtId="0" fontId="57" fillId="2" borderId="23" xfId="0" applyFont="1" applyFill="1" applyBorder="1" applyAlignment="1">
      <alignment horizontal="justify" vertical="center"/>
    </xf>
    <xf numFmtId="0" fontId="56" fillId="2" borderId="21" xfId="0" applyFont="1" applyFill="1" applyBorder="1" applyAlignment="1">
      <alignment horizontal="justify" vertical="center"/>
    </xf>
    <xf numFmtId="0" fontId="56" fillId="2" borderId="20" xfId="0" applyFont="1" applyFill="1" applyBorder="1" applyAlignment="1">
      <alignment horizontal="justify" vertical="center"/>
    </xf>
    <xf numFmtId="175" fontId="58" fillId="2" borderId="20" xfId="0" applyNumberFormat="1" applyFont="1" applyFill="1" applyBorder="1" applyAlignment="1">
      <alignment horizontal="right" vertical="center"/>
    </xf>
    <xf numFmtId="175" fontId="54" fillId="2" borderId="22" xfId="0" applyNumberFormat="1" applyFont="1" applyFill="1" applyBorder="1" applyAlignment="1">
      <alignment horizontal="right" vertical="center"/>
    </xf>
    <xf numFmtId="0" fontId="61" fillId="2" borderId="0" xfId="0" applyFont="1" applyFill="1" applyAlignment="1">
      <alignment vertical="center"/>
    </xf>
    <xf numFmtId="2" fontId="1" fillId="2" borderId="0" xfId="2" applyNumberFormat="1" applyFill="1"/>
    <xf numFmtId="164" fontId="0" fillId="0" borderId="0" xfId="7" applyFont="1"/>
    <xf numFmtId="165" fontId="1" fillId="2" borderId="0" xfId="2" applyNumberFormat="1" applyFill="1"/>
    <xf numFmtId="0" fontId="62" fillId="2" borderId="0" xfId="0" applyFont="1" applyFill="1" applyAlignment="1">
      <alignment horizontal="left" vertical="center" indent="1"/>
    </xf>
    <xf numFmtId="175" fontId="54" fillId="2" borderId="0" xfId="0" applyNumberFormat="1" applyFont="1" applyFill="1" applyAlignment="1">
      <alignment horizontal="right" vertical="center"/>
    </xf>
    <xf numFmtId="0" fontId="63" fillId="2" borderId="0" xfId="0" applyFont="1" applyFill="1" applyAlignment="1">
      <alignment horizontal="left" vertical="center" indent="1"/>
    </xf>
    <xf numFmtId="165" fontId="54" fillId="2" borderId="0" xfId="0" applyNumberFormat="1" applyFont="1" applyFill="1" applyAlignment="1">
      <alignment horizontal="right" vertical="center"/>
    </xf>
    <xf numFmtId="0" fontId="64" fillId="0" borderId="0" xfId="0" applyFont="1" applyAlignment="1">
      <alignment vertical="center"/>
    </xf>
    <xf numFmtId="175" fontId="54" fillId="2" borderId="20" xfId="0" applyNumberFormat="1" applyFont="1" applyFill="1" applyBorder="1" applyAlignment="1">
      <alignment horizontal="right" vertical="center"/>
    </xf>
    <xf numFmtId="0" fontId="65" fillId="2" borderId="0" xfId="0" applyFont="1" applyFill="1" applyAlignment="1">
      <alignment vertical="center"/>
    </xf>
    <xf numFmtId="175" fontId="58" fillId="2" borderId="21" xfId="0" applyNumberFormat="1" applyFont="1" applyFill="1" applyBorder="1" applyAlignment="1">
      <alignment horizontal="right" vertical="center"/>
    </xf>
    <xf numFmtId="166" fontId="54" fillId="2" borderId="0" xfId="0" applyNumberFormat="1" applyFont="1" applyFill="1" applyAlignment="1">
      <alignment horizontal="right" vertical="center"/>
    </xf>
    <xf numFmtId="175" fontId="57" fillId="2" borderId="0" xfId="0" applyNumberFormat="1" applyFont="1" applyFill="1" applyAlignment="1">
      <alignment horizontal="right" vertical="center"/>
    </xf>
    <xf numFmtId="0" fontId="63" fillId="2" borderId="20" xfId="0" applyFont="1" applyFill="1" applyBorder="1" applyAlignment="1">
      <alignment horizontal="left" vertical="center" indent="1"/>
    </xf>
    <xf numFmtId="166" fontId="54" fillId="2" borderId="20" xfId="0" applyNumberFormat="1" applyFont="1" applyFill="1" applyBorder="1" applyAlignment="1">
      <alignment horizontal="right" vertical="center"/>
    </xf>
    <xf numFmtId="166" fontId="54" fillId="2" borderId="22" xfId="0" applyNumberFormat="1" applyFont="1" applyFill="1" applyBorder="1" applyAlignment="1">
      <alignment horizontal="right" vertical="center"/>
    </xf>
    <xf numFmtId="175" fontId="54" fillId="2" borderId="0" xfId="7" applyNumberFormat="1" applyFont="1" applyFill="1" applyAlignment="1">
      <alignment horizontal="right" vertical="center"/>
    </xf>
    <xf numFmtId="165" fontId="0" fillId="2" borderId="0" xfId="0" applyNumberFormat="1" applyFill="1"/>
    <xf numFmtId="175" fontId="54" fillId="2" borderId="20" xfId="7" applyNumberFormat="1" applyFont="1" applyFill="1" applyBorder="1" applyAlignment="1">
      <alignment horizontal="right" vertical="center"/>
    </xf>
    <xf numFmtId="172" fontId="54" fillId="2" borderId="0" xfId="7" applyNumberFormat="1" applyFont="1" applyFill="1" applyAlignment="1">
      <alignment horizontal="right" vertical="center"/>
    </xf>
    <xf numFmtId="177" fontId="54" fillId="2" borderId="0" xfId="0" applyNumberFormat="1" applyFont="1" applyFill="1" applyAlignment="1">
      <alignment horizontal="right" vertical="center"/>
    </xf>
    <xf numFmtId="177" fontId="54" fillId="2" borderId="20" xfId="7" applyNumberFormat="1" applyFont="1" applyFill="1" applyBorder="1" applyAlignment="1">
      <alignment horizontal="right" vertical="center"/>
    </xf>
    <xf numFmtId="165" fontId="54" fillId="2" borderId="22" xfId="0" applyNumberFormat="1" applyFont="1" applyFill="1" applyBorder="1" applyAlignment="1">
      <alignment horizontal="right" vertical="center"/>
    </xf>
    <xf numFmtId="165" fontId="54" fillId="2" borderId="20" xfId="0" applyNumberFormat="1" applyFont="1" applyFill="1" applyBorder="1" applyAlignment="1">
      <alignment horizontal="right" vertical="center"/>
    </xf>
    <xf numFmtId="0" fontId="0" fillId="2" borderId="0" xfId="0" quotePrefix="1" applyFill="1"/>
    <xf numFmtId="0" fontId="66" fillId="17" borderId="24" xfId="0" applyFont="1" applyFill="1" applyBorder="1" applyAlignment="1">
      <alignment horizontal="justify" vertical="center" wrapText="1"/>
    </xf>
    <xf numFmtId="0" fontId="66" fillId="17" borderId="24" xfId="0" applyFont="1" applyFill="1" applyBorder="1" applyAlignment="1">
      <alignment horizontal="justify" vertical="center"/>
    </xf>
    <xf numFmtId="0" fontId="32" fillId="0" borderId="21" xfId="0" applyFont="1" applyBorder="1" applyAlignment="1">
      <alignment horizontal="left" vertical="center" wrapText="1"/>
    </xf>
    <xf numFmtId="0" fontId="67" fillId="0" borderId="21" xfId="0" applyFont="1" applyBorder="1" applyAlignment="1">
      <alignment horizontal="right" vertical="center" wrapText="1"/>
    </xf>
    <xf numFmtId="0" fontId="67" fillId="17" borderId="21" xfId="0" applyFont="1" applyFill="1" applyBorder="1" applyAlignment="1">
      <alignment horizontal="right" vertical="center" wrapText="1"/>
    </xf>
    <xf numFmtId="0" fontId="68" fillId="0" borderId="24" xfId="0" applyFont="1" applyBorder="1" applyAlignment="1">
      <alignment horizontal="right" vertical="center" wrapText="1"/>
    </xf>
    <xf numFmtId="0" fontId="67" fillId="0" borderId="0" xfId="0" applyFont="1" applyAlignment="1">
      <alignment horizontal="left" vertical="center" wrapText="1"/>
    </xf>
    <xf numFmtId="3" fontId="67" fillId="17" borderId="0" xfId="0" applyNumberFormat="1" applyFont="1" applyFill="1" applyAlignment="1">
      <alignment horizontal="right" vertical="center" wrapText="1"/>
    </xf>
    <xf numFmtId="170" fontId="68" fillId="0" borderId="0" xfId="0" applyNumberFormat="1" applyFont="1" applyAlignment="1">
      <alignment horizontal="right" vertical="center" wrapText="1"/>
    </xf>
    <xf numFmtId="170" fontId="32" fillId="17" borderId="0" xfId="0" applyNumberFormat="1" applyFont="1" applyFill="1" applyAlignment="1">
      <alignment horizontal="right" vertical="center" wrapText="1"/>
    </xf>
    <xf numFmtId="0" fontId="68" fillId="18" borderId="0" xfId="0" applyFont="1" applyFill="1" applyAlignment="1">
      <alignment horizontal="justify" vertical="center" wrapText="1"/>
    </xf>
    <xf numFmtId="0" fontId="68" fillId="18" borderId="29" xfId="0" applyFont="1" applyFill="1" applyBorder="1" applyAlignment="1">
      <alignment horizontal="justify" vertical="center" wrapText="1"/>
    </xf>
    <xf numFmtId="0" fontId="67" fillId="0" borderId="20" xfId="0" applyFont="1" applyBorder="1" applyAlignment="1">
      <alignment horizontal="left" vertical="center" wrapText="1"/>
    </xf>
    <xf numFmtId="170" fontId="67" fillId="17" borderId="20" xfId="0" applyNumberFormat="1" applyFont="1" applyFill="1" applyBorder="1" applyAlignment="1">
      <alignment horizontal="right" vertical="center" wrapText="1"/>
    </xf>
    <xf numFmtId="3" fontId="32" fillId="17" borderId="0" xfId="0" applyNumberFormat="1" applyFont="1" applyFill="1" applyAlignment="1">
      <alignment horizontal="right" vertical="center" wrapText="1"/>
    </xf>
    <xf numFmtId="0" fontId="32" fillId="0" borderId="20" xfId="0" applyFont="1" applyBorder="1" applyAlignment="1">
      <alignment horizontal="left" vertical="center" wrapText="1"/>
    </xf>
    <xf numFmtId="3" fontId="32" fillId="17" borderId="20" xfId="0" applyNumberFormat="1" applyFont="1" applyFill="1" applyBorder="1" applyAlignment="1">
      <alignment horizontal="right" vertical="center" wrapText="1"/>
    </xf>
    <xf numFmtId="0" fontId="68" fillId="0" borderId="0" xfId="0" applyFont="1" applyAlignment="1">
      <alignment horizontal="justify" vertical="center"/>
    </xf>
    <xf numFmtId="0" fontId="68" fillId="0" borderId="29" xfId="0" applyFont="1" applyBorder="1" applyAlignment="1">
      <alignment horizontal="justify" vertical="center"/>
    </xf>
    <xf numFmtId="170" fontId="68" fillId="18" borderId="0" xfId="0" applyNumberFormat="1" applyFont="1" applyFill="1" applyAlignment="1">
      <alignment horizontal="right" vertical="center" wrapText="1"/>
    </xf>
    <xf numFmtId="165" fontId="32" fillId="17" borderId="0" xfId="0" applyNumberFormat="1" applyFont="1" applyFill="1" applyAlignment="1">
      <alignment horizontal="right" vertical="center" wrapText="1"/>
    </xf>
    <xf numFmtId="0" fontId="68" fillId="18" borderId="24" xfId="0" applyFont="1" applyFill="1" applyBorder="1" applyAlignment="1">
      <alignment horizontal="justify" vertical="center" wrapText="1"/>
    </xf>
    <xf numFmtId="0" fontId="68" fillId="18" borderId="30" xfId="0" applyFont="1" applyFill="1" applyBorder="1" applyAlignment="1">
      <alignment horizontal="justify" vertical="center" wrapText="1"/>
    </xf>
    <xf numFmtId="170" fontId="68" fillId="0" borderId="24" xfId="0" applyNumberFormat="1" applyFont="1" applyBorder="1" applyAlignment="1">
      <alignment horizontal="right" vertical="center" wrapText="1"/>
    </xf>
    <xf numFmtId="0" fontId="66" fillId="18" borderId="27" xfId="0" applyFont="1" applyFill="1" applyBorder="1" applyAlignment="1">
      <alignment horizontal="justify" vertical="center" wrapText="1"/>
    </xf>
    <xf numFmtId="0" fontId="66" fillId="18" borderId="28" xfId="0" applyFont="1" applyFill="1" applyBorder="1" applyAlignment="1">
      <alignment horizontal="justify" vertical="center" wrapText="1"/>
    </xf>
    <xf numFmtId="0" fontId="68" fillId="0" borderId="0" xfId="0" applyFont="1" applyAlignment="1">
      <alignment horizontal="right" vertical="center" wrapText="1"/>
    </xf>
    <xf numFmtId="0" fontId="68" fillId="18" borderId="0" xfId="0" applyFont="1" applyFill="1" applyAlignment="1">
      <alignment horizontal="right" vertical="center" wrapText="1"/>
    </xf>
    <xf numFmtId="165" fontId="67" fillId="17" borderId="20" xfId="0" applyNumberFormat="1" applyFont="1" applyFill="1" applyBorder="1" applyAlignment="1">
      <alignment horizontal="right" vertical="center" wrapText="1"/>
    </xf>
    <xf numFmtId="165" fontId="68" fillId="0" borderId="0" xfId="0" applyNumberFormat="1" applyFont="1" applyAlignment="1">
      <alignment horizontal="right" vertical="center" wrapText="1"/>
    </xf>
    <xf numFmtId="165" fontId="29" fillId="19" borderId="22" xfId="0" applyNumberFormat="1" applyFont="1" applyFill="1" applyBorder="1" applyAlignment="1">
      <alignment horizontal="right" vertical="center"/>
    </xf>
    <xf numFmtId="165" fontId="68" fillId="0" borderId="24" xfId="0" applyNumberFormat="1" applyFont="1" applyBorder="1" applyAlignment="1">
      <alignment horizontal="right" vertical="center" wrapText="1"/>
    </xf>
    <xf numFmtId="0" fontId="43" fillId="10" borderId="0" xfId="5" applyFont="1" applyFill="1"/>
    <xf numFmtId="0" fontId="34" fillId="0" borderId="0" xfId="0" applyFont="1" applyAlignment="1">
      <alignment horizontal="center"/>
    </xf>
    <xf numFmtId="0" fontId="69" fillId="0" borderId="0" xfId="0" applyFont="1"/>
    <xf numFmtId="0" fontId="43" fillId="7" borderId="0" xfId="0" applyFont="1" applyFill="1" applyAlignment="1">
      <alignment horizontal="right"/>
    </xf>
    <xf numFmtId="0" fontId="43" fillId="0" borderId="0" xfId="0" applyFont="1" applyAlignment="1">
      <alignment horizontal="right"/>
    </xf>
    <xf numFmtId="0" fontId="41" fillId="4" borderId="0" xfId="0" applyFont="1" applyFill="1"/>
    <xf numFmtId="0" fontId="34" fillId="4" borderId="0" xfId="0" applyFont="1" applyFill="1"/>
    <xf numFmtId="0" fontId="44" fillId="4" borderId="0" xfId="0" applyFont="1" applyFill="1"/>
    <xf numFmtId="167" fontId="34" fillId="4" borderId="0" xfId="8" applyNumberFormat="1" applyFont="1" applyFill="1"/>
    <xf numFmtId="167" fontId="34" fillId="4" borderId="0" xfId="8" applyNumberFormat="1" applyFont="1" applyFill="1" applyBorder="1"/>
    <xf numFmtId="167" fontId="34" fillId="4" borderId="1" xfId="8" applyNumberFormat="1" applyFont="1" applyFill="1" applyBorder="1"/>
    <xf numFmtId="168" fontId="41" fillId="0" borderId="0" xfId="7" applyNumberFormat="1" applyFont="1"/>
    <xf numFmtId="164" fontId="41" fillId="20" borderId="0" xfId="0" applyNumberFormat="1" applyFont="1" applyFill="1"/>
    <xf numFmtId="168" fontId="39" fillId="0" borderId="0" xfId="7" applyNumberFormat="1" applyFont="1"/>
    <xf numFmtId="164" fontId="39" fillId="0" borderId="0" xfId="0" applyNumberFormat="1" applyFont="1"/>
    <xf numFmtId="164" fontId="39" fillId="0" borderId="0" xfId="7" applyFont="1" applyBorder="1"/>
    <xf numFmtId="164" fontId="39" fillId="0" borderId="2" xfId="7" applyFont="1" applyBorder="1"/>
    <xf numFmtId="0" fontId="40" fillId="0" borderId="0" xfId="0" applyFont="1"/>
    <xf numFmtId="168" fontId="40" fillId="0" borderId="31" xfId="7" applyNumberFormat="1" applyFont="1" applyBorder="1"/>
    <xf numFmtId="164" fontId="40" fillId="20" borderId="31" xfId="0" applyNumberFormat="1" applyFont="1" applyFill="1" applyBorder="1"/>
    <xf numFmtId="164" fontId="40" fillId="0" borderId="31" xfId="0" applyNumberFormat="1" applyFont="1" applyBorder="1"/>
    <xf numFmtId="0" fontId="42" fillId="0" borderId="0" xfId="0" applyFont="1"/>
    <xf numFmtId="168" fontId="42" fillId="0" borderId="0" xfId="7" applyNumberFormat="1" applyFont="1"/>
    <xf numFmtId="164" fontId="42" fillId="0" borderId="0" xfId="0" applyNumberFormat="1" applyFont="1"/>
    <xf numFmtId="10" fontId="42" fillId="0" borderId="0" xfId="0" applyNumberFormat="1" applyFont="1"/>
    <xf numFmtId="10" fontId="42" fillId="16" borderId="0" xfId="0" applyNumberFormat="1" applyFont="1" applyFill="1"/>
    <xf numFmtId="10" fontId="42" fillId="16" borderId="1" xfId="0" applyNumberFormat="1" applyFont="1" applyFill="1" applyBorder="1"/>
    <xf numFmtId="0" fontId="70" fillId="0" borderId="0" xfId="0" applyFont="1"/>
    <xf numFmtId="168" fontId="70" fillId="0" borderId="0" xfId="7" applyNumberFormat="1" applyFont="1"/>
    <xf numFmtId="164" fontId="70" fillId="0" borderId="0" xfId="0" applyNumberFormat="1" applyFont="1"/>
    <xf numFmtId="9" fontId="70" fillId="0" borderId="0" xfId="8" applyFont="1" applyBorder="1"/>
    <xf numFmtId="9" fontId="70" fillId="0" borderId="1" xfId="8" applyFont="1" applyBorder="1"/>
    <xf numFmtId="164" fontId="34" fillId="0" borderId="1" xfId="0" applyNumberFormat="1" applyFont="1" applyBorder="1"/>
    <xf numFmtId="10" fontId="42" fillId="0" borderId="0" xfId="8" applyNumberFormat="1" applyFont="1"/>
    <xf numFmtId="10" fontId="42" fillId="0" borderId="0" xfId="8" applyNumberFormat="1" applyFont="1" applyBorder="1"/>
    <xf numFmtId="10" fontId="42" fillId="0" borderId="1" xfId="8" applyNumberFormat="1" applyFont="1" applyBorder="1"/>
    <xf numFmtId="168" fontId="70" fillId="0" borderId="0" xfId="7" applyNumberFormat="1" applyFont="1" applyFill="1"/>
    <xf numFmtId="10" fontId="42" fillId="0" borderId="0" xfId="8" applyNumberFormat="1" applyFont="1" applyFill="1"/>
    <xf numFmtId="10" fontId="42" fillId="0" borderId="0" xfId="8" applyNumberFormat="1" applyFont="1" applyFill="1" applyBorder="1"/>
    <xf numFmtId="10" fontId="42" fillId="0" borderId="1" xfId="8" applyNumberFormat="1" applyFont="1" applyFill="1" applyBorder="1"/>
    <xf numFmtId="10" fontId="42" fillId="14" borderId="0" xfId="8" applyNumberFormat="1" applyFont="1" applyFill="1" applyBorder="1"/>
    <xf numFmtId="168" fontId="52" fillId="0" borderId="31" xfId="7" applyNumberFormat="1" applyFont="1" applyBorder="1"/>
    <xf numFmtId="10" fontId="52" fillId="0" borderId="31" xfId="0" applyNumberFormat="1" applyFont="1" applyBorder="1"/>
    <xf numFmtId="10" fontId="52" fillId="0" borderId="32" xfId="0" applyNumberFormat="1" applyFont="1" applyBorder="1"/>
    <xf numFmtId="164" fontId="70" fillId="0" borderId="1" xfId="7" applyFont="1" applyBorder="1"/>
    <xf numFmtId="164" fontId="70" fillId="0" borderId="0" xfId="7" applyFont="1"/>
    <xf numFmtId="9" fontId="34" fillId="0" borderId="0" xfId="0" applyNumberFormat="1" applyFont="1"/>
    <xf numFmtId="0" fontId="34" fillId="0" borderId="1" xfId="0" applyFont="1" applyBorder="1"/>
    <xf numFmtId="9" fontId="42" fillId="0" borderId="0" xfId="8" applyFont="1"/>
    <xf numFmtId="9" fontId="42" fillId="0" borderId="0" xfId="8" applyFont="1" applyBorder="1"/>
    <xf numFmtId="178" fontId="70" fillId="0" borderId="0" xfId="7" applyNumberFormat="1" applyFont="1" applyBorder="1"/>
    <xf numFmtId="9" fontId="34" fillId="4" borderId="0" xfId="0" applyNumberFormat="1" applyFont="1" applyFill="1"/>
    <xf numFmtId="0" fontId="34" fillId="4" borderId="1" xfId="0" applyFont="1" applyFill="1" applyBorder="1"/>
    <xf numFmtId="10" fontId="42" fillId="0" borderId="1" xfId="0" applyNumberFormat="1" applyFont="1" applyBorder="1"/>
    <xf numFmtId="168" fontId="47" fillId="0" borderId="0" xfId="7" applyNumberFormat="1" applyFont="1"/>
    <xf numFmtId="168" fontId="52" fillId="0" borderId="0" xfId="7" applyNumberFormat="1" applyFont="1" applyBorder="1"/>
    <xf numFmtId="10" fontId="52" fillId="0" borderId="0" xfId="0" applyNumberFormat="1" applyFont="1"/>
    <xf numFmtId="10" fontId="52" fillId="0" borderId="1" xfId="0" applyNumberFormat="1" applyFont="1" applyBorder="1"/>
    <xf numFmtId="0" fontId="70" fillId="4" borderId="0" xfId="0" applyFont="1" applyFill="1"/>
    <xf numFmtId="164" fontId="70" fillId="0" borderId="0" xfId="7" applyFont="1" applyBorder="1"/>
    <xf numFmtId="0" fontId="34" fillId="3" borderId="0" xfId="0" applyFont="1" applyFill="1"/>
    <xf numFmtId="0" fontId="44" fillId="3" borderId="0" xfId="0" applyFont="1" applyFill="1"/>
    <xf numFmtId="0" fontId="41" fillId="3" borderId="0" xfId="0" applyFont="1" applyFill="1"/>
    <xf numFmtId="9" fontId="34" fillId="3" borderId="0" xfId="0" applyNumberFormat="1" applyFont="1" applyFill="1"/>
    <xf numFmtId="0" fontId="34" fillId="3" borderId="1" xfId="0" applyFont="1" applyFill="1" applyBorder="1"/>
    <xf numFmtId="10" fontId="41" fillId="20" borderId="0" xfId="0" applyNumberFormat="1" applyFont="1" applyFill="1"/>
    <xf numFmtId="10" fontId="41" fillId="0" borderId="0" xfId="0" applyNumberFormat="1" applyFont="1"/>
    <xf numFmtId="10" fontId="41" fillId="0" borderId="1" xfId="0" applyNumberFormat="1" applyFont="1" applyBorder="1"/>
    <xf numFmtId="10" fontId="40" fillId="20" borderId="31" xfId="0" applyNumberFormat="1" applyFont="1" applyFill="1" applyBorder="1"/>
    <xf numFmtId="10" fontId="40" fillId="20" borderId="32" xfId="0" applyNumberFormat="1" applyFont="1" applyFill="1" applyBorder="1"/>
    <xf numFmtId="10" fontId="70" fillId="0" borderId="0" xfId="7" applyNumberFormat="1" applyFont="1" applyBorder="1"/>
    <xf numFmtId="10" fontId="70" fillId="0" borderId="1" xfId="7" applyNumberFormat="1" applyFont="1" applyBorder="1"/>
    <xf numFmtId="10" fontId="70" fillId="0" borderId="0" xfId="7" applyNumberFormat="1" applyFont="1"/>
    <xf numFmtId="10" fontId="40" fillId="0" borderId="31" xfId="0" applyNumberFormat="1" applyFont="1" applyBorder="1"/>
    <xf numFmtId="10" fontId="40" fillId="0" borderId="32" xfId="0" applyNumberFormat="1" applyFont="1" applyBorder="1"/>
    <xf numFmtId="0" fontId="71" fillId="7" borderId="0" xfId="0" applyFont="1" applyFill="1"/>
    <xf numFmtId="0" fontId="33" fillId="7" borderId="0" xfId="0" applyFont="1" applyFill="1"/>
    <xf numFmtId="0" fontId="33" fillId="7" borderId="0" xfId="0" applyFont="1" applyFill="1" applyAlignment="1">
      <alignment horizontal="right"/>
    </xf>
    <xf numFmtId="0" fontId="0" fillId="3" borderId="0" xfId="0" applyFill="1"/>
    <xf numFmtId="0" fontId="33" fillId="3" borderId="1" xfId="0" applyFont="1" applyFill="1" applyBorder="1"/>
    <xf numFmtId="168" fontId="0" fillId="20" borderId="0" xfId="0" applyNumberFormat="1" applyFill="1"/>
    <xf numFmtId="168" fontId="0" fillId="20" borderId="1" xfId="0" applyNumberFormat="1" applyFill="1" applyBorder="1"/>
    <xf numFmtId="10" fontId="18" fillId="20" borderId="0" xfId="0" applyNumberFormat="1" applyFont="1" applyFill="1"/>
    <xf numFmtId="10" fontId="18" fillId="20" borderId="1" xfId="0" applyNumberFormat="1" applyFont="1" applyFill="1" applyBorder="1"/>
    <xf numFmtId="10" fontId="18" fillId="0" borderId="0" xfId="0" applyNumberFormat="1" applyFont="1"/>
    <xf numFmtId="0" fontId="36" fillId="0" borderId="0" xfId="0" applyFont="1" applyAlignment="1">
      <alignment horizontal="right"/>
    </xf>
    <xf numFmtId="164" fontId="0" fillId="20" borderId="0" xfId="0" applyNumberFormat="1" applyFill="1"/>
    <xf numFmtId="164" fontId="13" fillId="21" borderId="0" xfId="0" applyNumberFormat="1" applyFont="1" applyFill="1"/>
    <xf numFmtId="164" fontId="13" fillId="21" borderId="1" xfId="0" applyNumberFormat="1" applyFont="1" applyFill="1" applyBorder="1"/>
    <xf numFmtId="4" fontId="0" fillId="0" borderId="0" xfId="0" applyNumberFormat="1"/>
    <xf numFmtId="179" fontId="18" fillId="5" borderId="0" xfId="0" applyNumberFormat="1" applyFont="1" applyFill="1"/>
    <xf numFmtId="180" fontId="0" fillId="20" borderId="0" xfId="0" applyNumberFormat="1" applyFill="1"/>
    <xf numFmtId="176" fontId="0" fillId="20" borderId="0" xfId="0" applyNumberFormat="1" applyFill="1"/>
    <xf numFmtId="176" fontId="0" fillId="20" borderId="1" xfId="0" applyNumberFormat="1" applyFill="1" applyBorder="1"/>
    <xf numFmtId="167" fontId="18" fillId="5" borderId="0" xfId="0" applyNumberFormat="1" applyFont="1" applyFill="1"/>
    <xf numFmtId="165" fontId="1" fillId="0" borderId="0" xfId="2" applyNumberFormat="1" applyFill="1"/>
    <xf numFmtId="10" fontId="18" fillId="0" borderId="1" xfId="0" applyNumberFormat="1" applyFont="1" applyBorder="1"/>
    <xf numFmtId="167" fontId="18" fillId="20" borderId="0" xfId="0" applyNumberFormat="1" applyFont="1" applyFill="1"/>
    <xf numFmtId="167" fontId="18" fillId="20" borderId="1" xfId="0" applyNumberFormat="1" applyFont="1" applyFill="1" applyBorder="1"/>
    <xf numFmtId="167" fontId="18" fillId="5" borderId="31" xfId="0" applyNumberFormat="1" applyFont="1" applyFill="1" applyBorder="1"/>
    <xf numFmtId="165" fontId="0" fillId="16" borderId="0" xfId="0" applyNumberFormat="1" applyFill="1"/>
    <xf numFmtId="165" fontId="0" fillId="16" borderId="1" xfId="0" applyNumberFormat="1" applyFill="1" applyBorder="1"/>
    <xf numFmtId="0" fontId="0" fillId="16" borderId="31" xfId="0" applyFill="1" applyBorder="1"/>
    <xf numFmtId="0" fontId="0" fillId="16" borderId="32" xfId="0" applyFill="1" applyBorder="1"/>
    <xf numFmtId="0" fontId="72" fillId="0" borderId="0" xfId="0" applyFont="1"/>
    <xf numFmtId="0" fontId="0" fillId="0" borderId="0" xfId="0" applyAlignment="1">
      <alignment wrapText="1"/>
    </xf>
    <xf numFmtId="166" fontId="0" fillId="16" borderId="0" xfId="0" applyNumberFormat="1" applyFill="1"/>
    <xf numFmtId="166" fontId="0" fillId="16" borderId="1" xfId="0" applyNumberFormat="1" applyFill="1" applyBorder="1"/>
    <xf numFmtId="166" fontId="0" fillId="16" borderId="31" xfId="0" applyNumberFormat="1" applyFill="1" applyBorder="1"/>
    <xf numFmtId="166" fontId="0" fillId="16" borderId="32" xfId="0" applyNumberFormat="1" applyFill="1" applyBorder="1"/>
    <xf numFmtId="4" fontId="0" fillId="15" borderId="0" xfId="0" applyNumberFormat="1" applyFill="1"/>
    <xf numFmtId="0" fontId="18" fillId="15" borderId="0" xfId="0" applyFont="1" applyFill="1"/>
    <xf numFmtId="10" fontId="18" fillId="15" borderId="0" xfId="0" applyNumberFormat="1" applyFont="1" applyFill="1"/>
    <xf numFmtId="10" fontId="18" fillId="15" borderId="1" xfId="0" applyNumberFormat="1" applyFont="1" applyFill="1" applyBorder="1"/>
    <xf numFmtId="0" fontId="0" fillId="15" borderId="1" xfId="0" applyFill="1" applyBorder="1"/>
    <xf numFmtId="10" fontId="0" fillId="15" borderId="0" xfId="0" applyNumberFormat="1" applyFill="1"/>
    <xf numFmtId="10" fontId="0" fillId="15" borderId="1" xfId="0" applyNumberFormat="1" applyFill="1" applyBorder="1"/>
    <xf numFmtId="0" fontId="33" fillId="7" borderId="1" xfId="0" applyFont="1" applyFill="1" applyBorder="1"/>
    <xf numFmtId="10" fontId="18" fillId="5" borderId="0" xfId="0" applyNumberFormat="1" applyFont="1" applyFill="1"/>
    <xf numFmtId="2" fontId="18" fillId="0" borderId="0" xfId="0" applyNumberFormat="1" applyFont="1"/>
    <xf numFmtId="171" fontId="0" fillId="0" borderId="0" xfId="9" applyNumberFormat="1" applyFont="1"/>
    <xf numFmtId="10" fontId="0" fillId="0" borderId="0" xfId="3" applyNumberFormat="1" applyFont="1" applyFill="1" applyBorder="1"/>
    <xf numFmtId="168" fontId="41" fillId="20" borderId="0" xfId="0" applyNumberFormat="1" applyFont="1" applyFill="1"/>
    <xf numFmtId="168" fontId="41" fillId="20" borderId="0" xfId="7" applyNumberFormat="1" applyFont="1" applyFill="1" applyBorder="1"/>
    <xf numFmtId="168" fontId="41" fillId="20" borderId="1" xfId="7" applyNumberFormat="1" applyFont="1" applyFill="1" applyBorder="1"/>
    <xf numFmtId="168" fontId="39" fillId="20" borderId="0" xfId="0" applyNumberFormat="1" applyFont="1" applyFill="1"/>
    <xf numFmtId="168" fontId="39" fillId="20" borderId="1" xfId="0" applyNumberFormat="1" applyFont="1" applyFill="1" applyBorder="1"/>
    <xf numFmtId="168" fontId="39" fillId="20" borderId="0" xfId="7" applyNumberFormat="1" applyFont="1" applyFill="1" applyBorder="1"/>
    <xf numFmtId="168" fontId="39" fillId="20" borderId="1" xfId="7" applyNumberFormat="1" applyFont="1" applyFill="1" applyBorder="1"/>
    <xf numFmtId="168" fontId="39" fillId="20" borderId="2" xfId="7" applyNumberFormat="1" applyFont="1" applyFill="1" applyBorder="1"/>
    <xf numFmtId="168" fontId="39" fillId="20" borderId="3" xfId="7" applyNumberFormat="1" applyFont="1" applyFill="1" applyBorder="1"/>
    <xf numFmtId="168" fontId="40" fillId="20" borderId="31" xfId="0" applyNumberFormat="1" applyFont="1" applyFill="1" applyBorder="1"/>
    <xf numFmtId="168" fontId="40" fillId="20" borderId="32" xfId="0" applyNumberFormat="1" applyFont="1" applyFill="1" applyBorder="1"/>
    <xf numFmtId="168" fontId="40" fillId="0" borderId="31" xfId="0" applyNumberFormat="1" applyFont="1" applyBorder="1"/>
    <xf numFmtId="168" fontId="40" fillId="0" borderId="32" xfId="0" applyNumberFormat="1" applyFont="1" applyBorder="1"/>
    <xf numFmtId="180" fontId="0" fillId="0" borderId="0" xfId="0" applyNumberFormat="1"/>
    <xf numFmtId="165" fontId="0" fillId="16" borderId="31" xfId="0" applyNumberFormat="1" applyFill="1" applyBorder="1"/>
    <xf numFmtId="168" fontId="41" fillId="20" borderId="1" xfId="0" applyNumberFormat="1" applyFont="1" applyFill="1" applyBorder="1"/>
    <xf numFmtId="168" fontId="39" fillId="0" borderId="0" xfId="0" applyNumberFormat="1" applyFont="1"/>
    <xf numFmtId="171" fontId="1" fillId="0" borderId="0" xfId="9" applyNumberFormat="1" applyFont="1" applyFill="1"/>
    <xf numFmtId="43" fontId="0" fillId="15" borderId="1" xfId="9" applyFont="1" applyFill="1" applyBorder="1"/>
    <xf numFmtId="170" fontId="13" fillId="0" borderId="8" xfId="0" applyNumberFormat="1" applyFont="1" applyBorder="1"/>
    <xf numFmtId="167" fontId="0" fillId="0" borderId="1" xfId="0" applyNumberFormat="1" applyBorder="1"/>
    <xf numFmtId="171" fontId="0" fillId="0" borderId="1" xfId="9" applyNumberFormat="1" applyFont="1" applyBorder="1"/>
    <xf numFmtId="167" fontId="0" fillId="0" borderId="3" xfId="3" applyNumberFormat="1" applyFont="1" applyBorder="1"/>
    <xf numFmtId="10" fontId="0" fillId="0" borderId="1" xfId="3" applyNumberFormat="1" applyFont="1" applyFill="1" applyBorder="1"/>
    <xf numFmtId="166" fontId="0" fillId="0" borderId="1" xfId="0" applyNumberFormat="1" applyBorder="1"/>
    <xf numFmtId="165" fontId="0" fillId="0" borderId="1" xfId="0" applyNumberFormat="1" applyBorder="1"/>
    <xf numFmtId="168" fontId="1" fillId="0" borderId="0" xfId="2" applyNumberFormat="1"/>
    <xf numFmtId="0" fontId="33" fillId="8" borderId="7" xfId="0" applyFont="1" applyFill="1" applyBorder="1"/>
    <xf numFmtId="0" fontId="33" fillId="8" borderId="8" xfId="0" applyFont="1" applyFill="1" applyBorder="1"/>
    <xf numFmtId="0" fontId="33" fillId="8" borderId="0" xfId="0" applyFont="1" applyFill="1"/>
    <xf numFmtId="49" fontId="13" fillId="9" borderId="4" xfId="0" applyNumberFormat="1" applyFont="1" applyFill="1" applyBorder="1"/>
    <xf numFmtId="3" fontId="13" fillId="5" borderId="0" xfId="0" applyNumberFormat="1" applyFont="1" applyFill="1"/>
    <xf numFmtId="3" fontId="13" fillId="5" borderId="1" xfId="0" applyNumberFormat="1" applyFont="1" applyFill="1" applyBorder="1"/>
    <xf numFmtId="3" fontId="35" fillId="5" borderId="0" xfId="0" applyNumberFormat="1" applyFont="1" applyFill="1"/>
    <xf numFmtId="3" fontId="35" fillId="5" borderId="1" xfId="0" applyNumberFormat="1" applyFont="1" applyFill="1" applyBorder="1"/>
    <xf numFmtId="3" fontId="0" fillId="5" borderId="0" xfId="0" applyNumberFormat="1" applyFill="1"/>
    <xf numFmtId="3" fontId="0" fillId="5" borderId="1" xfId="0" applyNumberFormat="1" applyFill="1" applyBorder="1"/>
    <xf numFmtId="10" fontId="0" fillId="0" borderId="0" xfId="8" applyNumberFormat="1" applyFont="1" applyBorder="1"/>
    <xf numFmtId="10" fontId="0" fillId="5" borderId="0" xfId="0" applyNumberFormat="1" applyFill="1"/>
    <xf numFmtId="10" fontId="0" fillId="5" borderId="0" xfId="8" applyNumberFormat="1" applyFont="1" applyFill="1" applyBorder="1"/>
    <xf numFmtId="49" fontId="15" fillId="0" borderId="4" xfId="0" applyNumberFormat="1" applyFont="1" applyBorder="1"/>
    <xf numFmtId="49" fontId="13" fillId="9" borderId="6" xfId="0" applyNumberFormat="1" applyFont="1" applyFill="1" applyBorder="1"/>
    <xf numFmtId="3" fontId="13" fillId="5" borderId="7" xfId="0" applyNumberFormat="1" applyFont="1" applyFill="1" applyBorder="1"/>
    <xf numFmtId="3" fontId="13" fillId="5" borderId="8" xfId="0" applyNumberFormat="1" applyFont="1" applyFill="1" applyBorder="1"/>
    <xf numFmtId="178" fontId="0" fillId="0" borderId="0" xfId="0" applyNumberFormat="1"/>
    <xf numFmtId="178" fontId="0" fillId="0" borderId="1" xfId="0" applyNumberFormat="1" applyBorder="1"/>
    <xf numFmtId="9" fontId="0" fillId="0" borderId="1" xfId="0" applyNumberFormat="1" applyBorder="1"/>
    <xf numFmtId="10" fontId="0" fillId="5" borderId="1" xfId="0" applyNumberFormat="1" applyFill="1" applyBorder="1"/>
    <xf numFmtId="10" fontId="0" fillId="0" borderId="2" xfId="8" applyNumberFormat="1" applyFont="1" applyBorder="1"/>
    <xf numFmtId="10" fontId="0" fillId="5" borderId="2" xfId="0" applyNumberFormat="1" applyFill="1" applyBorder="1"/>
    <xf numFmtId="10" fontId="0" fillId="5" borderId="3" xfId="0" applyNumberFormat="1" applyFill="1" applyBorder="1"/>
    <xf numFmtId="168" fontId="13" fillId="0" borderId="7" xfId="0" applyNumberFormat="1" applyFont="1" applyBorder="1"/>
    <xf numFmtId="168" fontId="1" fillId="0" borderId="7" xfId="0" applyNumberFormat="1" applyFont="1" applyBorder="1"/>
    <xf numFmtId="171" fontId="0" fillId="0" borderId="0" xfId="9" applyNumberFormat="1" applyFont="1" applyBorder="1"/>
    <xf numFmtId="1" fontId="0" fillId="6" borderId="0" xfId="0" applyNumberFormat="1" applyFill="1"/>
    <xf numFmtId="3" fontId="18" fillId="6" borderId="0" xfId="0" applyNumberFormat="1" applyFont="1" applyFill="1"/>
    <xf numFmtId="38" fontId="1" fillId="0" borderId="1" xfId="2" applyNumberFormat="1" applyBorder="1" applyAlignment="1">
      <alignment horizontal="right" vertical="center"/>
    </xf>
    <xf numFmtId="38" fontId="1" fillId="0" borderId="1" xfId="2" applyNumberFormat="1" applyBorder="1" applyAlignment="1">
      <alignment horizontal="right" vertical="center" wrapText="1"/>
    </xf>
    <xf numFmtId="38" fontId="1" fillId="0" borderId="1" xfId="2" applyNumberFormat="1" applyBorder="1" applyAlignment="1">
      <alignment horizontal="center" vertical="center" wrapText="1"/>
    </xf>
    <xf numFmtId="38" fontId="1" fillId="0" borderId="1" xfId="2" applyNumberFormat="1" applyFill="1" applyBorder="1"/>
    <xf numFmtId="38" fontId="1" fillId="0" borderId="3" xfId="2" applyNumberFormat="1" applyBorder="1" applyAlignment="1">
      <alignment vertical="center" wrapText="1"/>
    </xf>
    <xf numFmtId="0" fontId="46" fillId="0" borderId="0" xfId="0" applyFont="1"/>
    <xf numFmtId="0" fontId="44" fillId="2" borderId="0" xfId="5" applyFont="1" applyFill="1"/>
    <xf numFmtId="0" fontId="43" fillId="7" borderId="6" xfId="5" applyFont="1" applyFill="1" applyBorder="1"/>
    <xf numFmtId="0" fontId="43" fillId="8" borderId="7" xfId="5" applyFont="1" applyFill="1" applyBorder="1"/>
    <xf numFmtId="0" fontId="44" fillId="2" borderId="4" xfId="5" applyFont="1" applyFill="1" applyBorder="1"/>
    <xf numFmtId="168" fontId="39" fillId="2" borderId="0" xfId="7" applyNumberFormat="1" applyFont="1" applyFill="1" applyBorder="1" applyAlignment="1">
      <alignment horizontal="center" vertical="center"/>
    </xf>
    <xf numFmtId="168" fontId="39" fillId="2" borderId="1" xfId="7" applyNumberFormat="1" applyFont="1" applyFill="1" applyBorder="1" applyAlignment="1">
      <alignment horizontal="center" vertical="center"/>
    </xf>
    <xf numFmtId="0" fontId="42" fillId="2" borderId="4" xfId="5" applyFont="1" applyFill="1" applyBorder="1" applyAlignment="1">
      <alignment horizontal="left" indent="1"/>
    </xf>
    <xf numFmtId="168" fontId="42" fillId="2" borderId="0" xfId="7" applyNumberFormat="1" applyFont="1" applyFill="1" applyBorder="1"/>
    <xf numFmtId="168" fontId="42" fillId="2" borderId="1" xfId="7" applyNumberFormat="1" applyFont="1" applyFill="1" applyBorder="1"/>
    <xf numFmtId="0" fontId="41" fillId="2" borderId="4" xfId="0" applyFont="1" applyFill="1" applyBorder="1"/>
    <xf numFmtId="168" fontId="46" fillId="0" borderId="0" xfId="0" applyNumberFormat="1" applyFont="1"/>
    <xf numFmtId="10" fontId="42" fillId="2" borderId="0" xfId="7" applyNumberFormat="1" applyFont="1" applyFill="1" applyBorder="1"/>
    <xf numFmtId="10" fontId="42" fillId="2" borderId="1" xfId="7" applyNumberFormat="1" applyFont="1" applyFill="1" applyBorder="1"/>
    <xf numFmtId="10" fontId="47" fillId="2" borderId="0" xfId="8" applyNumberFormat="1" applyFont="1" applyFill="1" applyBorder="1"/>
    <xf numFmtId="0" fontId="39" fillId="2" borderId="4" xfId="5" applyFill="1" applyBorder="1" applyAlignment="1">
      <alignment horizontal="left"/>
    </xf>
    <xf numFmtId="176" fontId="42" fillId="2" borderId="0" xfId="7" applyNumberFormat="1" applyFont="1" applyFill="1" applyBorder="1"/>
    <xf numFmtId="176" fontId="42" fillId="2" borderId="1" xfId="7" applyNumberFormat="1" applyFont="1" applyFill="1" applyBorder="1"/>
    <xf numFmtId="166" fontId="41" fillId="2" borderId="0" xfId="8" applyNumberFormat="1" applyFont="1" applyFill="1" applyBorder="1"/>
    <xf numFmtId="167" fontId="42" fillId="2" borderId="0" xfId="7" applyNumberFormat="1" applyFont="1" applyFill="1" applyBorder="1"/>
    <xf numFmtId="10" fontId="47" fillId="2" borderId="1" xfId="8" applyNumberFormat="1" applyFont="1" applyFill="1" applyBorder="1"/>
    <xf numFmtId="4" fontId="39" fillId="2" borderId="0" xfId="8" applyNumberFormat="1" applyFont="1" applyFill="1" applyBorder="1"/>
    <xf numFmtId="4" fontId="39" fillId="2" borderId="1" xfId="8" applyNumberFormat="1" applyFont="1" applyFill="1" applyBorder="1"/>
    <xf numFmtId="0" fontId="40" fillId="2" borderId="4" xfId="5" applyFont="1" applyFill="1" applyBorder="1"/>
    <xf numFmtId="0" fontId="41" fillId="22" borderId="0" xfId="0" applyFont="1" applyFill="1"/>
    <xf numFmtId="0" fontId="42" fillId="22" borderId="4" xfId="5" applyFont="1" applyFill="1" applyBorder="1" applyAlignment="1">
      <alignment horizontal="left" indent="1"/>
    </xf>
    <xf numFmtId="168" fontId="42" fillId="22" borderId="0" xfId="7" applyNumberFormat="1" applyFont="1" applyFill="1" applyBorder="1"/>
    <xf numFmtId="167" fontId="42" fillId="22" borderId="0" xfId="7" applyNumberFormat="1" applyFont="1" applyFill="1" applyBorder="1"/>
    <xf numFmtId="168" fontId="42" fillId="22" borderId="1" xfId="7" applyNumberFormat="1" applyFont="1" applyFill="1" applyBorder="1"/>
    <xf numFmtId="0" fontId="46" fillId="22" borderId="0" xfId="0" applyFont="1" applyFill="1"/>
    <xf numFmtId="9" fontId="41" fillId="0" borderId="0" xfId="8" applyFont="1"/>
    <xf numFmtId="9" fontId="42" fillId="2" borderId="4" xfId="8" applyFont="1" applyFill="1" applyBorder="1" applyAlignment="1">
      <alignment horizontal="left" indent="1"/>
    </xf>
    <xf numFmtId="9" fontId="42" fillId="2" borderId="0" xfId="8" applyFont="1" applyFill="1" applyBorder="1"/>
    <xf numFmtId="9" fontId="42" fillId="2" borderId="1" xfId="8" applyFont="1" applyFill="1" applyBorder="1"/>
    <xf numFmtId="9" fontId="46" fillId="0" borderId="0" xfId="8" applyFont="1" applyFill="1"/>
    <xf numFmtId="9" fontId="46" fillId="0" borderId="0" xfId="8" applyFont="1"/>
    <xf numFmtId="0" fontId="39" fillId="2" borderId="5" xfId="5" applyFill="1" applyBorder="1" applyAlignment="1">
      <alignment horizontal="left"/>
    </xf>
    <xf numFmtId="168" fontId="42" fillId="2" borderId="2" xfId="7" applyNumberFormat="1" applyFont="1" applyFill="1" applyBorder="1"/>
    <xf numFmtId="168" fontId="42" fillId="2" borderId="3" xfId="7" applyNumberFormat="1" applyFont="1" applyFill="1" applyBorder="1"/>
    <xf numFmtId="0" fontId="39" fillId="2" borderId="0" xfId="5" applyFill="1" applyAlignment="1">
      <alignment horizontal="left"/>
    </xf>
    <xf numFmtId="4" fontId="45" fillId="2" borderId="0" xfId="8" applyNumberFormat="1" applyFont="1" applyFill="1" applyBorder="1"/>
    <xf numFmtId="4" fontId="41" fillId="2" borderId="0" xfId="8" applyNumberFormat="1" applyFont="1" applyFill="1" applyBorder="1"/>
    <xf numFmtId="4" fontId="41" fillId="2" borderId="1" xfId="8" applyNumberFormat="1" applyFont="1" applyFill="1" applyBorder="1"/>
    <xf numFmtId="3" fontId="41" fillId="2" borderId="0" xfId="8" applyNumberFormat="1" applyFont="1" applyFill="1" applyBorder="1"/>
    <xf numFmtId="10" fontId="45" fillId="2" borderId="0" xfId="8" applyNumberFormat="1" applyFont="1" applyFill="1" applyBorder="1"/>
    <xf numFmtId="168" fontId="39" fillId="2" borderId="0" xfId="7" applyNumberFormat="1" applyFont="1" applyFill="1" applyAlignment="1">
      <alignment horizontal="center" vertical="center"/>
    </xf>
    <xf numFmtId="168" fontId="39" fillId="2" borderId="0" xfId="7" applyNumberFormat="1" applyFont="1" applyFill="1"/>
    <xf numFmtId="0" fontId="44" fillId="0" borderId="4" xfId="5" applyFont="1" applyBorder="1"/>
    <xf numFmtId="0" fontId="43" fillId="0" borderId="0" xfId="5" applyFont="1"/>
    <xf numFmtId="168" fontId="39" fillId="0" borderId="0" xfId="7" applyNumberFormat="1" applyFont="1" applyFill="1" applyBorder="1" applyAlignment="1">
      <alignment horizontal="center" vertical="center"/>
    </xf>
    <xf numFmtId="168" fontId="39" fillId="0" borderId="0" xfId="7" applyNumberFormat="1" applyFont="1" applyFill="1" applyBorder="1"/>
    <xf numFmtId="168" fontId="39" fillId="0" borderId="1" xfId="7" applyNumberFormat="1" applyFont="1" applyFill="1" applyBorder="1"/>
    <xf numFmtId="0" fontId="39" fillId="2" borderId="4" xfId="5" applyFill="1" applyBorder="1"/>
    <xf numFmtId="170" fontId="39" fillId="2" borderId="0" xfId="7" applyNumberFormat="1" applyFont="1" applyFill="1" applyBorder="1" applyAlignment="1">
      <alignment horizontal="center" vertical="center"/>
    </xf>
    <xf numFmtId="170" fontId="39" fillId="2" borderId="1" xfId="7" applyNumberFormat="1" applyFont="1" applyFill="1" applyBorder="1" applyAlignment="1">
      <alignment horizontal="center" vertical="center"/>
    </xf>
    <xf numFmtId="168" fontId="46" fillId="0" borderId="0" xfId="7" applyNumberFormat="1" applyFont="1" applyFill="1" applyBorder="1"/>
    <xf numFmtId="170" fontId="42" fillId="2" borderId="0" xfId="5" applyNumberFormat="1" applyFont="1" applyFill="1" applyAlignment="1">
      <alignment horizontal="left" indent="1"/>
    </xf>
    <xf numFmtId="170" fontId="42" fillId="2" borderId="1" xfId="5" applyNumberFormat="1" applyFont="1" applyFill="1" applyBorder="1" applyAlignment="1">
      <alignment horizontal="left" indent="1"/>
    </xf>
    <xf numFmtId="168" fontId="74" fillId="0" borderId="0" xfId="7" applyNumberFormat="1" applyFont="1" applyFill="1" applyBorder="1"/>
    <xf numFmtId="168" fontId="49" fillId="0" borderId="0" xfId="7" applyNumberFormat="1" applyFont="1" applyFill="1" applyBorder="1"/>
    <xf numFmtId="10" fontId="74" fillId="0" borderId="0" xfId="8" applyNumberFormat="1" applyFont="1" applyFill="1" applyBorder="1"/>
    <xf numFmtId="4" fontId="40" fillId="21" borderId="0" xfId="8" applyNumberFormat="1" applyFont="1" applyFill="1" applyBorder="1"/>
    <xf numFmtId="4" fontId="46" fillId="0" borderId="0" xfId="8" applyNumberFormat="1" applyFont="1" applyFill="1"/>
    <xf numFmtId="0" fontId="42" fillId="2" borderId="0" xfId="5" applyFont="1" applyFill="1" applyAlignment="1">
      <alignment horizontal="left" indent="1"/>
    </xf>
    <xf numFmtId="9" fontId="48" fillId="0" borderId="0" xfId="0" applyNumberFormat="1" applyFont="1"/>
    <xf numFmtId="0" fontId="39" fillId="22" borderId="0" xfId="0" applyFont="1" applyFill="1"/>
    <xf numFmtId="0" fontId="39" fillId="22" borderId="4" xfId="5" applyFill="1" applyBorder="1"/>
    <xf numFmtId="168" fontId="39" fillId="22" borderId="0" xfId="7" applyNumberFormat="1" applyFont="1" applyFill="1" applyBorder="1" applyAlignment="1">
      <alignment horizontal="center" vertical="center"/>
    </xf>
    <xf numFmtId="168" fontId="39" fillId="22" borderId="1" xfId="7" applyNumberFormat="1" applyFont="1" applyFill="1" applyBorder="1" applyAlignment="1">
      <alignment horizontal="center" vertical="center"/>
    </xf>
    <xf numFmtId="168" fontId="39" fillId="22" borderId="0" xfId="0" applyNumberFormat="1" applyFont="1" applyFill="1"/>
    <xf numFmtId="167" fontId="39" fillId="0" borderId="0" xfId="8" applyNumberFormat="1" applyFont="1" applyFill="1" applyBorder="1"/>
    <xf numFmtId="168" fontId="75" fillId="2" borderId="0" xfId="7" applyNumberFormat="1" applyFont="1" applyFill="1" applyBorder="1"/>
    <xf numFmtId="168" fontId="75" fillId="2" borderId="1" xfId="7" applyNumberFormat="1" applyFont="1" applyFill="1" applyBorder="1"/>
    <xf numFmtId="0" fontId="41" fillId="2" borderId="0" xfId="0" applyFont="1" applyFill="1"/>
    <xf numFmtId="0" fontId="44" fillId="2" borderId="4" xfId="5" applyFont="1" applyFill="1" applyBorder="1" applyAlignment="1">
      <alignment horizontal="left"/>
    </xf>
    <xf numFmtId="4" fontId="48" fillId="0" borderId="1" xfId="8" applyNumberFormat="1" applyFont="1" applyFill="1" applyBorder="1"/>
    <xf numFmtId="4" fontId="48" fillId="0" borderId="0" xfId="8" applyNumberFormat="1" applyFont="1" applyFill="1" applyBorder="1"/>
    <xf numFmtId="0" fontId="46" fillId="0" borderId="5" xfId="0" applyFont="1" applyBorder="1"/>
    <xf numFmtId="0" fontId="46" fillId="0" borderId="2" xfId="0" applyFont="1" applyBorder="1"/>
    <xf numFmtId="0" fontId="46" fillId="0" borderId="3" xfId="0" applyFont="1" applyBorder="1"/>
    <xf numFmtId="0" fontId="46" fillId="0" borderId="1" xfId="0" applyFont="1" applyBorder="1"/>
    <xf numFmtId="0" fontId="46" fillId="0" borderId="7" xfId="0" applyFont="1" applyBorder="1"/>
    <xf numFmtId="0" fontId="76" fillId="0" borderId="0" xfId="0" applyFont="1"/>
    <xf numFmtId="0" fontId="76" fillId="0" borderId="1" xfId="0" applyFont="1" applyBorder="1"/>
    <xf numFmtId="0" fontId="40" fillId="2" borderId="0" xfId="5" applyFont="1" applyFill="1" applyAlignment="1">
      <alignment horizontal="left"/>
    </xf>
    <xf numFmtId="167" fontId="41" fillId="0" borderId="0" xfId="0" applyNumberFormat="1" applyFont="1" applyAlignment="1">
      <alignment horizontal="center"/>
    </xf>
    <xf numFmtId="1" fontId="41" fillId="0" borderId="0" xfId="0" applyNumberFormat="1" applyFont="1" applyAlignment="1">
      <alignment horizontal="center"/>
    </xf>
    <xf numFmtId="1" fontId="41" fillId="0" borderId="1" xfId="0" applyNumberFormat="1" applyFont="1" applyBorder="1" applyAlignment="1">
      <alignment horizontal="center"/>
    </xf>
    <xf numFmtId="1" fontId="41" fillId="0" borderId="2" xfId="0" applyNumberFormat="1" applyFont="1" applyBorder="1" applyAlignment="1">
      <alignment horizontal="center"/>
    </xf>
    <xf numFmtId="0" fontId="43" fillId="23" borderId="6" xfId="5" applyFont="1" applyFill="1" applyBorder="1"/>
    <xf numFmtId="9" fontId="43" fillId="24" borderId="7" xfId="5" applyNumberFormat="1" applyFont="1" applyFill="1" applyBorder="1"/>
    <xf numFmtId="0" fontId="43" fillId="24" borderId="7" xfId="5" applyFont="1" applyFill="1" applyBorder="1"/>
    <xf numFmtId="168" fontId="39" fillId="24" borderId="7" xfId="7" applyNumberFormat="1" applyFont="1" applyFill="1" applyBorder="1" applyAlignment="1">
      <alignment horizontal="center" vertical="center"/>
    </xf>
    <xf numFmtId="168" fontId="39" fillId="24" borderId="7" xfId="7" applyNumberFormat="1" applyFont="1" applyFill="1" applyBorder="1"/>
    <xf numFmtId="168" fontId="39" fillId="24" borderId="8" xfId="7" applyNumberFormat="1" applyFont="1" applyFill="1" applyBorder="1"/>
    <xf numFmtId="168" fontId="39" fillId="24" borderId="0" xfId="7" applyNumberFormat="1" applyFont="1" applyFill="1" applyBorder="1"/>
    <xf numFmtId="0" fontId="34" fillId="0" borderId="4" xfId="0" applyFont="1" applyBorder="1"/>
    <xf numFmtId="168" fontId="41" fillId="0" borderId="0" xfId="0" applyNumberFormat="1" applyFont="1" applyAlignment="1">
      <alignment horizontal="center"/>
    </xf>
    <xf numFmtId="168" fontId="41" fillId="0" borderId="1" xfId="0" applyNumberFormat="1" applyFont="1" applyBorder="1" applyAlignment="1">
      <alignment horizontal="center"/>
    </xf>
    <xf numFmtId="0" fontId="43" fillId="8" borderId="0" xfId="0" applyFont="1" applyFill="1"/>
    <xf numFmtId="10" fontId="41" fillId="0" borderId="0" xfId="8" applyNumberFormat="1" applyFont="1" applyBorder="1"/>
    <xf numFmtId="10" fontId="41" fillId="0" borderId="1" xfId="8" applyNumberFormat="1" applyFont="1" applyBorder="1"/>
    <xf numFmtId="0" fontId="74" fillId="0" borderId="0" xfId="0" applyFont="1"/>
    <xf numFmtId="165" fontId="74" fillId="0" borderId="0" xfId="0" applyNumberFormat="1" applyFont="1"/>
    <xf numFmtId="0" fontId="41" fillId="0" borderId="4" xfId="0" applyFont="1" applyBorder="1" applyAlignment="1">
      <alignment horizontal="left" indent="1"/>
    </xf>
    <xf numFmtId="164" fontId="41" fillId="0" borderId="0" xfId="0" applyNumberFormat="1" applyFont="1" applyAlignment="1">
      <alignment horizontal="center"/>
    </xf>
    <xf numFmtId="168" fontId="46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68" fontId="34" fillId="0" borderId="1" xfId="0" applyNumberFormat="1" applyFont="1" applyBorder="1" applyAlignment="1">
      <alignment horizontal="center"/>
    </xf>
    <xf numFmtId="168" fontId="34" fillId="25" borderId="0" xfId="0" applyNumberFormat="1" applyFont="1" applyFill="1" applyAlignment="1">
      <alignment horizontal="center"/>
    </xf>
    <xf numFmtId="10" fontId="41" fillId="0" borderId="0" xfId="8" applyNumberFormat="1" applyFont="1" applyFill="1" applyBorder="1"/>
    <xf numFmtId="10" fontId="41" fillId="0" borderId="1" xfId="8" applyNumberFormat="1" applyFont="1" applyFill="1" applyBorder="1"/>
    <xf numFmtId="164" fontId="41" fillId="0" borderId="1" xfId="0" applyNumberFormat="1" applyFont="1" applyBorder="1" applyAlignment="1">
      <alignment horizontal="center"/>
    </xf>
    <xf numFmtId="164" fontId="34" fillId="0" borderId="0" xfId="0" applyNumberFormat="1" applyFont="1" applyAlignment="1">
      <alignment horizontal="center"/>
    </xf>
    <xf numFmtId="164" fontId="34" fillId="0" borderId="1" xfId="0" applyNumberFormat="1" applyFont="1" applyBorder="1" applyAlignment="1">
      <alignment horizontal="center"/>
    </xf>
    <xf numFmtId="164" fontId="34" fillId="25" borderId="0" xfId="0" applyNumberFormat="1" applyFont="1" applyFill="1" applyAlignment="1">
      <alignment horizontal="center"/>
    </xf>
    <xf numFmtId="0" fontId="41" fillId="0" borderId="4" xfId="0" applyFont="1" applyBorder="1"/>
    <xf numFmtId="0" fontId="41" fillId="0" borderId="0" xfId="0" applyFont="1" applyAlignment="1">
      <alignment horizontal="center"/>
    </xf>
    <xf numFmtId="168" fontId="41" fillId="0" borderId="0" xfId="7" applyNumberFormat="1" applyFont="1" applyFill="1" applyBorder="1" applyAlignment="1">
      <alignment horizontal="center"/>
    </xf>
    <xf numFmtId="168" fontId="41" fillId="0" borderId="0" xfId="7" applyNumberFormat="1" applyFont="1" applyBorder="1" applyAlignment="1">
      <alignment horizontal="center"/>
    </xf>
    <xf numFmtId="168" fontId="41" fillId="0" borderId="1" xfId="7" applyNumberFormat="1" applyFont="1" applyBorder="1" applyAlignment="1">
      <alignment horizontal="center"/>
    </xf>
    <xf numFmtId="164" fontId="48" fillId="0" borderId="0" xfId="7" applyFont="1" applyFill="1" applyBorder="1" applyAlignment="1">
      <alignment horizontal="center"/>
    </xf>
    <xf numFmtId="164" fontId="48" fillId="0" borderId="1" xfId="7" applyFont="1" applyFill="1" applyBorder="1" applyAlignment="1">
      <alignment horizontal="center"/>
    </xf>
    <xf numFmtId="164" fontId="48" fillId="16" borderId="0" xfId="7" applyFont="1" applyFill="1" applyBorder="1" applyAlignment="1">
      <alignment horizontal="center"/>
    </xf>
    <xf numFmtId="164" fontId="46" fillId="0" borderId="0" xfId="7" applyFont="1" applyFill="1" applyBorder="1" applyAlignment="1">
      <alignment horizontal="center"/>
    </xf>
    <xf numFmtId="0" fontId="41" fillId="0" borderId="5" xfId="0" applyFont="1" applyBorder="1" applyAlignment="1">
      <alignment horizontal="left" indent="1"/>
    </xf>
    <xf numFmtId="0" fontId="41" fillId="0" borderId="2" xfId="0" applyFont="1" applyBorder="1" applyAlignment="1">
      <alignment horizontal="left" indent="1"/>
    </xf>
    <xf numFmtId="4" fontId="48" fillId="0" borderId="2" xfId="0" applyNumberFormat="1" applyFont="1" applyBorder="1"/>
    <xf numFmtId="4" fontId="48" fillId="0" borderId="3" xfId="0" applyNumberFormat="1" applyFont="1" applyBorder="1"/>
    <xf numFmtId="4" fontId="48" fillId="16" borderId="2" xfId="0" applyNumberFormat="1" applyFont="1" applyFill="1" applyBorder="1"/>
    <xf numFmtId="0" fontId="39" fillId="0" borderId="0" xfId="5" applyAlignment="1">
      <alignment horizontal="left"/>
    </xf>
    <xf numFmtId="4" fontId="39" fillId="0" borderId="0" xfId="8" applyNumberFormat="1" applyFont="1" applyFill="1" applyBorder="1"/>
    <xf numFmtId="4" fontId="45" fillId="0" borderId="0" xfId="8" applyNumberFormat="1" applyFont="1" applyFill="1" applyBorder="1"/>
    <xf numFmtId="4" fontId="41" fillId="0" borderId="0" xfId="8" applyNumberFormat="1" applyFont="1" applyFill="1" applyBorder="1"/>
    <xf numFmtId="168" fontId="41" fillId="0" borderId="0" xfId="8" applyNumberFormat="1" applyFont="1"/>
    <xf numFmtId="168" fontId="41" fillId="0" borderId="0" xfId="8" applyNumberFormat="1" applyFont="1" applyBorder="1"/>
    <xf numFmtId="168" fontId="41" fillId="0" borderId="1" xfId="8" applyNumberFormat="1" applyFont="1" applyBorder="1"/>
    <xf numFmtId="10" fontId="41" fillId="0" borderId="0" xfId="8" applyNumberFormat="1" applyFont="1"/>
    <xf numFmtId="0" fontId="43" fillId="7" borderId="6" xfId="5" applyFont="1" applyFill="1" applyBorder="1" applyAlignment="1">
      <alignment horizontal="left"/>
    </xf>
    <xf numFmtId="0" fontId="43" fillId="8" borderId="7" xfId="5" applyFont="1" applyFill="1" applyBorder="1" applyAlignment="1">
      <alignment horizontal="left"/>
    </xf>
    <xf numFmtId="0" fontId="41" fillId="8" borderId="7" xfId="0" applyFont="1" applyFill="1" applyBorder="1"/>
    <xf numFmtId="0" fontId="41" fillId="8" borderId="0" xfId="0" applyFont="1" applyFill="1"/>
    <xf numFmtId="0" fontId="41" fillId="8" borderId="8" xfId="0" applyFont="1" applyFill="1" applyBorder="1"/>
    <xf numFmtId="0" fontId="34" fillId="0" borderId="4" xfId="0" applyFont="1" applyBorder="1" applyAlignment="1">
      <alignment horizontal="left"/>
    </xf>
    <xf numFmtId="0" fontId="34" fillId="0" borderId="0" xfId="0" applyFont="1" applyAlignment="1">
      <alignment horizontal="left"/>
    </xf>
    <xf numFmtId="4" fontId="34" fillId="0" borderId="0" xfId="0" applyNumberFormat="1" applyFont="1" applyAlignment="1">
      <alignment horizontal="left"/>
    </xf>
    <xf numFmtId="168" fontId="34" fillId="0" borderId="0" xfId="7" applyNumberFormat="1" applyFont="1" applyBorder="1"/>
    <xf numFmtId="168" fontId="48" fillId="16" borderId="0" xfId="0" applyNumberFormat="1" applyFont="1" applyFill="1"/>
    <xf numFmtId="168" fontId="34" fillId="0" borderId="0" xfId="0" applyNumberFormat="1" applyFont="1"/>
    <xf numFmtId="168" fontId="34" fillId="0" borderId="1" xfId="0" applyNumberFormat="1" applyFont="1" applyBorder="1"/>
    <xf numFmtId="0" fontId="34" fillId="0" borderId="5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168" fontId="77" fillId="0" borderId="2" xfId="7" applyNumberFormat="1" applyFont="1" applyBorder="1"/>
    <xf numFmtId="168" fontId="40" fillId="0" borderId="2" xfId="7" applyNumberFormat="1" applyFont="1" applyBorder="1"/>
    <xf numFmtId="168" fontId="40" fillId="0" borderId="3" xfId="7" applyNumberFormat="1" applyFont="1" applyBorder="1"/>
    <xf numFmtId="0" fontId="35" fillId="0" borderId="0" xfId="0" applyFont="1"/>
    <xf numFmtId="0" fontId="35" fillId="0" borderId="1" xfId="0" applyFont="1" applyBorder="1"/>
    <xf numFmtId="0" fontId="16" fillId="0" borderId="0" xfId="0" applyFont="1"/>
    <xf numFmtId="9" fontId="16" fillId="0" borderId="0" xfId="8" applyFont="1"/>
    <xf numFmtId="9" fontId="16" fillId="0" borderId="0" xfId="8" applyFont="1" applyBorder="1"/>
    <xf numFmtId="0" fontId="1" fillId="0" borderId="1" xfId="0" applyFont="1" applyBorder="1"/>
    <xf numFmtId="0" fontId="36" fillId="0" borderId="33" xfId="0" applyFont="1" applyBorder="1"/>
    <xf numFmtId="49" fontId="13" fillId="0" borderId="10" xfId="0" applyNumberFormat="1" applyFont="1" applyBorder="1"/>
    <xf numFmtId="166" fontId="13" fillId="0" borderId="0" xfId="0" applyNumberFormat="1" applyFont="1"/>
    <xf numFmtId="166" fontId="13" fillId="0" borderId="1" xfId="0" applyNumberFormat="1" applyFont="1" applyBorder="1"/>
    <xf numFmtId="164" fontId="0" fillId="22" borderId="0" xfId="0" applyNumberFormat="1" applyFill="1"/>
    <xf numFmtId="164" fontId="35" fillId="0" borderId="0" xfId="0" applyNumberFormat="1" applyFont="1"/>
    <xf numFmtId="164" fontId="35" fillId="0" borderId="1" xfId="0" applyNumberFormat="1" applyFont="1" applyBorder="1"/>
    <xf numFmtId="0" fontId="0" fillId="0" borderId="10" xfId="0" applyBorder="1"/>
    <xf numFmtId="0" fontId="72" fillId="0" borderId="10" xfId="0" applyFon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49" fontId="13" fillId="0" borderId="33" xfId="0" applyNumberFormat="1" applyFont="1" applyBorder="1"/>
    <xf numFmtId="0" fontId="0" fillId="0" borderId="11" xfId="0" applyBorder="1"/>
    <xf numFmtId="164" fontId="0" fillId="22" borderId="2" xfId="0" applyNumberFormat="1" applyFill="1" applyBorder="1"/>
    <xf numFmtId="164" fontId="1" fillId="22" borderId="2" xfId="0" applyNumberFormat="1" applyFont="1" applyFill="1" applyBorder="1"/>
    <xf numFmtId="164" fontId="35" fillId="22" borderId="2" xfId="0" applyNumberFormat="1" applyFont="1" applyFill="1" applyBorder="1"/>
    <xf numFmtId="164" fontId="1" fillId="0" borderId="0" xfId="0" applyNumberFormat="1" applyFont="1"/>
    <xf numFmtId="0" fontId="33" fillId="8" borderId="6" xfId="0" applyFont="1" applyFill="1" applyBorder="1"/>
    <xf numFmtId="164" fontId="36" fillId="0" borderId="0" xfId="0" applyNumberFormat="1" applyFont="1" applyAlignment="1">
      <alignment horizontal="left"/>
    </xf>
    <xf numFmtId="49" fontId="0" fillId="22" borderId="4" xfId="0" applyNumberFormat="1" applyFill="1" applyBorder="1"/>
    <xf numFmtId="49" fontId="0" fillId="22" borderId="0" xfId="0" applyNumberFormat="1" applyFill="1"/>
    <xf numFmtId="0" fontId="0" fillId="22" borderId="0" xfId="0" applyFill="1"/>
    <xf numFmtId="9" fontId="0" fillId="22" borderId="0" xfId="8" applyFont="1" applyFill="1" applyBorder="1"/>
    <xf numFmtId="0" fontId="1" fillId="22" borderId="0" xfId="0" applyFont="1" applyFill="1"/>
    <xf numFmtId="0" fontId="1" fillId="22" borderId="1" xfId="0" applyFont="1" applyFill="1" applyBorder="1"/>
    <xf numFmtId="0" fontId="0" fillId="22" borderId="4" xfId="0" applyFill="1" applyBorder="1"/>
    <xf numFmtId="9" fontId="0" fillId="22" borderId="1" xfId="8" applyFont="1" applyFill="1" applyBorder="1"/>
    <xf numFmtId="10" fontId="1" fillId="21" borderId="0" xfId="8" applyNumberFormat="1" applyFont="1" applyFill="1" applyBorder="1"/>
    <xf numFmtId="10" fontId="1" fillId="21" borderId="1" xfId="8" applyNumberFormat="1" applyFont="1" applyFill="1" applyBorder="1"/>
    <xf numFmtId="0" fontId="0" fillId="0" borderId="5" xfId="0" applyBorder="1"/>
    <xf numFmtId="0" fontId="0" fillId="22" borderId="5" xfId="0" applyFill="1" applyBorder="1"/>
    <xf numFmtId="0" fontId="0" fillId="22" borderId="2" xfId="0" applyFill="1" applyBorder="1"/>
    <xf numFmtId="0" fontId="1" fillId="22" borderId="2" xfId="0" applyFont="1" applyFill="1" applyBorder="1"/>
    <xf numFmtId="0" fontId="1" fillId="22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164" fontId="13" fillId="22" borderId="2" xfId="0" applyNumberFormat="1" applyFont="1" applyFill="1" applyBorder="1"/>
    <xf numFmtId="49" fontId="13" fillId="0" borderId="0" xfId="0" applyNumberFormat="1" applyFont="1"/>
    <xf numFmtId="0" fontId="79" fillId="3" borderId="4" xfId="0" applyFont="1" applyFill="1" applyBorder="1"/>
    <xf numFmtId="0" fontId="79" fillId="3" borderId="0" xfId="0" applyFont="1" applyFill="1"/>
    <xf numFmtId="0" fontId="79" fillId="3" borderId="1" xfId="0" applyFont="1" applyFill="1" applyBorder="1"/>
    <xf numFmtId="0" fontId="79" fillId="0" borderId="0" xfId="0" applyFont="1"/>
    <xf numFmtId="49" fontId="18" fillId="0" borderId="0" xfId="0" applyNumberFormat="1" applyFont="1"/>
    <xf numFmtId="164" fontId="18" fillId="0" borderId="0" xfId="0" applyNumberFormat="1" applyFont="1"/>
    <xf numFmtId="0" fontId="13" fillId="0" borderId="1" xfId="0" applyFont="1" applyBorder="1"/>
    <xf numFmtId="0" fontId="18" fillId="0" borderId="1" xfId="0" applyFont="1" applyBorder="1"/>
    <xf numFmtId="0" fontId="79" fillId="3" borderId="6" xfId="0" applyFont="1" applyFill="1" applyBorder="1"/>
    <xf numFmtId="0" fontId="79" fillId="3" borderId="7" xfId="0" applyFont="1" applyFill="1" applyBorder="1"/>
    <xf numFmtId="164" fontId="79" fillId="3" borderId="7" xfId="0" applyNumberFormat="1" applyFont="1" applyFill="1" applyBorder="1"/>
    <xf numFmtId="0" fontId="72" fillId="3" borderId="0" xfId="0" applyFont="1" applyFill="1"/>
    <xf numFmtId="0" fontId="72" fillId="3" borderId="1" xfId="0" applyFont="1" applyFill="1" applyBorder="1"/>
    <xf numFmtId="0" fontId="72" fillId="0" borderId="1" xfId="0" applyFont="1" applyBorder="1"/>
    <xf numFmtId="0" fontId="78" fillId="0" borderId="0" xfId="0" applyFont="1"/>
    <xf numFmtId="164" fontId="0" fillId="22" borderId="1" xfId="0" applyNumberFormat="1" applyFill="1" applyBorder="1"/>
    <xf numFmtId="49" fontId="80" fillId="26" borderId="4" xfId="0" applyNumberFormat="1" applyFont="1" applyFill="1" applyBorder="1"/>
    <xf numFmtId="10" fontId="80" fillId="26" borderId="0" xfId="0" applyNumberFormat="1" applyFont="1" applyFill="1"/>
    <xf numFmtId="10" fontId="80" fillId="26" borderId="1" xfId="0" applyNumberFormat="1" applyFont="1" applyFill="1" applyBorder="1"/>
    <xf numFmtId="49" fontId="35" fillId="0" borderId="5" xfId="0" applyNumberFormat="1" applyFont="1" applyBorder="1"/>
    <xf numFmtId="10" fontId="0" fillId="0" borderId="7" xfId="8" applyNumberFormat="1" applyFont="1" applyBorder="1"/>
    <xf numFmtId="1" fontId="1" fillId="0" borderId="3" xfId="0" applyNumberFormat="1" applyFont="1" applyBorder="1"/>
    <xf numFmtId="1" fontId="1" fillId="0" borderId="2" xfId="0" applyNumberFormat="1" applyFont="1" applyBorder="1"/>
    <xf numFmtId="3" fontId="81" fillId="0" borderId="0" xfId="0" applyNumberFormat="1" applyFont="1" applyAlignment="1">
      <alignment horizontal="right" vertical="center" wrapText="1"/>
    </xf>
    <xf numFmtId="10" fontId="40" fillId="2" borderId="0" xfId="5" applyNumberFormat="1" applyFont="1" applyFill="1" applyAlignment="1">
      <alignment horizontal="left"/>
    </xf>
    <xf numFmtId="168" fontId="34" fillId="0" borderId="0" xfId="0" applyNumberFormat="1" applyFont="1" applyAlignment="1">
      <alignment horizontal="left"/>
    </xf>
    <xf numFmtId="168" fontId="39" fillId="0" borderId="0" xfId="7" applyNumberFormat="1" applyFont="1" applyBorder="1"/>
    <xf numFmtId="168" fontId="39" fillId="0" borderId="1" xfId="0" applyNumberFormat="1" applyFont="1" applyBorder="1"/>
    <xf numFmtId="168" fontId="0" fillId="22" borderId="0" xfId="0" applyNumberFormat="1" applyFill="1"/>
    <xf numFmtId="3" fontId="13" fillId="22" borderId="0" xfId="0" applyNumberFormat="1" applyFont="1" applyFill="1"/>
    <xf numFmtId="3" fontId="13" fillId="22" borderId="1" xfId="0" applyNumberFormat="1" applyFont="1" applyFill="1" applyBorder="1"/>
    <xf numFmtId="168" fontId="0" fillId="22" borderId="1" xfId="0" applyNumberFormat="1" applyFill="1" applyBorder="1"/>
    <xf numFmtId="3" fontId="0" fillId="22" borderId="0" xfId="0" applyNumberFormat="1" applyFill="1"/>
    <xf numFmtId="10" fontId="42" fillId="2" borderId="0" xfId="3" applyNumberFormat="1" applyFont="1" applyFill="1" applyBorder="1"/>
    <xf numFmtId="3" fontId="41" fillId="2" borderId="1" xfId="8" applyNumberFormat="1" applyFont="1" applyFill="1" applyBorder="1"/>
    <xf numFmtId="10" fontId="45" fillId="2" borderId="1" xfId="8" applyNumberFormat="1" applyFont="1" applyFill="1" applyBorder="1"/>
    <xf numFmtId="165" fontId="42" fillId="0" borderId="0" xfId="0" applyNumberFormat="1" applyFont="1"/>
    <xf numFmtId="165" fontId="82" fillId="0" borderId="0" xfId="0" applyNumberFormat="1" applyFont="1"/>
    <xf numFmtId="171" fontId="42" fillId="0" borderId="0" xfId="9" applyNumberFormat="1" applyFont="1"/>
    <xf numFmtId="0" fontId="43" fillId="8" borderId="0" xfId="0" applyFont="1" applyFill="1" applyAlignment="1">
      <alignment horizontal="center" vertical="center"/>
    </xf>
    <xf numFmtId="171" fontId="49" fillId="0" borderId="0" xfId="9" applyNumberFormat="1" applyFont="1"/>
    <xf numFmtId="1" fontId="41" fillId="0" borderId="1" xfId="8" applyNumberFormat="1" applyFont="1" applyBorder="1"/>
    <xf numFmtId="3" fontId="83" fillId="22" borderId="0" xfId="0" applyNumberFormat="1" applyFont="1" applyFill="1"/>
    <xf numFmtId="3" fontId="84" fillId="22" borderId="0" xfId="0" applyNumberFormat="1" applyFont="1" applyFill="1"/>
    <xf numFmtId="164" fontId="84" fillId="22" borderId="0" xfId="0" applyNumberFormat="1" applyFont="1" applyFill="1"/>
    <xf numFmtId="168" fontId="13" fillId="22" borderId="7" xfId="0" applyNumberFormat="1" applyFont="1" applyFill="1" applyBorder="1"/>
    <xf numFmtId="168" fontId="0" fillId="22" borderId="4" xfId="0" applyNumberFormat="1" applyFill="1" applyBorder="1"/>
    <xf numFmtId="168" fontId="1" fillId="22" borderId="0" xfId="2" applyNumberFormat="1" applyFill="1"/>
    <xf numFmtId="168" fontId="1" fillId="22" borderId="1" xfId="2" applyNumberFormat="1" applyFill="1" applyBorder="1"/>
    <xf numFmtId="168" fontId="79" fillId="3" borderId="7" xfId="0" applyNumberFormat="1" applyFont="1" applyFill="1" applyBorder="1"/>
    <xf numFmtId="168" fontId="79" fillId="3" borderId="8" xfId="0" applyNumberFormat="1" applyFont="1" applyFill="1" applyBorder="1"/>
    <xf numFmtId="168" fontId="15" fillId="22" borderId="0" xfId="0" applyNumberFormat="1" applyFont="1" applyFill="1"/>
    <xf numFmtId="168" fontId="15" fillId="22" borderId="1" xfId="0" applyNumberFormat="1" applyFont="1" applyFill="1" applyBorder="1"/>
    <xf numFmtId="9" fontId="15" fillId="22" borderId="0" xfId="8" applyFont="1" applyFill="1" applyBorder="1"/>
    <xf numFmtId="0" fontId="15" fillId="22" borderId="2" xfId="0" applyFont="1" applyFill="1" applyBorder="1"/>
    <xf numFmtId="164" fontId="15" fillId="22" borderId="2" xfId="0" applyNumberFormat="1" applyFont="1" applyFill="1" applyBorder="1"/>
    <xf numFmtId="164" fontId="15" fillId="22" borderId="3" xfId="0" applyNumberFormat="1" applyFont="1" applyFill="1" applyBorder="1"/>
    <xf numFmtId="168" fontId="18" fillId="0" borderId="0" xfId="0" applyNumberFormat="1" applyFont="1"/>
    <xf numFmtId="168" fontId="18" fillId="0" borderId="7" xfId="0" applyNumberFormat="1" applyFont="1" applyBorder="1"/>
    <xf numFmtId="168" fontId="35" fillId="0" borderId="0" xfId="0" applyNumberFormat="1" applyFont="1"/>
    <xf numFmtId="168" fontId="0" fillId="0" borderId="2" xfId="0" applyNumberFormat="1" applyBorder="1"/>
    <xf numFmtId="168" fontId="0" fillId="0" borderId="3" xfId="0" applyNumberFormat="1" applyBorder="1"/>
    <xf numFmtId="3" fontId="0" fillId="0" borderId="7" xfId="0" applyNumberFormat="1" applyBorder="1"/>
    <xf numFmtId="3" fontId="0" fillId="0" borderId="3" xfId="0" applyNumberFormat="1" applyBorder="1"/>
    <xf numFmtId="10" fontId="18" fillId="26" borderId="0" xfId="8" applyNumberFormat="1" applyFont="1" applyFill="1" applyBorder="1"/>
    <xf numFmtId="49" fontId="13" fillId="0" borderId="2" xfId="0" applyNumberFormat="1" applyFont="1" applyBorder="1"/>
    <xf numFmtId="168" fontId="13" fillId="0" borderId="2" xfId="0" applyNumberFormat="1" applyFont="1" applyBorder="1"/>
    <xf numFmtId="168" fontId="13" fillId="0" borderId="3" xfId="0" applyNumberFormat="1" applyFont="1" applyBorder="1"/>
    <xf numFmtId="171" fontId="79" fillId="3" borderId="0" xfId="9" applyNumberFormat="1" applyFont="1" applyFill="1"/>
    <xf numFmtId="168" fontId="0" fillId="22" borderId="7" xfId="0" applyNumberFormat="1" applyFill="1" applyBorder="1"/>
    <xf numFmtId="10" fontId="15" fillId="22" borderId="0" xfId="8" applyNumberFormat="1" applyFont="1" applyFill="1" applyBorder="1"/>
    <xf numFmtId="10" fontId="15" fillId="22" borderId="1" xfId="8" applyNumberFormat="1" applyFont="1" applyFill="1" applyBorder="1"/>
    <xf numFmtId="10" fontId="37" fillId="0" borderId="1" xfId="0" applyNumberFormat="1" applyFont="1" applyBorder="1"/>
    <xf numFmtId="10" fontId="0" fillId="21" borderId="0" xfId="8" applyNumberFormat="1" applyFont="1" applyFill="1" applyBorder="1"/>
    <xf numFmtId="10" fontId="0" fillId="21" borderId="1" xfId="8" applyNumberFormat="1" applyFont="1" applyFill="1" applyBorder="1"/>
    <xf numFmtId="168" fontId="0" fillId="0" borderId="7" xfId="0" applyNumberFormat="1" applyBorder="1"/>
    <xf numFmtId="168" fontId="0" fillId="0" borderId="8" xfId="0" applyNumberFormat="1" applyBorder="1"/>
    <xf numFmtId="168" fontId="0" fillId="22" borderId="8" xfId="0" applyNumberFormat="1" applyFill="1" applyBorder="1"/>
    <xf numFmtId="168" fontId="35" fillId="0" borderId="1" xfId="0" applyNumberFormat="1" applyFont="1" applyBorder="1"/>
    <xf numFmtId="168" fontId="13" fillId="22" borderId="8" xfId="0" applyNumberFormat="1" applyFont="1" applyFill="1" applyBorder="1"/>
    <xf numFmtId="168" fontId="0" fillId="22" borderId="2" xfId="0" applyNumberFormat="1" applyFill="1" applyBorder="1"/>
    <xf numFmtId="168" fontId="0" fillId="22" borderId="3" xfId="0" applyNumberFormat="1" applyFill="1" applyBorder="1"/>
    <xf numFmtId="0" fontId="39" fillId="27" borderId="0" xfId="0" applyFont="1" applyFill="1"/>
    <xf numFmtId="0" fontId="40" fillId="27" borderId="0" xfId="0" applyFont="1" applyFill="1"/>
    <xf numFmtId="0" fontId="43" fillId="8" borderId="8" xfId="5" applyFont="1" applyFill="1" applyBorder="1"/>
    <xf numFmtId="170" fontId="41" fillId="0" borderId="1" xfId="0" applyNumberFormat="1" applyFont="1" applyBorder="1"/>
    <xf numFmtId="168" fontId="29" fillId="16" borderId="0" xfId="0" applyNumberFormat="1" applyFont="1" applyFill="1" applyAlignment="1">
      <alignment horizontal="right" vertical="center"/>
    </xf>
    <xf numFmtId="14" fontId="35" fillId="0" borderId="2" xfId="0" applyNumberFormat="1" applyFont="1" applyBorder="1" applyAlignment="1">
      <alignment horizontal="left"/>
    </xf>
    <xf numFmtId="0" fontId="13" fillId="3" borderId="6" xfId="0" applyFont="1" applyFill="1" applyBorder="1"/>
    <xf numFmtId="0" fontId="13" fillId="0" borderId="8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3" borderId="4" xfId="0" applyFont="1" applyFill="1" applyBorder="1"/>
    <xf numFmtId="3" fontId="83" fillId="0" borderId="1" xfId="0" applyNumberFormat="1" applyFont="1" applyBorder="1"/>
    <xf numFmtId="1" fontId="83" fillId="0" borderId="0" xfId="0" applyNumberFormat="1" applyFont="1"/>
    <xf numFmtId="0" fontId="0" fillId="28" borderId="6" xfId="0" applyFill="1" applyBorder="1"/>
    <xf numFmtId="167" fontId="84" fillId="2" borderId="8" xfId="0" applyNumberFormat="1" applyFont="1" applyFill="1" applyBorder="1"/>
    <xf numFmtId="167" fontId="83" fillId="0" borderId="1" xfId="8" applyNumberFormat="1" applyFont="1" applyBorder="1"/>
    <xf numFmtId="9" fontId="83" fillId="0" borderId="0" xfId="8" applyFont="1" applyBorder="1"/>
    <xf numFmtId="10" fontId="84" fillId="0" borderId="8" xfId="0" applyNumberFormat="1" applyFont="1" applyBorder="1"/>
    <xf numFmtId="0" fontId="0" fillId="28" borderId="4" xfId="0" applyFill="1" applyBorder="1"/>
    <xf numFmtId="10" fontId="16" fillId="2" borderId="1" xfId="8" applyNumberFormat="1" applyFont="1" applyFill="1" applyBorder="1"/>
    <xf numFmtId="3" fontId="1" fillId="0" borderId="1" xfId="2" applyNumberFormat="1" applyFill="1" applyBorder="1"/>
    <xf numFmtId="0" fontId="85" fillId="0" borderId="0" xfId="0" applyFont="1"/>
    <xf numFmtId="2" fontId="16" fillId="0" borderId="1" xfId="0" applyNumberFormat="1" applyFont="1" applyBorder="1"/>
    <xf numFmtId="9" fontId="84" fillId="2" borderId="1" xfId="8" applyFont="1" applyFill="1" applyBorder="1"/>
    <xf numFmtId="0" fontId="0" fillId="3" borderId="4" xfId="0" applyFill="1" applyBorder="1"/>
    <xf numFmtId="164" fontId="16" fillId="0" borderId="0" xfId="0" applyNumberFormat="1" applyFont="1"/>
    <xf numFmtId="10" fontId="35" fillId="0" borderId="1" xfId="8" applyNumberFormat="1" applyFont="1" applyBorder="1"/>
    <xf numFmtId="10" fontId="84" fillId="2" borderId="1" xfId="0" applyNumberFormat="1" applyFont="1" applyFill="1" applyBorder="1"/>
    <xf numFmtId="37" fontId="84" fillId="0" borderId="1" xfId="0" applyNumberFormat="1" applyFont="1" applyBorder="1"/>
    <xf numFmtId="164" fontId="84" fillId="0" borderId="0" xfId="0" applyNumberFormat="1" applyFont="1"/>
    <xf numFmtId="0" fontId="0" fillId="28" borderId="5" xfId="0" applyFill="1" applyBorder="1"/>
    <xf numFmtId="10" fontId="35" fillId="0" borderId="3" xfId="0" applyNumberFormat="1" applyFont="1" applyBorder="1"/>
    <xf numFmtId="0" fontId="66" fillId="18" borderId="34" xfId="0" applyFont="1" applyFill="1" applyBorder="1" applyAlignment="1">
      <alignment horizontal="left" vertical="center"/>
    </xf>
    <xf numFmtId="10" fontId="86" fillId="18" borderId="22" xfId="0" applyNumberFormat="1" applyFont="1" applyFill="1" applyBorder="1" applyAlignment="1">
      <alignment horizontal="right" vertical="center"/>
    </xf>
    <xf numFmtId="3" fontId="84" fillId="0" borderId="1" xfId="0" applyNumberFormat="1" applyFont="1" applyBorder="1"/>
    <xf numFmtId="3" fontId="84" fillId="0" borderId="0" xfId="0" applyNumberFormat="1" applyFont="1"/>
    <xf numFmtId="0" fontId="0" fillId="0" borderId="0" xfId="0" quotePrefix="1"/>
    <xf numFmtId="168" fontId="84" fillId="2" borderId="1" xfId="0" applyNumberFormat="1" applyFont="1" applyFill="1" applyBorder="1"/>
    <xf numFmtId="0" fontId="68" fillId="18" borderId="35" xfId="0" applyFont="1" applyFill="1" applyBorder="1" applyAlignment="1">
      <alignment horizontal="left" vertical="center"/>
    </xf>
    <xf numFmtId="9" fontId="87" fillId="18" borderId="0" xfId="0" applyNumberFormat="1" applyFont="1" applyFill="1" applyAlignment="1">
      <alignment horizontal="right" vertical="center"/>
    </xf>
    <xf numFmtId="0" fontId="0" fillId="3" borderId="5" xfId="0" applyFill="1" applyBorder="1"/>
    <xf numFmtId="9" fontId="16" fillId="0" borderId="3" xfId="0" applyNumberFormat="1" applyFont="1" applyBorder="1"/>
    <xf numFmtId="9" fontId="16" fillId="0" borderId="0" xfId="0" applyNumberFormat="1" applyFont="1"/>
    <xf numFmtId="3" fontId="84" fillId="2" borderId="3" xfId="0" applyNumberFormat="1" applyFont="1" applyFill="1" applyBorder="1"/>
    <xf numFmtId="10" fontId="87" fillId="18" borderId="0" xfId="0" applyNumberFormat="1" applyFont="1" applyFill="1" applyAlignment="1">
      <alignment horizontal="right" vertical="center"/>
    </xf>
    <xf numFmtId="0" fontId="66" fillId="0" borderId="0" xfId="0" applyFont="1" applyAlignment="1">
      <alignment vertical="center"/>
    </xf>
    <xf numFmtId="2" fontId="87" fillId="18" borderId="0" xfId="0" applyNumberFormat="1" applyFont="1" applyFill="1" applyAlignment="1">
      <alignment horizontal="right" vertical="center"/>
    </xf>
    <xf numFmtId="0" fontId="66" fillId="29" borderId="36" xfId="0" applyFont="1" applyFill="1" applyBorder="1" applyAlignment="1">
      <alignment vertical="center" wrapText="1"/>
    </xf>
    <xf numFmtId="0" fontId="1" fillId="0" borderId="0" xfId="10"/>
    <xf numFmtId="164" fontId="0" fillId="0" borderId="0" xfId="7" applyFont="1" applyFill="1" applyBorder="1"/>
    <xf numFmtId="0" fontId="0" fillId="0" borderId="37" xfId="0" applyBorder="1"/>
    <xf numFmtId="0" fontId="0" fillId="0" borderId="36" xfId="0" applyBorder="1"/>
    <xf numFmtId="167" fontId="87" fillId="18" borderId="0" xfId="0" applyNumberFormat="1" applyFont="1" applyFill="1" applyAlignment="1">
      <alignment horizontal="right" vertical="center"/>
    </xf>
    <xf numFmtId="0" fontId="0" fillId="0" borderId="38" xfId="0" applyBorder="1"/>
    <xf numFmtId="9" fontId="35" fillId="0" borderId="0" xfId="8" applyFont="1" applyBorder="1"/>
    <xf numFmtId="1" fontId="84" fillId="0" borderId="0" xfId="2" applyNumberFormat="1" applyFont="1"/>
    <xf numFmtId="9" fontId="84" fillId="0" borderId="0" xfId="8" applyFont="1" applyBorder="1"/>
    <xf numFmtId="0" fontId="68" fillId="18" borderId="39" xfId="0" applyFont="1" applyFill="1" applyBorder="1" applyAlignment="1">
      <alignment horizontal="left" vertical="center"/>
    </xf>
    <xf numFmtId="3" fontId="87" fillId="18" borderId="20" xfId="0" applyNumberFormat="1" applyFont="1" applyFill="1" applyBorder="1" applyAlignment="1">
      <alignment horizontal="right" vertical="center"/>
    </xf>
    <xf numFmtId="9" fontId="85" fillId="0" borderId="36" xfId="8" applyFont="1" applyBorder="1"/>
    <xf numFmtId="1" fontId="83" fillId="0" borderId="36" xfId="2" applyNumberFormat="1" applyFont="1" applyBorder="1"/>
    <xf numFmtId="10" fontId="0" fillId="0" borderId="0" xfId="8" applyNumberFormat="1" applyFont="1"/>
    <xf numFmtId="0" fontId="68" fillId="0" borderId="22" xfId="0" applyFont="1" applyBorder="1" applyAlignment="1">
      <alignment horizontal="left" vertical="center"/>
    </xf>
    <xf numFmtId="3" fontId="1" fillId="0" borderId="0" xfId="2" applyNumberFormat="1" applyFill="1"/>
    <xf numFmtId="4" fontId="1" fillId="0" borderId="0" xfId="2" applyNumberFormat="1" applyFill="1"/>
    <xf numFmtId="0" fontId="71" fillId="7" borderId="6" xfId="0" applyFont="1" applyFill="1" applyBorder="1"/>
    <xf numFmtId="0" fontId="71" fillId="7" borderId="7" xfId="0" applyFont="1" applyFill="1" applyBorder="1"/>
    <xf numFmtId="0" fontId="83" fillId="8" borderId="7" xfId="0" applyFont="1" applyFill="1" applyBorder="1"/>
    <xf numFmtId="0" fontId="13" fillId="0" borderId="4" xfId="0" applyFont="1" applyBorder="1"/>
    <xf numFmtId="1" fontId="16" fillId="0" borderId="0" xfId="0" applyNumberFormat="1" applyFont="1"/>
    <xf numFmtId="38" fontId="16" fillId="0" borderId="0" xfId="0" applyNumberFormat="1" applyFont="1"/>
    <xf numFmtId="0" fontId="13" fillId="0" borderId="5" xfId="0" applyFont="1" applyBorder="1"/>
    <xf numFmtId="0" fontId="13" fillId="0" borderId="2" xfId="0" applyFont="1" applyBorder="1"/>
    <xf numFmtId="1" fontId="0" fillId="0" borderId="2" xfId="0" applyNumberFormat="1" applyBorder="1"/>
    <xf numFmtId="3" fontId="84" fillId="0" borderId="2" xfId="2" applyNumberFormat="1" applyFont="1" applyFill="1" applyBorder="1"/>
    <xf numFmtId="0" fontId="13" fillId="28" borderId="6" xfId="0" applyFont="1" applyFill="1" applyBorder="1"/>
    <xf numFmtId="0" fontId="13" fillId="28" borderId="7" xfId="0" applyFont="1" applyFill="1" applyBorder="1"/>
    <xf numFmtId="181" fontId="84" fillId="0" borderId="7" xfId="2" applyNumberFormat="1" applyFont="1" applyBorder="1"/>
    <xf numFmtId="4" fontId="1" fillId="0" borderId="7" xfId="2" applyNumberFormat="1" applyBorder="1"/>
    <xf numFmtId="4" fontId="1" fillId="5" borderId="7" xfId="2" applyNumberFormat="1" applyFill="1" applyBorder="1"/>
    <xf numFmtId="4" fontId="1" fillId="5" borderId="8" xfId="2" applyNumberFormat="1" applyFill="1" applyBorder="1"/>
    <xf numFmtId="0" fontId="0" fillId="28" borderId="0" xfId="0" applyFill="1"/>
    <xf numFmtId="4" fontId="1" fillId="0" borderId="0" xfId="2" applyNumberFormat="1"/>
    <xf numFmtId="4" fontId="84" fillId="5" borderId="0" xfId="2" applyNumberFormat="1" applyFont="1" applyFill="1"/>
    <xf numFmtId="3" fontId="84" fillId="5" borderId="0" xfId="2" applyNumberFormat="1" applyFont="1" applyFill="1"/>
    <xf numFmtId="3" fontId="84" fillId="5" borderId="1" xfId="2" applyNumberFormat="1" applyFont="1" applyFill="1" applyBorder="1"/>
    <xf numFmtId="4" fontId="1" fillId="5" borderId="0" xfId="2" applyNumberFormat="1" applyFill="1"/>
    <xf numFmtId="0" fontId="13" fillId="28" borderId="4" xfId="0" applyFont="1" applyFill="1" applyBorder="1"/>
    <xf numFmtId="0" fontId="13" fillId="28" borderId="0" xfId="0" applyFont="1" applyFill="1"/>
    <xf numFmtId="167" fontId="84" fillId="16" borderId="0" xfId="8" applyNumberFormat="1" applyFont="1" applyFill="1" applyBorder="1"/>
    <xf numFmtId="3" fontId="84" fillId="0" borderId="0" xfId="2" applyNumberFormat="1" applyFont="1"/>
    <xf numFmtId="4" fontId="1" fillId="5" borderId="1" xfId="2" applyNumberFormat="1" applyFill="1" applyBorder="1"/>
    <xf numFmtId="0" fontId="0" fillId="28" borderId="4" xfId="0" quotePrefix="1" applyFill="1" applyBorder="1"/>
    <xf numFmtId="0" fontId="0" fillId="28" borderId="0" xfId="0" quotePrefix="1" applyFill="1"/>
    <xf numFmtId="3" fontId="16" fillId="16" borderId="0" xfId="2" applyNumberFormat="1" applyFont="1" applyFill="1"/>
    <xf numFmtId="0" fontId="35" fillId="0" borderId="0" xfId="2" applyNumberFormat="1" applyFont="1"/>
    <xf numFmtId="3" fontId="35" fillId="16" borderId="0" xfId="2" applyNumberFormat="1" applyFont="1" applyFill="1"/>
    <xf numFmtId="0" fontId="0" fillId="0" borderId="0" xfId="2" applyNumberFormat="1" applyFont="1"/>
    <xf numFmtId="0" fontId="13" fillId="28" borderId="5" xfId="0" applyFont="1" applyFill="1" applyBorder="1"/>
    <xf numFmtId="0" fontId="13" fillId="28" borderId="2" xfId="0" applyFont="1" applyFill="1" applyBorder="1"/>
    <xf numFmtId="3" fontId="84" fillId="0" borderId="2" xfId="2" applyNumberFormat="1" applyFont="1" applyBorder="1"/>
    <xf numFmtId="4" fontId="1" fillId="0" borderId="2" xfId="2" applyNumberFormat="1" applyBorder="1"/>
    <xf numFmtId="4" fontId="1" fillId="5" borderId="2" xfId="2" applyNumberFormat="1" applyFill="1" applyBorder="1"/>
    <xf numFmtId="4" fontId="1" fillId="5" borderId="3" xfId="2" applyNumberFormat="1" applyFill="1" applyBorder="1"/>
    <xf numFmtId="14" fontId="33" fillId="8" borderId="0" xfId="0" applyNumberFormat="1" applyFont="1" applyFill="1"/>
    <xf numFmtId="170" fontId="0" fillId="3" borderId="0" xfId="0" applyNumberFormat="1" applyFill="1"/>
    <xf numFmtId="0" fontId="18" fillId="0" borderId="0" xfId="0" applyFont="1" applyAlignment="1">
      <alignment horizontal="center"/>
    </xf>
    <xf numFmtId="38" fontId="0" fillId="0" borderId="0" xfId="0" applyNumberFormat="1"/>
    <xf numFmtId="38" fontId="0" fillId="3" borderId="0" xfId="0" applyNumberFormat="1" applyFill="1"/>
    <xf numFmtId="170" fontId="13" fillId="3" borderId="0" xfId="0" applyNumberFormat="1" applyFont="1" applyFill="1"/>
    <xf numFmtId="182" fontId="13" fillId="3" borderId="0" xfId="0" applyNumberFormat="1" applyFont="1" applyFill="1"/>
    <xf numFmtId="2" fontId="0" fillId="3" borderId="0" xfId="0" applyNumberFormat="1" applyFill="1"/>
    <xf numFmtId="3" fontId="1" fillId="0" borderId="0" xfId="2" applyNumberFormat="1"/>
    <xf numFmtId="0" fontId="68" fillId="29" borderId="36" xfId="0" applyFont="1" applyFill="1" applyBorder="1" applyAlignment="1">
      <alignment horizontal="left" vertical="center"/>
    </xf>
    <xf numFmtId="0" fontId="88" fillId="29" borderId="36" xfId="0" applyFont="1" applyFill="1" applyBorder="1" applyAlignment="1">
      <alignment horizontal="left" vertical="center"/>
    </xf>
    <xf numFmtId="0" fontId="68" fillId="0" borderId="39" xfId="0" applyFont="1" applyBorder="1" applyAlignment="1">
      <alignment horizontal="left" vertical="center"/>
    </xf>
    <xf numFmtId="0" fontId="66" fillId="0" borderId="20" xfId="0" applyFont="1" applyBorder="1" applyAlignment="1">
      <alignment horizontal="right" vertical="center"/>
    </xf>
    <xf numFmtId="0" fontId="68" fillId="0" borderId="35" xfId="0" applyFont="1" applyBorder="1" applyAlignment="1">
      <alignment horizontal="left" vertical="center"/>
    </xf>
    <xf numFmtId="3" fontId="87" fillId="0" borderId="0" xfId="0" applyNumberFormat="1" applyFont="1" applyAlignment="1">
      <alignment horizontal="right" vertical="center"/>
    </xf>
    <xf numFmtId="37" fontId="87" fillId="0" borderId="0" xfId="0" applyNumberFormat="1" applyFont="1" applyAlignment="1">
      <alignment horizontal="right" vertical="center"/>
    </xf>
    <xf numFmtId="0" fontId="66" fillId="0" borderId="35" xfId="0" applyFont="1" applyBorder="1" applyAlignment="1">
      <alignment horizontal="left" vertical="center"/>
    </xf>
    <xf numFmtId="3" fontId="86" fillId="0" borderId="0" xfId="0" applyNumberFormat="1" applyFont="1" applyAlignment="1">
      <alignment horizontal="right" vertical="center"/>
    </xf>
    <xf numFmtId="2" fontId="87" fillId="0" borderId="0" xfId="0" applyNumberFormat="1" applyFont="1" applyAlignment="1">
      <alignment horizontal="right" vertical="center"/>
    </xf>
    <xf numFmtId="9" fontId="87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 vertical="center"/>
    </xf>
    <xf numFmtId="0" fontId="66" fillId="0" borderId="39" xfId="0" applyFont="1" applyBorder="1" applyAlignment="1">
      <alignment horizontal="left" vertical="center"/>
    </xf>
    <xf numFmtId="3" fontId="86" fillId="0" borderId="20" xfId="0" applyNumberFormat="1" applyFont="1" applyBorder="1" applyAlignment="1">
      <alignment horizontal="right" vertical="center"/>
    </xf>
    <xf numFmtId="0" fontId="68" fillId="0" borderId="20" xfId="0" applyFont="1" applyBorder="1" applyAlignment="1">
      <alignment horizontal="right" vertical="center"/>
    </xf>
    <xf numFmtId="0" fontId="68" fillId="0" borderId="0" xfId="0" applyFont="1" applyAlignment="1">
      <alignment vertical="center"/>
    </xf>
    <xf numFmtId="14" fontId="0" fillId="0" borderId="0" xfId="7" applyNumberFormat="1" applyFont="1"/>
    <xf numFmtId="9" fontId="0" fillId="0" borderId="0" xfId="8" applyFont="1" applyFill="1" applyBorder="1"/>
    <xf numFmtId="164" fontId="0" fillId="0" borderId="0" xfId="7" applyFont="1" applyFill="1"/>
    <xf numFmtId="0" fontId="68" fillId="0" borderId="22" xfId="0" applyFont="1" applyBorder="1" applyAlignment="1">
      <alignment horizontal="right" vertical="center"/>
    </xf>
    <xf numFmtId="0" fontId="68" fillId="0" borderId="22" xfId="0" applyFont="1" applyBorder="1" applyAlignment="1">
      <alignment horizontal="right" vertical="center" wrapText="1"/>
    </xf>
    <xf numFmtId="0" fontId="68" fillId="0" borderId="20" xfId="0" applyFont="1" applyBorder="1" applyAlignment="1">
      <alignment horizontal="left" vertical="center"/>
    </xf>
    <xf numFmtId="0" fontId="68" fillId="0" borderId="20" xfId="0" applyFont="1" applyBorder="1" applyAlignment="1">
      <alignment horizontal="right" vertical="center" wrapText="1"/>
    </xf>
    <xf numFmtId="0" fontId="1" fillId="0" borderId="0" xfId="11"/>
    <xf numFmtId="0" fontId="68" fillId="0" borderId="34" xfId="0" applyFont="1" applyBorder="1" applyAlignment="1">
      <alignment horizontal="left" vertical="center"/>
    </xf>
    <xf numFmtId="0" fontId="68" fillId="0" borderId="40" xfId="0" applyFont="1" applyBorder="1" applyAlignment="1">
      <alignment horizontal="left" vertical="center"/>
    </xf>
    <xf numFmtId="176" fontId="68" fillId="0" borderId="0" xfId="7" applyNumberFormat="1" applyFont="1" applyBorder="1"/>
    <xf numFmtId="3" fontId="68" fillId="0" borderId="0" xfId="7" applyNumberFormat="1" applyFont="1" applyBorder="1"/>
    <xf numFmtId="164" fontId="68" fillId="0" borderId="0" xfId="7" applyFont="1" applyBorder="1"/>
    <xf numFmtId="164" fontId="68" fillId="0" borderId="22" xfId="7" applyFont="1" applyBorder="1"/>
    <xf numFmtId="0" fontId="68" fillId="0" borderId="0" xfId="0" applyFont="1" applyAlignment="1">
      <alignment horizontal="left" vertical="center"/>
    </xf>
    <xf numFmtId="0" fontId="68" fillId="0" borderId="41" xfId="0" applyFont="1" applyBorder="1" applyAlignment="1">
      <alignment horizontal="left" vertical="center"/>
    </xf>
    <xf numFmtId="176" fontId="87" fillId="0" borderId="0" xfId="12" applyNumberFormat="1" applyFont="1" applyAlignment="1">
      <alignment horizontal="right"/>
    </xf>
    <xf numFmtId="3" fontId="87" fillId="0" borderId="0" xfId="12" applyNumberFormat="1" applyFont="1"/>
    <xf numFmtId="2" fontId="87" fillId="0" borderId="0" xfId="12" applyNumberFormat="1" applyFont="1" applyAlignment="1">
      <alignment horizontal="right"/>
    </xf>
    <xf numFmtId="0" fontId="87" fillId="0" borderId="35" xfId="12" applyFont="1" applyBorder="1" applyAlignment="1">
      <alignment horizontal="left"/>
    </xf>
    <xf numFmtId="0" fontId="39" fillId="0" borderId="35" xfId="12" applyFont="1" applyBorder="1" applyAlignment="1">
      <alignment horizontal="left"/>
    </xf>
    <xf numFmtId="0" fontId="39" fillId="0" borderId="41" xfId="12" applyFont="1" applyBorder="1" applyAlignment="1">
      <alignment horizontal="left"/>
    </xf>
    <xf numFmtId="2" fontId="39" fillId="0" borderId="0" xfId="12" applyNumberFormat="1" applyFont="1" applyAlignment="1">
      <alignment horizontal="right"/>
    </xf>
    <xf numFmtId="0" fontId="87" fillId="0" borderId="39" xfId="12" applyFont="1" applyBorder="1" applyAlignment="1">
      <alignment horizontal="left"/>
    </xf>
    <xf numFmtId="0" fontId="68" fillId="0" borderId="22" xfId="0" applyFont="1" applyBorder="1"/>
    <xf numFmtId="165" fontId="68" fillId="0" borderId="42" xfId="0" applyNumberFormat="1" applyFont="1" applyBorder="1" applyAlignment="1">
      <alignment horizontal="right" vertical="center"/>
    </xf>
    <xf numFmtId="0" fontId="68" fillId="0" borderId="22" xfId="0" applyFont="1" applyBorder="1" applyAlignment="1">
      <alignment vertical="center" wrapText="1"/>
    </xf>
    <xf numFmtId="0" fontId="68" fillId="0" borderId="0" xfId="0" applyFont="1" applyAlignment="1">
      <alignment vertical="center" wrapText="1"/>
    </xf>
    <xf numFmtId="0" fontId="68" fillId="0" borderId="0" xfId="0" applyFont="1"/>
    <xf numFmtId="165" fontId="68" fillId="0" borderId="43" xfId="0" applyNumberFormat="1" applyFont="1" applyBorder="1" applyAlignment="1">
      <alignment horizontal="right" vertical="center"/>
    </xf>
    <xf numFmtId="3" fontId="68" fillId="0" borderId="43" xfId="0" applyNumberFormat="1" applyFont="1" applyBorder="1" applyAlignment="1">
      <alignment horizontal="right" vertical="center"/>
    </xf>
    <xf numFmtId="0" fontId="68" fillId="0" borderId="20" xfId="0" applyFont="1" applyBorder="1"/>
    <xf numFmtId="3" fontId="66" fillId="0" borderId="44" xfId="0" applyNumberFormat="1" applyFont="1" applyBorder="1" applyAlignment="1">
      <alignment horizontal="right" vertical="center"/>
    </xf>
    <xf numFmtId="0" fontId="68" fillId="0" borderId="20" xfId="0" applyFont="1" applyBorder="1" applyAlignment="1">
      <alignment horizontal="left" vertical="center" wrapText="1"/>
    </xf>
    <xf numFmtId="0" fontId="68" fillId="0" borderId="0" xfId="0" applyFont="1" applyAlignment="1">
      <alignment horizontal="left" vertical="center" wrapText="1"/>
    </xf>
    <xf numFmtId="14" fontId="90" fillId="0" borderId="2" xfId="0" applyNumberFormat="1" applyFont="1" applyBorder="1"/>
    <xf numFmtId="168" fontId="16" fillId="0" borderId="1" xfId="0" applyNumberFormat="1" applyFont="1" applyBorder="1"/>
    <xf numFmtId="9" fontId="41" fillId="0" borderId="0" xfId="3" applyFont="1"/>
    <xf numFmtId="183" fontId="41" fillId="0" borderId="0" xfId="0" applyNumberFormat="1" applyFont="1"/>
    <xf numFmtId="9" fontId="41" fillId="0" borderId="0" xfId="3" applyFont="1" applyBorder="1"/>
    <xf numFmtId="9" fontId="41" fillId="0" borderId="1" xfId="3" applyFont="1" applyBorder="1"/>
    <xf numFmtId="183" fontId="41" fillId="0" borderId="1" xfId="0" applyNumberFormat="1" applyFont="1" applyBorder="1"/>
    <xf numFmtId="168" fontId="17" fillId="0" borderId="7" xfId="0" applyNumberFormat="1" applyFont="1" applyBorder="1"/>
    <xf numFmtId="168" fontId="17" fillId="0" borderId="8" xfId="0" applyNumberFormat="1" applyFont="1" applyBorder="1"/>
    <xf numFmtId="168" fontId="1" fillId="0" borderId="1" xfId="2" applyNumberFormat="1" applyBorder="1"/>
    <xf numFmtId="168" fontId="1" fillId="0" borderId="2" xfId="0" applyNumberFormat="1" applyFont="1" applyBorder="1"/>
    <xf numFmtId="168" fontId="1" fillId="0" borderId="3" xfId="0" applyNumberFormat="1" applyFont="1" applyBorder="1"/>
    <xf numFmtId="1" fontId="1" fillId="0" borderId="5" xfId="0" applyNumberFormat="1" applyFont="1" applyBorder="1"/>
    <xf numFmtId="168" fontId="39" fillId="0" borderId="2" xfId="7" applyNumberFormat="1" applyFont="1" applyBorder="1"/>
    <xf numFmtId="167" fontId="0" fillId="5" borderId="3" xfId="0" applyNumberFormat="1" applyFill="1" applyBorder="1"/>
    <xf numFmtId="38" fontId="0" fillId="2" borderId="0" xfId="0" applyNumberFormat="1" applyFill="1"/>
    <xf numFmtId="9" fontId="0" fillId="2" borderId="0" xfId="3" applyFont="1" applyFill="1"/>
    <xf numFmtId="0" fontId="78" fillId="2" borderId="6" xfId="0" applyFont="1" applyFill="1" applyBorder="1"/>
    <xf numFmtId="0" fontId="0" fillId="2" borderId="4" xfId="0" applyFill="1" applyBorder="1"/>
    <xf numFmtId="0" fontId="35" fillId="2" borderId="4" xfId="0" applyFont="1" applyFill="1" applyBorder="1"/>
    <xf numFmtId="49" fontId="0" fillId="2" borderId="4" xfId="0" applyNumberFormat="1" applyFill="1" applyBorder="1"/>
    <xf numFmtId="49" fontId="13" fillId="2" borderId="5" xfId="0" applyNumberFormat="1" applyFont="1" applyFill="1" applyBorder="1"/>
    <xf numFmtId="49" fontId="13" fillId="2" borderId="0" xfId="0" applyNumberFormat="1" applyFont="1" applyFill="1"/>
    <xf numFmtId="0" fontId="68" fillId="0" borderId="22" xfId="0" applyFont="1" applyBorder="1" applyAlignment="1">
      <alignment horizontal="right" vertical="center"/>
    </xf>
    <xf numFmtId="0" fontId="66" fillId="29" borderId="20" xfId="0" applyFont="1" applyFill="1" applyBorder="1" applyAlignment="1">
      <alignment horizontal="left" vertical="center"/>
    </xf>
    <xf numFmtId="0" fontId="66" fillId="0" borderId="0" xfId="0" applyFont="1" applyAlignment="1">
      <alignment horizontal="left" vertical="center" wrapText="1"/>
    </xf>
    <xf numFmtId="0" fontId="68" fillId="0" borderId="22" xfId="0" applyFont="1" applyBorder="1" applyAlignment="1">
      <alignment horizontal="left" vertical="center"/>
    </xf>
    <xf numFmtId="0" fontId="66" fillId="29" borderId="20" xfId="0" applyFont="1" applyFill="1" applyBorder="1" applyAlignment="1">
      <alignment horizontal="left" vertical="center" wrapText="1"/>
    </xf>
    <xf numFmtId="0" fontId="66" fillId="17" borderId="0" xfId="0" applyFont="1" applyFill="1" applyAlignment="1">
      <alignment horizontal="left" vertical="center" wrapText="1"/>
    </xf>
    <xf numFmtId="0" fontId="68" fillId="0" borderId="20" xfId="0" applyFont="1" applyBorder="1" applyAlignment="1">
      <alignment horizontal="left" vertical="center"/>
    </xf>
    <xf numFmtId="0" fontId="68" fillId="0" borderId="20" xfId="0" applyFont="1" applyBorder="1" applyAlignment="1">
      <alignment horizontal="right" vertical="center"/>
    </xf>
    <xf numFmtId="0" fontId="13" fillId="3" borderId="2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22" fillId="0" borderId="0" xfId="0" applyFont="1" applyAlignment="1">
      <alignment horizontal="justify" vertical="center"/>
    </xf>
    <xf numFmtId="0" fontId="23" fillId="0" borderId="0" xfId="0" applyFont="1" applyAlignment="1">
      <alignment horizontal="justify" vertical="center" wrapText="1"/>
    </xf>
    <xf numFmtId="0" fontId="13" fillId="3" borderId="12" xfId="0" applyFont="1" applyFill="1" applyBorder="1" applyAlignment="1">
      <alignment horizontal="center"/>
    </xf>
    <xf numFmtId="0" fontId="68" fillId="18" borderId="27" xfId="0" applyFont="1" applyFill="1" applyBorder="1" applyAlignment="1">
      <alignment horizontal="justify" vertical="center" wrapText="1"/>
    </xf>
    <xf numFmtId="0" fontId="68" fillId="18" borderId="28" xfId="0" applyFont="1" applyFill="1" applyBorder="1" applyAlignment="1">
      <alignment horizontal="justify" vertical="center" wrapText="1"/>
    </xf>
    <xf numFmtId="0" fontId="68" fillId="18" borderId="0" xfId="0" applyFont="1" applyFill="1" applyAlignment="1">
      <alignment horizontal="justify" vertical="center" wrapText="1"/>
    </xf>
    <xf numFmtId="0" fontId="68" fillId="18" borderId="29" xfId="0" applyFont="1" applyFill="1" applyBorder="1" applyAlignment="1">
      <alignment horizontal="justify" vertical="center" wrapText="1"/>
    </xf>
    <xf numFmtId="0" fontId="68" fillId="18" borderId="24" xfId="0" applyFont="1" applyFill="1" applyBorder="1" applyAlignment="1">
      <alignment horizontal="justify" vertical="center" wrapText="1"/>
    </xf>
    <xf numFmtId="0" fontId="68" fillId="18" borderId="30" xfId="0" applyFont="1" applyFill="1" applyBorder="1" applyAlignment="1">
      <alignment horizontal="justify" vertical="center" wrapText="1"/>
    </xf>
    <xf numFmtId="0" fontId="54" fillId="2" borderId="20" xfId="0" applyFont="1" applyFill="1" applyBorder="1" applyAlignment="1">
      <alignment horizontal="left" vertical="center"/>
    </xf>
    <xf numFmtId="0" fontId="54" fillId="2" borderId="20" xfId="0" applyFont="1" applyFill="1" applyBorder="1" applyAlignment="1">
      <alignment horizontal="center" vertical="center"/>
    </xf>
    <xf numFmtId="0" fontId="56" fillId="2" borderId="20" xfId="0" applyFont="1" applyFill="1" applyBorder="1" applyAlignment="1">
      <alignment horizontal="center" vertical="center"/>
    </xf>
    <xf numFmtId="0" fontId="66" fillId="17" borderId="24" xfId="0" applyFont="1" applyFill="1" applyBorder="1" applyAlignment="1">
      <alignment horizontal="justify" vertical="center"/>
    </xf>
    <xf numFmtId="0" fontId="68" fillId="18" borderId="25" xfId="0" applyFont="1" applyFill="1" applyBorder="1" applyAlignment="1">
      <alignment horizontal="justify" vertical="center" wrapText="1"/>
    </xf>
    <xf numFmtId="0" fontId="68" fillId="18" borderId="26" xfId="0" applyFont="1" applyFill="1" applyBorder="1" applyAlignment="1">
      <alignment horizontal="justify" vertical="center" wrapText="1"/>
    </xf>
    <xf numFmtId="0" fontId="34" fillId="0" borderId="0" xfId="0" applyFont="1" applyAlignment="1">
      <alignment horizontal="center"/>
    </xf>
    <xf numFmtId="0" fontId="40" fillId="2" borderId="2" xfId="6" applyFont="1" applyFill="1" applyBorder="1" applyAlignment="1">
      <alignment horizontal="center" vertical="center"/>
    </xf>
    <xf numFmtId="0" fontId="40" fillId="2" borderId="3" xfId="6" applyFont="1" applyFill="1" applyBorder="1" applyAlignment="1">
      <alignment horizontal="center" vertical="center"/>
    </xf>
    <xf numFmtId="0" fontId="40" fillId="2" borderId="4" xfId="6" applyFont="1" applyFill="1" applyBorder="1" applyAlignment="1">
      <alignment horizontal="center" vertical="center"/>
    </xf>
    <xf numFmtId="0" fontId="40" fillId="2" borderId="0" xfId="6" applyFont="1" applyFill="1" applyAlignment="1">
      <alignment horizontal="center" vertical="center"/>
    </xf>
    <xf numFmtId="10" fontId="70" fillId="0" borderId="0" xfId="8" applyNumberFormat="1" applyFont="1" applyBorder="1"/>
    <xf numFmtId="0" fontId="36" fillId="0" borderId="0" xfId="0" applyFont="1" applyBorder="1" applyAlignment="1">
      <alignment horizontal="right"/>
    </xf>
  </cellXfs>
  <cellStyles count="13">
    <cellStyle name="]_x000d__x000a_Zoomed=1_x000d__x000a_Row=0_x000d__x000a_Column=0_x000d__x000a_Height=0_x000d__x000a_Width=0_x000d__x000a_FontName=FoxFont_x000d__x000a_FontStyle=0_x000d__x000a_FontSize=9_x000d__x000a_PrtFontName=FoxPrin" xfId="5" xr:uid="{455FCD4E-CD67-4137-B9B6-AC556AA740DA}"/>
    <cellStyle name="Comma" xfId="9" builtinId="3"/>
    <cellStyle name="Comma 2" xfId="7" xr:uid="{FA83C6C5-2E1E-45A6-8DF6-590D2210792D}"/>
    <cellStyle name="Comma 2 2" xfId="2" xr:uid="{9F2F505D-077A-4E2F-BCCC-2B262E1F712E}"/>
    <cellStyle name="defaultsheetstyle" xfId="12" xr:uid="{427D6BE2-5A80-4293-AF52-4EF9C24972D5}"/>
    <cellStyle name="Normal" xfId="0" builtinId="0"/>
    <cellStyle name="Normal 11" xfId="1" xr:uid="{D84B32F3-5362-40EC-A786-4DBC08D61D0A}"/>
    <cellStyle name="Normal 15" xfId="4" xr:uid="{FE26576B-99C6-4659-A575-F3459F8B40A0}"/>
    <cellStyle name="Normal 16" xfId="11" xr:uid="{A4723CE2-B4A7-4D24-A0E6-E6DC9F0CC986}"/>
    <cellStyle name="Normal 9" xfId="10" xr:uid="{DEB54A29-7D6E-4FAB-AFEC-9AC642711230}"/>
    <cellStyle name="Normal_VNM - Finance - 20061019" xfId="6" xr:uid="{40098B90-7F1E-470A-ADE6-70BA2F0ABA87}"/>
    <cellStyle name="Percent" xfId="3" builtinId="5"/>
    <cellStyle name="Percent 2" xfId="8" xr:uid="{AFF0980B-A6CE-49C7-A63E-5751879CE179}"/>
  </cellStyles>
  <dxfs count="36"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ill>
        <patternFill>
          <bgColor rgb="FFCCFFCC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217714</xdr:colOff>
      <xdr:row>13</xdr:row>
      <xdr:rowOff>32658</xdr:rowOff>
    </xdr:from>
    <xdr:to>
      <xdr:col>42</xdr:col>
      <xdr:colOff>420121</xdr:colOff>
      <xdr:row>27</xdr:row>
      <xdr:rowOff>106196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0EEAA3-5DFC-42D8-BEDA-0627FFC5CDFF}"/>
            </a:ext>
          </a:extLst>
        </xdr:cNvPr>
        <xdr:cNvSpPr txBox="1"/>
      </xdr:nvSpPr>
      <xdr:spPr>
        <a:xfrm>
          <a:off x="37981164" y="2363108"/>
          <a:ext cx="2183607" cy="25627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rgbClr val="FF0000"/>
              </a:solidFill>
            </a:rPr>
            <a:t>The breakdowns are for CF preparation purpose</a:t>
          </a:r>
        </a:p>
        <a:p>
          <a:endParaRPr lang="en-US" sz="1100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Too detailed =&gt; skip</a:t>
          </a:r>
        </a:p>
        <a:p>
          <a:endParaRPr lang="en-US" sz="1100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If prefer making  forecast for the items =&gt; should make the forecast simple because it is not that worth taking your time. Just save time for the more important items</a:t>
          </a:r>
        </a:p>
        <a:p>
          <a:endParaRPr lang="en-US" sz="1100" b="1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80/20 rules</a:t>
          </a:r>
        </a:p>
      </xdr:txBody>
    </xdr:sp>
    <xdr:clientData/>
  </xdr:twoCellAnchor>
  <xdr:twoCellAnchor>
    <xdr:from>
      <xdr:col>39</xdr:col>
      <xdr:colOff>217714</xdr:colOff>
      <xdr:row>13</xdr:row>
      <xdr:rowOff>32658</xdr:rowOff>
    </xdr:from>
    <xdr:to>
      <xdr:col>42</xdr:col>
      <xdr:colOff>420121</xdr:colOff>
      <xdr:row>27</xdr:row>
      <xdr:rowOff>106196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508ED3-52FD-4D18-98C2-925A0FAB9FFB}"/>
            </a:ext>
          </a:extLst>
        </xdr:cNvPr>
        <xdr:cNvSpPr txBox="1"/>
      </xdr:nvSpPr>
      <xdr:spPr>
        <a:xfrm>
          <a:off x="37981164" y="2363108"/>
          <a:ext cx="2183607" cy="25627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rgbClr val="FF0000"/>
              </a:solidFill>
            </a:rPr>
            <a:t>The breakdowns are for CF preparation purpose</a:t>
          </a:r>
        </a:p>
        <a:p>
          <a:endParaRPr lang="en-US" sz="1100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Too detailed =&gt; skip</a:t>
          </a:r>
        </a:p>
        <a:p>
          <a:endParaRPr lang="en-US" sz="1100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If prefer making  forecast for the items =&gt; should make the forecast simple because it is not that worth taking your time. Just save time for the more important items</a:t>
          </a:r>
        </a:p>
        <a:p>
          <a:endParaRPr lang="en-US" sz="1100" b="1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80/20 rules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412749</xdr:colOff>
      <xdr:row>0</xdr:row>
      <xdr:rowOff>105835</xdr:rowOff>
    </xdr:from>
    <xdr:to>
      <xdr:col>26</xdr:col>
      <xdr:colOff>338665</xdr:colOff>
      <xdr:row>16</xdr:row>
      <xdr:rowOff>31752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8BB30D-B9D3-4CA5-AC23-AD7D9571CFF3}"/>
            </a:ext>
          </a:extLst>
        </xdr:cNvPr>
        <xdr:cNvSpPr txBox="1"/>
      </xdr:nvSpPr>
      <xdr:spPr>
        <a:xfrm>
          <a:off x="22726649" y="105835"/>
          <a:ext cx="3570816" cy="25929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FOCUS</a:t>
          </a:r>
          <a:r>
            <a:rPr lang="en-US" sz="1100" b="1" baseline="0">
              <a:solidFill>
                <a:srgbClr val="FF0000"/>
              </a:solidFill>
            </a:rPr>
            <a:t> THE MAIN STRUCTURE</a:t>
          </a:r>
        </a:p>
        <a:p>
          <a:pPr algn="l"/>
          <a:r>
            <a:rPr lang="en-US" sz="1100" b="1" baseline="0">
              <a:solidFill>
                <a:srgbClr val="FF0000"/>
              </a:solidFill>
            </a:rPr>
            <a:t>CAPITAL</a:t>
          </a:r>
        </a:p>
        <a:p>
          <a:pPr algn="l"/>
          <a:r>
            <a:rPr lang="en-US" sz="1100" b="0" baseline="0">
              <a:solidFill>
                <a:srgbClr val="FF0000"/>
              </a:solidFill>
            </a:rPr>
            <a:t>+ </a:t>
          </a:r>
          <a:r>
            <a:rPr lang="en-US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Chartered capital</a:t>
          </a:r>
          <a:r>
            <a:rPr lang="en-US" sz="1100" b="0" baseline="0">
              <a:solidFill>
                <a:srgbClr val="FF0000"/>
              </a:solidFill>
            </a:rPr>
            <a:t> (or </a:t>
          </a:r>
          <a:r>
            <a:rPr lang="en-US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Owner investment capital</a:t>
          </a:r>
          <a:r>
            <a:rPr lang="en-US" sz="1100" b="0" baseline="0">
              <a:solidFill>
                <a:srgbClr val="FF0000"/>
              </a:solidFill>
            </a:rPr>
            <a:t>)</a:t>
          </a:r>
        </a:p>
        <a:p>
          <a:pPr algn="l"/>
          <a:r>
            <a:rPr lang="en-US" sz="1100" b="0">
              <a:solidFill>
                <a:srgbClr val="FF0000"/>
              </a:solidFill>
            </a:rPr>
            <a:t>+ Share premium (share</a:t>
          </a:r>
          <a:r>
            <a:rPr lang="en-US" sz="1100" b="0" baseline="0">
              <a:solidFill>
                <a:srgbClr val="FF0000"/>
              </a:solidFill>
            </a:rPr>
            <a:t> </a:t>
          </a:r>
          <a:r>
            <a:rPr lang="en-US" sz="1100" b="0">
              <a:solidFill>
                <a:srgbClr val="FF0000"/>
              </a:solidFill>
            </a:rPr>
            <a:t>capital surplus)</a:t>
          </a:r>
        </a:p>
        <a:p>
          <a:pPr algn="l"/>
          <a:r>
            <a:rPr lang="en-US" sz="1100" b="0">
              <a:solidFill>
                <a:srgbClr val="FF0000"/>
              </a:solidFill>
            </a:rPr>
            <a:t>+</a:t>
          </a:r>
          <a:r>
            <a:rPr lang="en-US" sz="1100" b="0" baseline="0">
              <a:solidFill>
                <a:srgbClr val="FF0000"/>
              </a:solidFill>
            </a:rPr>
            <a:t> Treasury stock (or stock buy-back)</a:t>
          </a:r>
        </a:p>
        <a:p>
          <a:pPr algn="l"/>
          <a:r>
            <a:rPr lang="en-US" sz="1100" b="1" baseline="0">
              <a:solidFill>
                <a:srgbClr val="FF0000"/>
              </a:solidFill>
            </a:rPr>
            <a:t>BROAD RETAINED EARNINGS</a:t>
          </a:r>
          <a:endParaRPr lang="en-US" sz="1100" b="0" baseline="0">
            <a:solidFill>
              <a:srgbClr val="FF0000"/>
            </a:solidFill>
          </a:endParaRPr>
        </a:p>
        <a:p>
          <a:pPr algn="l"/>
          <a:r>
            <a:rPr lang="en-US" sz="1100" b="0" baseline="0">
              <a:solidFill>
                <a:srgbClr val="FF0000"/>
              </a:solidFill>
            </a:rPr>
            <a:t>+ Retained earnings (reported)</a:t>
          </a:r>
        </a:p>
        <a:p>
          <a:pPr algn="l"/>
          <a:r>
            <a:rPr lang="en-US" sz="1100" b="0" baseline="0">
              <a:solidFill>
                <a:srgbClr val="FF0000"/>
              </a:solidFill>
            </a:rPr>
            <a:t>+ Investment &amp; Development funds</a:t>
          </a:r>
        </a:p>
        <a:p>
          <a:pPr algn="l"/>
          <a:r>
            <a:rPr lang="en-US" sz="1100" b="0" baseline="0">
              <a:solidFill>
                <a:srgbClr val="FF0000"/>
              </a:solidFill>
            </a:rPr>
            <a:t>+ Financial reserve funds</a:t>
          </a:r>
        </a:p>
        <a:p>
          <a:pPr algn="l"/>
          <a:r>
            <a:rPr lang="en-US" sz="1100" b="0" baseline="0">
              <a:solidFill>
                <a:srgbClr val="FF0000"/>
              </a:solidFill>
            </a:rPr>
            <a:t>+ Bonus funds (the item is on liability block, but it is derived from Company's earnings)</a:t>
          </a:r>
          <a:endParaRPr lang="en-US" sz="1100" b="1" baseline="0">
            <a:solidFill>
              <a:srgbClr val="FF0000"/>
            </a:solidFill>
          </a:endParaRPr>
        </a:p>
        <a:p>
          <a:pPr algn="l"/>
          <a:endParaRPr 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433917</xdr:colOff>
      <xdr:row>18</xdr:row>
      <xdr:rowOff>0</xdr:rowOff>
    </xdr:from>
    <xdr:to>
      <xdr:col>26</xdr:col>
      <xdr:colOff>359833</xdr:colOff>
      <xdr:row>27</xdr:row>
      <xdr:rowOff>42333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9BE6A3-6B3B-4B22-A4BF-D4898851C4B5}"/>
            </a:ext>
          </a:extLst>
        </xdr:cNvPr>
        <xdr:cNvSpPr txBox="1"/>
      </xdr:nvSpPr>
      <xdr:spPr>
        <a:xfrm>
          <a:off x="22747817" y="3308350"/>
          <a:ext cx="3570816" cy="14964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solidFill>
                <a:srgbClr val="FF0000"/>
              </a:solidFill>
            </a:rPr>
            <a:t>REPORTED RETAINED EARNINGS</a:t>
          </a:r>
        </a:p>
        <a:p>
          <a:pPr algn="l"/>
          <a:endParaRPr lang="en-US" sz="1100" b="1" baseline="0">
            <a:solidFill>
              <a:srgbClr val="FF0000"/>
            </a:solidFill>
          </a:endParaRPr>
        </a:p>
        <a:p>
          <a:pPr algn="l"/>
          <a:r>
            <a:rPr lang="en-US" sz="1100" b="0" baseline="0">
              <a:solidFill>
                <a:srgbClr val="FF0000"/>
              </a:solidFill>
            </a:rPr>
            <a:t>Breakdown </a:t>
          </a:r>
          <a:r>
            <a:rPr lang="en-US" sz="1100" b="1" baseline="0">
              <a:solidFill>
                <a:srgbClr val="FF0000"/>
              </a:solidFill>
            </a:rPr>
            <a:t>"Transfers to funds"</a:t>
          </a:r>
          <a:r>
            <a:rPr lang="en-US" sz="1100" b="0" baseline="0">
              <a:solidFill>
                <a:srgbClr val="FF0000"/>
              </a:solidFill>
            </a:rPr>
            <a:t> (below) then link back to retained earnings.</a:t>
          </a:r>
        </a:p>
        <a:p>
          <a:pPr algn="l"/>
          <a:endParaRPr lang="en-US" sz="1100" b="0" baseline="0">
            <a:solidFill>
              <a:srgbClr val="FF0000"/>
            </a:solidFill>
          </a:endParaRPr>
        </a:p>
        <a:p>
          <a:pPr algn="l"/>
          <a:r>
            <a:rPr lang="en-US" sz="1100" b="0" baseline="0">
              <a:solidFill>
                <a:srgbClr val="FF0000"/>
              </a:solidFill>
            </a:rPr>
            <a:t>For </a:t>
          </a:r>
          <a:r>
            <a:rPr lang="en-US" sz="1100" b="1" baseline="0">
              <a:solidFill>
                <a:srgbClr val="FF0000"/>
              </a:solidFill>
            </a:rPr>
            <a:t>Dividend</a:t>
          </a:r>
          <a:r>
            <a:rPr lang="en-US" sz="1100" b="0" baseline="0">
              <a:solidFill>
                <a:srgbClr val="FF0000"/>
              </a:solidFill>
            </a:rPr>
            <a:t>: Make a ssumption of dividend payment based on par value</a:t>
          </a:r>
        </a:p>
      </xdr:txBody>
    </xdr:sp>
    <xdr:clientData/>
  </xdr:twoCellAnchor>
  <xdr:twoCellAnchor>
    <xdr:from>
      <xdr:col>21</xdr:col>
      <xdr:colOff>423333</xdr:colOff>
      <xdr:row>35</xdr:row>
      <xdr:rowOff>148167</xdr:rowOff>
    </xdr:from>
    <xdr:to>
      <xdr:col>26</xdr:col>
      <xdr:colOff>349249</xdr:colOff>
      <xdr:row>44</xdr:row>
      <xdr:rowOff>35718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25839A-872B-4CB1-9FDD-B0BB6B0670B7}"/>
            </a:ext>
          </a:extLst>
        </xdr:cNvPr>
        <xdr:cNvSpPr txBox="1"/>
      </xdr:nvSpPr>
      <xdr:spPr>
        <a:xfrm>
          <a:off x="22737233" y="6199717"/>
          <a:ext cx="3570816" cy="13671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solidFill>
                <a:srgbClr val="FF0000"/>
              </a:solidFill>
            </a:rPr>
            <a:t>CHARTERED CAPTIAL; SHARE PREMIUM; TREASURY STOCK</a:t>
          </a:r>
        </a:p>
        <a:p>
          <a:pPr algn="l"/>
          <a:endParaRPr lang="en-US" sz="1100" b="1" baseline="0">
            <a:solidFill>
              <a:srgbClr val="FF0000"/>
            </a:solidFill>
          </a:endParaRPr>
        </a:p>
        <a:p>
          <a:pPr algn="l"/>
          <a:r>
            <a:rPr lang="en-US" sz="1100" b="1" baseline="0">
              <a:solidFill>
                <a:srgbClr val="FF0000"/>
              </a:solidFill>
            </a:rPr>
            <a:t>Simple assumption: </a:t>
          </a:r>
          <a:r>
            <a:rPr lang="en-US" sz="1100" b="0" baseline="0">
              <a:solidFill>
                <a:srgbClr val="FF0000"/>
              </a:solidFill>
            </a:rPr>
            <a:t>No change . We have no clue about the ammount investors pay for company's share in the future</a:t>
          </a:r>
        </a:p>
        <a:p>
          <a:pPr algn="l"/>
          <a:endParaRPr lang="en-US" sz="1100" b="1" baseline="0">
            <a:solidFill>
              <a:srgbClr val="FF0000"/>
            </a:solidFill>
          </a:endParaRPr>
        </a:p>
        <a:p>
          <a:pPr algn="l"/>
          <a:endParaRPr lang="en-US" sz="1100" b="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95250</xdr:colOff>
      <xdr:row>4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FC187-4E2C-4961-9C5B-33B66D1989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711200"/>
          <a:ext cx="95250" cy="1066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704850</xdr:colOff>
      <xdr:row>4</xdr:row>
      <xdr:rowOff>107016</xdr:rowOff>
    </xdr:from>
    <xdr:to>
      <xdr:col>29</xdr:col>
      <xdr:colOff>478491</xdr:colOff>
      <xdr:row>14</xdr:row>
      <xdr:rowOff>1121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7932F0B-1F31-4E5B-B112-E15E3B8E5A10}"/>
            </a:ext>
          </a:extLst>
        </xdr:cNvPr>
        <xdr:cNvSpPr/>
      </xdr:nvSpPr>
      <xdr:spPr>
        <a:xfrm>
          <a:off x="24923750" y="780116"/>
          <a:ext cx="5729941" cy="1532405"/>
        </a:xfrm>
        <a:prstGeom prst="rect">
          <a:avLst/>
        </a:prstGeom>
        <a:solidFill>
          <a:schemeClr val="bg1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0000"/>
              </a:solidFill>
            </a:rPr>
            <a:t>Assumption:</a:t>
          </a:r>
          <a:endParaRPr lang="en-US" sz="1100" b="0">
            <a:solidFill>
              <a:srgbClr val="FF0000"/>
            </a:solidFill>
          </a:endParaRPr>
        </a:p>
        <a:p>
          <a:pPr algn="l"/>
          <a:r>
            <a:rPr lang="en-US" sz="1100">
              <a:solidFill>
                <a:srgbClr val="FF0000"/>
              </a:solidFill>
            </a:rPr>
            <a:t>1/ Bia: </a:t>
          </a:r>
        </a:p>
        <a:p>
          <a:pPr algn="l"/>
          <a:r>
            <a:rPr lang="en-US" sz="1100">
              <a:solidFill>
                <a:srgbClr val="FF0000"/>
              </a:solidFill>
            </a:rPr>
            <a:t>2/ Bao bì</a:t>
          </a:r>
          <a:r>
            <a:rPr lang="en-US" sz="1100" baseline="0">
              <a:solidFill>
                <a:srgbClr val="FF0000"/>
              </a:solidFill>
            </a:rPr>
            <a:t> vật tư: Sản xuất và kinh doanh nắp khoén thiếc và bao bì kim loại, bao bì phục vụ ngành thực phẩm</a:t>
          </a:r>
        </a:p>
        <a:p>
          <a:pPr algn="l"/>
          <a:r>
            <a:rPr lang="en-US" sz="1100" baseline="0">
              <a:solidFill>
                <a:srgbClr val="FF0000"/>
              </a:solidFill>
            </a:rPr>
            <a:t>3/ Nước giải khát: </a:t>
          </a:r>
        </a:p>
        <a:p>
          <a:pPr algn="l"/>
          <a:r>
            <a:rPr lang="en-US" sz="1100" baseline="0">
              <a:solidFill>
                <a:srgbClr val="FF0000"/>
              </a:solidFill>
            </a:rPr>
            <a:t>4/ Khác: chỉ chiếm 1% doanh thu, tốc độ tăng trưởng dự phóng bằng trung bình 4 năm.</a:t>
          </a: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222437</xdr:colOff>
      <xdr:row>6</xdr:row>
      <xdr:rowOff>81241</xdr:rowOff>
    </xdr:from>
    <xdr:to>
      <xdr:col>26</xdr:col>
      <xdr:colOff>444873</xdr:colOff>
      <xdr:row>21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A55348-C169-4AFE-B09F-5328E906C9F1}"/>
            </a:ext>
          </a:extLst>
        </xdr:cNvPr>
        <xdr:cNvSpPr txBox="1"/>
      </xdr:nvSpPr>
      <xdr:spPr>
        <a:xfrm>
          <a:off x="18942237" y="1128991"/>
          <a:ext cx="3562536" cy="24428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IN GENERAL</a:t>
          </a:r>
        </a:p>
        <a:p>
          <a:r>
            <a:rPr lang="en-US" sz="1100" b="1">
              <a:solidFill>
                <a:srgbClr val="FF0000"/>
              </a:solidFill>
            </a:rPr>
            <a:t>Total Fixed assets</a:t>
          </a:r>
          <a:r>
            <a:rPr lang="en-US" sz="1100" b="1" baseline="0">
              <a:solidFill>
                <a:srgbClr val="FF0000"/>
              </a:solidFill>
            </a:rPr>
            <a:t> =</a:t>
          </a:r>
          <a:r>
            <a:rPr lang="en-US" sz="1100" b="0" baseline="0">
              <a:solidFill>
                <a:srgbClr val="FF0000"/>
              </a:solidFill>
            </a:rPr>
            <a:t> Old Fixed + New Fixed</a:t>
          </a:r>
        </a:p>
        <a:p>
          <a:endParaRPr lang="en-US" sz="1100" b="0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Old Fixed: </a:t>
          </a:r>
        </a:p>
        <a:p>
          <a:r>
            <a:rPr lang="en-US" sz="1100" b="0" baseline="0">
              <a:solidFill>
                <a:srgbClr val="FF0000"/>
              </a:solidFill>
            </a:rPr>
            <a:t>+ Historical  cost: unchanged</a:t>
          </a:r>
        </a:p>
        <a:p>
          <a:r>
            <a:rPr lang="en-US" sz="1100" b="0" baseline="0">
              <a:solidFill>
                <a:srgbClr val="FF0000"/>
              </a:solidFill>
            </a:rPr>
            <a:t>+ Depreciation: same  schedule as historical</a:t>
          </a:r>
        </a:p>
        <a:p>
          <a:r>
            <a:rPr lang="en-US" sz="1100" b="0" baseline="0">
              <a:solidFill>
                <a:srgbClr val="FF0000"/>
              </a:solidFill>
            </a:rPr>
            <a:t>* Intangible assets includes land use rights and others.  Land use rights remained unchanged</a:t>
          </a:r>
        </a:p>
        <a:p>
          <a:endParaRPr lang="en-US" sz="1100" b="0" baseline="0">
            <a:solidFill>
              <a:srgbClr val="FF0000"/>
            </a:solidFill>
          </a:endParaRPr>
        </a:p>
        <a:p>
          <a:r>
            <a:rPr lang="en-US" sz="1100" b="1" baseline="0">
              <a:solidFill>
                <a:srgbClr val="FF0000"/>
              </a:solidFill>
            </a:rPr>
            <a:t>New Fixed:</a:t>
          </a:r>
        </a:p>
        <a:p>
          <a:r>
            <a:rPr lang="en-US" sz="1100" b="0" baseline="0">
              <a:solidFill>
                <a:srgbClr val="FF0000"/>
              </a:solidFill>
            </a:rPr>
            <a:t>+ Cost: Make assumption, normally based on Company's expansion plan</a:t>
          </a:r>
        </a:p>
        <a:p>
          <a:r>
            <a:rPr lang="en-US" sz="1100" b="0" baseline="0">
              <a:solidFill>
                <a:srgbClr val="FF0000"/>
              </a:solidFill>
            </a:rPr>
            <a:t>+ Depreciation: assume same schedule as old assets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224117</xdr:colOff>
      <xdr:row>83</xdr:row>
      <xdr:rowOff>78441</xdr:rowOff>
    </xdr:from>
    <xdr:to>
      <xdr:col>24</xdr:col>
      <xdr:colOff>22411</xdr:colOff>
      <xdr:row>86</xdr:row>
      <xdr:rowOff>123265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06A755-92FE-4F43-B75B-C12E2AFF5AC9}"/>
            </a:ext>
          </a:extLst>
        </xdr:cNvPr>
        <xdr:cNvSpPr txBox="1"/>
      </xdr:nvSpPr>
      <xdr:spPr>
        <a:xfrm>
          <a:off x="17000817" y="13534091"/>
          <a:ext cx="3684494" cy="533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Investment</a:t>
          </a:r>
          <a:r>
            <a:rPr lang="en-US" sz="1100" b="1" baseline="0">
              <a:solidFill>
                <a:srgbClr val="FF0000"/>
              </a:solidFill>
            </a:rPr>
            <a:t> properties</a:t>
          </a:r>
          <a:endParaRPr lang="en-US" sz="1100" b="1">
            <a:solidFill>
              <a:srgbClr val="FF0000"/>
            </a:solidFill>
          </a:endParaRPr>
        </a:p>
        <a:p>
          <a:r>
            <a:rPr lang="en-US" sz="1100" b="0">
              <a:solidFill>
                <a:srgbClr val="FF0000"/>
              </a:solidFill>
            </a:rPr>
            <a:t>Same as</a:t>
          </a:r>
          <a:r>
            <a:rPr lang="en-US" sz="1100" b="0" baseline="0">
              <a:solidFill>
                <a:srgbClr val="FF0000"/>
              </a:solidFill>
            </a:rPr>
            <a:t> Tangible</a:t>
          </a:r>
          <a:endParaRPr lang="en-US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201706</xdr:colOff>
      <xdr:row>138</xdr:row>
      <xdr:rowOff>11206</xdr:rowOff>
    </xdr:from>
    <xdr:to>
      <xdr:col>23</xdr:col>
      <xdr:colOff>784412</xdr:colOff>
      <xdr:row>143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9EA00C-E4E6-4D7B-9893-4599B9969988}"/>
            </a:ext>
          </a:extLst>
        </xdr:cNvPr>
        <xdr:cNvSpPr txBox="1"/>
      </xdr:nvSpPr>
      <xdr:spPr>
        <a:xfrm>
          <a:off x="16978406" y="22471156"/>
          <a:ext cx="3497356" cy="912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New assets'</a:t>
          </a:r>
          <a:r>
            <a:rPr lang="en-US" sz="1100" b="1" baseline="0">
              <a:solidFill>
                <a:srgbClr val="FF0000"/>
              </a:solidFill>
            </a:rPr>
            <a:t> s D&amp;A schedule</a:t>
          </a:r>
        </a:p>
        <a:p>
          <a:pPr algn="l"/>
          <a:endParaRPr lang="en-US" sz="1100" b="1" baseline="0">
            <a:solidFill>
              <a:srgbClr val="FF0000"/>
            </a:solidFill>
          </a:endParaRPr>
        </a:p>
        <a:p>
          <a:pPr algn="l"/>
          <a:r>
            <a:rPr lang="en-US" sz="1100" b="1" baseline="0">
              <a:solidFill>
                <a:srgbClr val="FF0000"/>
              </a:solidFill>
            </a:rPr>
            <a:t>Assumption: </a:t>
          </a:r>
          <a:r>
            <a:rPr lang="en-US" sz="1100" b="0" baseline="0">
              <a:solidFill>
                <a:srgbClr val="FF0000"/>
              </a:solidFill>
            </a:rPr>
            <a:t>Useful life to be the same as the old fixed assets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7882-F971-412A-B87F-25414CEE162E}">
  <sheetPr>
    <tabColor theme="8" tint="0.39997558519241921"/>
  </sheetPr>
  <dimension ref="A1:AC124"/>
  <sheetViews>
    <sheetView tabSelected="1" zoomScale="60" zoomScaleNormal="60" workbookViewId="0">
      <selection activeCell="C9" sqref="C9"/>
    </sheetView>
  </sheetViews>
  <sheetFormatPr defaultRowHeight="14"/>
  <cols>
    <col min="1" max="1" width="25.4140625" customWidth="1"/>
    <col min="2" max="2" width="18.75" customWidth="1"/>
    <col min="3" max="3" width="29.4140625" customWidth="1"/>
    <col min="4" max="4" width="15.33203125" bestFit="1" customWidth="1"/>
    <col min="5" max="5" width="11.75" bestFit="1" customWidth="1"/>
    <col min="6" max="6" width="10.4140625" bestFit="1" customWidth="1"/>
    <col min="7" max="7" width="12.4140625" bestFit="1" customWidth="1"/>
    <col min="8" max="8" width="13.9140625" customWidth="1"/>
    <col min="9" max="10" width="11.75" bestFit="1" customWidth="1"/>
    <col min="11" max="11" width="12" bestFit="1" customWidth="1"/>
    <col min="12" max="12" width="14.25" bestFit="1" customWidth="1"/>
    <col min="13" max="13" width="18.75" bestFit="1" customWidth="1"/>
    <col min="14" max="14" width="11.75" customWidth="1"/>
    <col min="15" max="15" width="12.58203125" customWidth="1"/>
    <col min="16" max="16" width="12.75" customWidth="1"/>
    <col min="17" max="17" width="12" bestFit="1" customWidth="1"/>
    <col min="18" max="18" width="25.58203125" customWidth="1"/>
    <col min="19" max="19" width="27.25" customWidth="1"/>
    <col min="21" max="21" width="20" bestFit="1" customWidth="1"/>
    <col min="22" max="22" width="25.25" customWidth="1"/>
  </cols>
  <sheetData>
    <row r="1" spans="1:29">
      <c r="A1" s="107" t="s">
        <v>1062</v>
      </c>
      <c r="B1" s="107"/>
      <c r="C1" s="107"/>
      <c r="K1" t="s">
        <v>948</v>
      </c>
    </row>
    <row r="2" spans="1:29">
      <c r="A2" s="169" t="s">
        <v>949</v>
      </c>
      <c r="B2" s="169" t="s">
        <v>185</v>
      </c>
      <c r="C2" s="169"/>
      <c r="K2" t="s">
        <v>950</v>
      </c>
    </row>
    <row r="3" spans="1:29">
      <c r="A3" t="s">
        <v>951</v>
      </c>
      <c r="B3" s="34">
        <v>46022</v>
      </c>
      <c r="K3" t="s">
        <v>952</v>
      </c>
    </row>
    <row r="4" spans="1:29" s="76" customFormat="1">
      <c r="A4" s="76" t="s">
        <v>953</v>
      </c>
      <c r="B4" s="1085">
        <v>45748</v>
      </c>
      <c r="C4" s="927"/>
    </row>
    <row r="8" spans="1:29">
      <c r="A8" s="928" t="s">
        <v>954</v>
      </c>
      <c r="B8" s="929" t="s">
        <v>955</v>
      </c>
      <c r="C8" s="930"/>
      <c r="I8" t="s">
        <v>956</v>
      </c>
      <c r="R8" s="797" t="s">
        <v>957</v>
      </c>
      <c r="S8" t="s">
        <v>958</v>
      </c>
    </row>
    <row r="9" spans="1:29">
      <c r="A9" s="931" t="s">
        <v>959</v>
      </c>
      <c r="B9" s="932">
        <f>ROUND(E21,-2)</f>
        <v>55700</v>
      </c>
      <c r="C9" s="933"/>
      <c r="L9" s="934" t="s">
        <v>960</v>
      </c>
      <c r="M9" s="935">
        <f>M10*M11*(1+B15)+M13*M12</f>
        <v>0.10392437180587559</v>
      </c>
      <c r="R9" s="795" t="s">
        <v>961</v>
      </c>
      <c r="S9" t="s">
        <v>416</v>
      </c>
    </row>
    <row r="10" spans="1:29">
      <c r="A10" s="931" t="s">
        <v>962</v>
      </c>
      <c r="B10" s="936">
        <f>B9/B11-1</f>
        <v>0.2573363431151241</v>
      </c>
      <c r="C10" s="937"/>
      <c r="H10" s="934" t="s">
        <v>963</v>
      </c>
      <c r="I10" s="102"/>
      <c r="J10" s="938">
        <f>J12+J11*J13</f>
        <v>0.10423199999999999</v>
      </c>
      <c r="L10" s="939" t="s">
        <v>964</v>
      </c>
      <c r="M10" s="940">
        <f>-Debt!N91</f>
        <v>7.8862231039288758E-2</v>
      </c>
      <c r="R10" t="s">
        <v>965</v>
      </c>
      <c r="S10" t="s">
        <v>966</v>
      </c>
    </row>
    <row r="11" spans="1:29">
      <c r="A11" s="931" t="s">
        <v>967</v>
      </c>
      <c r="B11" s="941">
        <v>44300</v>
      </c>
      <c r="C11" s="942"/>
      <c r="H11" s="939" t="s">
        <v>968</v>
      </c>
      <c r="J11" s="943">
        <v>0.74</v>
      </c>
      <c r="L11" s="939" t="s">
        <v>969</v>
      </c>
      <c r="M11" s="944">
        <f>1-M13</f>
        <v>7.6102447538028972E-3</v>
      </c>
    </row>
    <row r="12" spans="1:29" ht="14.5" thickBot="1">
      <c r="A12" s="945" t="s">
        <v>970</v>
      </c>
      <c r="B12" s="1086">
        <v>1282</v>
      </c>
      <c r="C12" s="946"/>
      <c r="D12" s="35"/>
      <c r="H12" s="939" t="s">
        <v>971</v>
      </c>
      <c r="J12" s="947">
        <v>0.04</v>
      </c>
      <c r="L12" s="939" t="s">
        <v>963</v>
      </c>
      <c r="M12" s="948">
        <f>J10</f>
        <v>0.10423199999999999</v>
      </c>
      <c r="R12" s="1109" t="s">
        <v>972</v>
      </c>
      <c r="S12" s="1109"/>
    </row>
    <row r="13" spans="1:29">
      <c r="A13" s="945" t="s">
        <v>973</v>
      </c>
      <c r="B13" s="949">
        <f>B12*B11</f>
        <v>56792600</v>
      </c>
      <c r="C13" s="950"/>
      <c r="H13" s="951" t="s">
        <v>974</v>
      </c>
      <c r="I13" s="76"/>
      <c r="J13" s="952">
        <v>8.6800000000000002E-2</v>
      </c>
      <c r="L13" s="939" t="s">
        <v>975</v>
      </c>
      <c r="M13" s="944">
        <f>M14/(M14+M15)</f>
        <v>0.9923897552461971</v>
      </c>
      <c r="R13" s="953" t="s">
        <v>976</v>
      </c>
      <c r="S13" s="954">
        <f>M9</f>
        <v>0.10392437180587559</v>
      </c>
    </row>
    <row r="14" spans="1:29">
      <c r="A14" s="945" t="s">
        <v>977</v>
      </c>
      <c r="B14" s="955">
        <f>H73</f>
        <v>435520</v>
      </c>
      <c r="C14" s="956"/>
      <c r="G14" s="957"/>
      <c r="L14" s="939" t="s">
        <v>978</v>
      </c>
      <c r="M14" s="958">
        <f>B13</f>
        <v>56792600</v>
      </c>
      <c r="R14" s="959" t="s">
        <v>979</v>
      </c>
      <c r="S14" s="960">
        <f>J12</f>
        <v>0.04</v>
      </c>
    </row>
    <row r="15" spans="1:29">
      <c r="A15" s="961" t="s">
        <v>980</v>
      </c>
      <c r="B15" s="962">
        <f>'1IS'!O47</f>
        <v>-0.19087889063734637</v>
      </c>
      <c r="C15" s="963"/>
      <c r="L15" s="951" t="s">
        <v>981</v>
      </c>
      <c r="M15" s="964">
        <f>B14</f>
        <v>435520</v>
      </c>
      <c r="R15" s="959" t="s">
        <v>982</v>
      </c>
      <c r="S15" s="965">
        <f>J13</f>
        <v>8.6800000000000002E-2</v>
      </c>
      <c r="X15" s="1110"/>
      <c r="Y15" s="1110"/>
      <c r="Z15" s="1110"/>
      <c r="AA15" s="966"/>
      <c r="AB15" s="966"/>
      <c r="AC15" s="966"/>
    </row>
    <row r="16" spans="1:29">
      <c r="B16" s="963"/>
      <c r="C16" s="963"/>
      <c r="M16" s="375"/>
      <c r="R16" s="959" t="s">
        <v>968</v>
      </c>
      <c r="S16" s="967">
        <f>J11</f>
        <v>0.74</v>
      </c>
    </row>
    <row r="17" spans="1:29">
      <c r="B17" s="968" t="s">
        <v>983</v>
      </c>
      <c r="C17" s="968"/>
      <c r="D17" s="968"/>
      <c r="E17" s="968"/>
      <c r="L17" s="2"/>
      <c r="R17" s="959" t="s">
        <v>984</v>
      </c>
      <c r="S17" s="960">
        <f>M10</f>
        <v>7.8862231039288758E-2</v>
      </c>
      <c r="X17" s="969"/>
      <c r="Y17" s="970"/>
      <c r="Z17" s="970"/>
      <c r="AA17" s="970"/>
      <c r="AB17" s="970"/>
      <c r="AC17" s="970"/>
    </row>
    <row r="18" spans="1:29">
      <c r="B18" s="971"/>
      <c r="C18" s="972"/>
      <c r="D18" s="972" t="s">
        <v>985</v>
      </c>
      <c r="E18" s="972" t="s">
        <v>959</v>
      </c>
      <c r="L18" s="2"/>
      <c r="R18" s="959" t="s">
        <v>986</v>
      </c>
      <c r="S18" s="973">
        <f>M12</f>
        <v>0.10423199999999999</v>
      </c>
      <c r="X18" s="969"/>
      <c r="Y18" s="970"/>
      <c r="Z18" s="970"/>
      <c r="AA18" s="970"/>
      <c r="AB18" s="970"/>
      <c r="AC18" s="970"/>
    </row>
    <row r="19" spans="1:29">
      <c r="B19" s="974" t="s">
        <v>987</v>
      </c>
      <c r="D19" s="975">
        <v>0.5</v>
      </c>
      <c r="E19" s="976">
        <f>D98</f>
        <v>57700</v>
      </c>
      <c r="R19" s="959" t="s">
        <v>988</v>
      </c>
      <c r="S19" s="967">
        <f>M15/M14</f>
        <v>7.6686047125857949E-3</v>
      </c>
      <c r="V19" s="54"/>
      <c r="X19" s="969"/>
      <c r="Y19" s="970"/>
      <c r="Z19" s="970"/>
      <c r="AA19" s="970"/>
      <c r="AB19" s="970"/>
      <c r="AC19" s="970"/>
    </row>
    <row r="20" spans="1:29" ht="14.5" thickBot="1">
      <c r="B20" s="974" t="s">
        <v>989</v>
      </c>
      <c r="D20" s="977">
        <f>1-D19</f>
        <v>0.5</v>
      </c>
      <c r="E20" s="976">
        <f>D124</f>
        <v>53657.890848101204</v>
      </c>
      <c r="R20" s="978" t="s">
        <v>977</v>
      </c>
      <c r="S20" s="979">
        <f>M15</f>
        <v>435520</v>
      </c>
      <c r="X20" s="969"/>
      <c r="Y20" s="970"/>
      <c r="Z20" s="970"/>
      <c r="AA20" s="970"/>
      <c r="AB20" s="970"/>
      <c r="AC20" s="970"/>
    </row>
    <row r="21" spans="1:29">
      <c r="B21" s="971" t="s">
        <v>768</v>
      </c>
      <c r="C21" s="972"/>
      <c r="D21" s="980">
        <v>1</v>
      </c>
      <c r="E21" s="981">
        <f>SUMPRODUCT(D19:D20,E19:E20)</f>
        <v>55678.945424050602</v>
      </c>
      <c r="F21" s="982"/>
      <c r="R21" s="1111"/>
      <c r="S21" s="1111"/>
      <c r="X21" s="969"/>
      <c r="Y21" s="970"/>
      <c r="Z21" s="970"/>
      <c r="AA21" s="970"/>
      <c r="AB21" s="970"/>
      <c r="AC21" s="970"/>
    </row>
    <row r="22" spans="1:29">
      <c r="X22" s="969"/>
      <c r="Y22" s="970"/>
      <c r="Z22" s="970"/>
      <c r="AA22" s="970"/>
      <c r="AB22" s="970"/>
      <c r="AC22" s="970"/>
    </row>
    <row r="24" spans="1:29">
      <c r="K24" s="39"/>
    </row>
    <row r="25" spans="1:29">
      <c r="B25" s="107"/>
      <c r="C25" s="107"/>
      <c r="D25" s="984"/>
      <c r="E25" s="985">
        <f t="shared" ref="E25:I25" si="0">E27/D27</f>
        <v>1.2197258531599569</v>
      </c>
      <c r="F25" s="985">
        <f t="shared" si="0"/>
        <v>0.91931283830538746</v>
      </c>
      <c r="G25" s="985">
        <f t="shared" si="0"/>
        <v>0.79591403094202251</v>
      </c>
      <c r="H25" s="985">
        <f t="shared" si="0"/>
        <v>1.399687222040539</v>
      </c>
      <c r="I25" s="985">
        <f t="shared" si="0"/>
        <v>0.77367441495124001</v>
      </c>
      <c r="J25" s="985">
        <f>J27/I27</f>
        <v>1.0563379586576243</v>
      </c>
      <c r="K25" s="985">
        <f t="shared" ref="K25:N25" si="1">K27/J27</f>
        <v>1.017431577204994</v>
      </c>
      <c r="L25" s="985">
        <f t="shared" si="1"/>
        <v>0.99691456315989124</v>
      </c>
      <c r="M25" s="985">
        <f t="shared" si="1"/>
        <v>1.0331539096414639</v>
      </c>
      <c r="N25" s="985">
        <f t="shared" si="1"/>
        <v>1.0954780566660687</v>
      </c>
    </row>
    <row r="26" spans="1:29">
      <c r="B26" s="986" t="s">
        <v>987</v>
      </c>
      <c r="C26" s="987"/>
      <c r="D26" s="988">
        <v>2018</v>
      </c>
      <c r="E26" s="988">
        <v>1019</v>
      </c>
      <c r="F26" s="988">
        <v>2020</v>
      </c>
      <c r="G26" s="988">
        <v>2021</v>
      </c>
      <c r="H26" s="988">
        <v>2022</v>
      </c>
      <c r="I26" s="988">
        <v>2023</v>
      </c>
      <c r="J26" s="988">
        <v>2024</v>
      </c>
      <c r="K26" s="988">
        <v>2025</v>
      </c>
      <c r="L26" s="988">
        <v>2026</v>
      </c>
      <c r="M26" s="988">
        <v>2027</v>
      </c>
      <c r="N26" s="988">
        <v>2028</v>
      </c>
    </row>
    <row r="27" spans="1:29">
      <c r="B27" s="989" t="s">
        <v>990</v>
      </c>
      <c r="C27" s="107"/>
      <c r="D27" s="990">
        <f>'1IS'!H21</f>
        <v>4402750</v>
      </c>
      <c r="E27" s="990">
        <f>'1IS'!I21</f>
        <v>5370148</v>
      </c>
      <c r="F27" s="990">
        <f>'1IS'!J21</f>
        <v>4936846</v>
      </c>
      <c r="G27" s="990">
        <f>'1IS'!K21</f>
        <v>3929305</v>
      </c>
      <c r="H27" s="990">
        <f>'1IS'!L21</f>
        <v>5499798</v>
      </c>
      <c r="I27" s="990">
        <f>'1IS'!M21</f>
        <v>4255053</v>
      </c>
      <c r="J27" s="990">
        <f>'1IS'!N21</f>
        <v>4494774</v>
      </c>
      <c r="K27" s="990">
        <f>'1IS'!O21</f>
        <v>4573125</v>
      </c>
      <c r="L27" s="990">
        <f>'1IS'!P21</f>
        <v>4559014.9116505776</v>
      </c>
      <c r="M27" s="990">
        <f>'1IS'!Q21</f>
        <v>4710164.0800855272</v>
      </c>
      <c r="N27" s="990">
        <f>'1IS'!R21</f>
        <v>5159881.3930304144</v>
      </c>
    </row>
    <row r="28" spans="1:29">
      <c r="A28" s="957" t="s">
        <v>991</v>
      </c>
      <c r="B28" s="84" t="s">
        <v>992</v>
      </c>
      <c r="D28" s="2"/>
      <c r="I28" s="991">
        <f>SUM('1CF'!J8:J9)</f>
        <v>573450</v>
      </c>
      <c r="J28" s="991">
        <f>SUM('1CF'!K8:K9)</f>
        <v>553199</v>
      </c>
      <c r="K28" s="991">
        <f>SUM('1CF'!L8:L9)</f>
        <v>772739</v>
      </c>
      <c r="L28" s="991">
        <f>SUM('1CF'!M8:M9)</f>
        <v>547559.24803593499</v>
      </c>
      <c r="M28" s="991">
        <f>SUM('1CF'!N8:N9)</f>
        <v>722511.25826342788</v>
      </c>
      <c r="N28" s="991">
        <f>SUM('1CF'!O8:O9)</f>
        <v>870123.89291210007</v>
      </c>
    </row>
    <row r="29" spans="1:29">
      <c r="A29" s="957" t="s">
        <v>991</v>
      </c>
      <c r="B29" s="84" t="s">
        <v>993</v>
      </c>
      <c r="D29" s="2"/>
      <c r="I29" s="991">
        <f>-'1IS'!M8*(1+$B$15)</f>
        <v>40630.016506645647</v>
      </c>
      <c r="J29" s="991">
        <f>-'1IS'!N8*(1+$B$15)</f>
        <v>22210.374452004842</v>
      </c>
      <c r="K29" s="991">
        <f>-'1IS'!O8*(1+$B$15)</f>
        <v>27790.073622169701</v>
      </c>
      <c r="L29" s="991">
        <f>-'1IS'!P8*(1+$B$15)</f>
        <v>26885.738132903323</v>
      </c>
      <c r="M29" s="991">
        <f>-'1IS'!Q8*(1+$B$15)</f>
        <v>28257.775908324875</v>
      </c>
      <c r="N29" s="991">
        <f>-'1IS'!R8*(1+$B$15)</f>
        <v>30638.398839010886</v>
      </c>
    </row>
    <row r="30" spans="1:29">
      <c r="A30" s="957" t="s">
        <v>946</v>
      </c>
      <c r="B30" s="84" t="s">
        <v>994</v>
      </c>
      <c r="D30" s="2"/>
      <c r="I30" s="991">
        <f>-SUM('1CF'!J16:J19)</f>
        <v>1108889</v>
      </c>
      <c r="J30" s="991">
        <f>-SUM('1CF'!K16:K19)</f>
        <v>-691269</v>
      </c>
      <c r="K30" s="991">
        <f>-SUM('1CF'!L16:L19)</f>
        <v>38289</v>
      </c>
      <c r="L30" s="991">
        <f>-SUM('1CF'!M16:M19)</f>
        <v>655074.92161736835</v>
      </c>
      <c r="M30" s="991">
        <f>-SUM('1CF'!N16:N19)</f>
        <v>85454.635747641863</v>
      </c>
      <c r="N30" s="991">
        <f>-SUM('1CF'!O16:O19)</f>
        <v>-179069.21976535342</v>
      </c>
    </row>
    <row r="31" spans="1:29">
      <c r="A31" s="957" t="s">
        <v>946</v>
      </c>
      <c r="B31" s="84" t="s">
        <v>995</v>
      </c>
      <c r="D31" s="2"/>
      <c r="I31" s="991">
        <f>-'1CF'!M21</f>
        <v>33228.323698143628</v>
      </c>
      <c r="J31" s="991">
        <f>-'1CF'!N21</f>
        <v>34924.037429432021</v>
      </c>
      <c r="K31" s="991">
        <f>-'1CF'!O21</f>
        <v>37866.270555151896</v>
      </c>
      <c r="L31" s="991">
        <f>-'1CF'!P21</f>
        <v>39228.537711343641</v>
      </c>
      <c r="M31" s="991">
        <f>-'1CF'!Q21</f>
        <v>41647.580308700984</v>
      </c>
      <c r="N31" s="991">
        <f>-'1CF'!R21</f>
        <v>44356.649507395865</v>
      </c>
    </row>
    <row r="32" spans="1:29">
      <c r="B32" s="992" t="s">
        <v>987</v>
      </c>
      <c r="C32" s="993"/>
      <c r="D32" s="994"/>
      <c r="E32" s="994"/>
      <c r="F32" s="994"/>
      <c r="G32" s="994"/>
      <c r="H32" s="994"/>
      <c r="I32" s="995">
        <f>I27+I28+I29-I30-I31</f>
        <v>3727015.6928085024</v>
      </c>
      <c r="J32" s="995">
        <f t="shared" ref="J32:N32" si="2">J27+J28+J29-J30-J31</f>
        <v>5726528.3370225728</v>
      </c>
      <c r="K32" s="995">
        <f t="shared" si="2"/>
        <v>5297498.8030670183</v>
      </c>
      <c r="L32" s="995">
        <f t="shared" si="2"/>
        <v>4439156.4384907037</v>
      </c>
      <c r="M32" s="995">
        <f t="shared" si="2"/>
        <v>5333830.8982009366</v>
      </c>
      <c r="N32" s="995">
        <f t="shared" si="2"/>
        <v>6195356.2550394824</v>
      </c>
    </row>
    <row r="34" spans="2:14">
      <c r="I34" s="942">
        <f>I26</f>
        <v>2023</v>
      </c>
      <c r="J34" s="942">
        <f t="shared" ref="J34:N34" si="3">J26</f>
        <v>2024</v>
      </c>
      <c r="K34" s="942">
        <f t="shared" si="3"/>
        <v>2025</v>
      </c>
      <c r="L34" s="942">
        <f t="shared" si="3"/>
        <v>2026</v>
      </c>
      <c r="M34" s="942">
        <f t="shared" si="3"/>
        <v>2027</v>
      </c>
      <c r="N34" s="942">
        <f t="shared" si="3"/>
        <v>2028</v>
      </c>
    </row>
    <row r="35" spans="2:14">
      <c r="B35" s="996" t="s">
        <v>960</v>
      </c>
      <c r="C35" s="997"/>
      <c r="D35" s="998">
        <f>M9</f>
        <v>0.10392437180587559</v>
      </c>
      <c r="E35" s="999"/>
      <c r="F35" s="999"/>
      <c r="G35" s="999"/>
      <c r="H35" s="999"/>
      <c r="I35" s="102"/>
      <c r="J35" s="1000"/>
      <c r="K35" s="1000"/>
      <c r="L35" s="1000"/>
      <c r="M35" s="1000"/>
      <c r="N35" s="1001"/>
    </row>
    <row r="36" spans="2:14">
      <c r="B36" s="939" t="s">
        <v>996</v>
      </c>
      <c r="C36" s="1002"/>
      <c r="D36" s="1003"/>
      <c r="E36" s="1003"/>
      <c r="F36" s="1003"/>
      <c r="G36" s="1003"/>
      <c r="H36" s="1003"/>
      <c r="J36" s="1004">
        <f>1/((1+$D$35)^(J26-2020))</f>
        <v>0.67335286729776234</v>
      </c>
      <c r="K36" s="1004">
        <f t="shared" ref="K36:N36" si="4">1/((1+$D$35)^(K26-2020))</f>
        <v>0.60996286022406176</v>
      </c>
      <c r="L36" s="1004">
        <f t="shared" si="4"/>
        <v>0.55254044190205032</v>
      </c>
      <c r="M36" s="1004">
        <f t="shared" si="4"/>
        <v>0.50052381849144845</v>
      </c>
      <c r="N36" s="1004">
        <f t="shared" si="4"/>
        <v>0.45340408389811804</v>
      </c>
    </row>
    <row r="37" spans="2:14">
      <c r="B37" s="939" t="s">
        <v>997</v>
      </c>
      <c r="C37" s="1002"/>
      <c r="D37" s="1003"/>
      <c r="E37" s="1003"/>
      <c r="F37" s="1003"/>
      <c r="G37" s="1003"/>
      <c r="H37" s="1003"/>
      <c r="J37" s="1005">
        <f>J32*J36</f>
        <v>3855974.275396036</v>
      </c>
      <c r="K37" s="1005">
        <f>K32*K36</f>
        <v>3231277.5219523022</v>
      </c>
      <c r="L37" s="1005">
        <f>L32*L36</f>
        <v>2452813.4601959852</v>
      </c>
      <c r="M37" s="1005">
        <f>M32*M36</f>
        <v>2669709.4083552049</v>
      </c>
      <c r="N37" s="1006">
        <f>N32*N36</f>
        <v>2808999.8272386519</v>
      </c>
    </row>
    <row r="38" spans="2:14">
      <c r="B38" s="939" t="s">
        <v>998</v>
      </c>
      <c r="C38" s="1002"/>
      <c r="E38" s="1003"/>
      <c r="F38" s="1003"/>
      <c r="G38" s="1003"/>
      <c r="H38" s="1003"/>
      <c r="J38" s="1007"/>
      <c r="K38" s="1007"/>
      <c r="L38" s="1007"/>
      <c r="M38" s="1007"/>
      <c r="N38" s="1006">
        <f>N37*(1+D48)/(D35-D48)*N36</f>
        <v>12255181.062995913</v>
      </c>
    </row>
    <row r="39" spans="2:14">
      <c r="B39" s="939"/>
      <c r="C39" s="1002"/>
      <c r="E39" s="1003"/>
      <c r="F39" s="1003"/>
      <c r="G39" s="1003"/>
      <c r="H39" s="1003"/>
      <c r="J39" s="1007"/>
      <c r="K39" s="1007"/>
      <c r="L39" s="1007"/>
      <c r="M39" s="1007"/>
      <c r="N39" s="1005"/>
    </row>
    <row r="40" spans="2:14">
      <c r="B40" s="939"/>
      <c r="C40" s="1002"/>
      <c r="E40" s="1003"/>
      <c r="F40" s="1003"/>
      <c r="G40" s="1003"/>
      <c r="H40" s="1003"/>
      <c r="J40" s="1007"/>
      <c r="K40" s="1007"/>
      <c r="L40" s="1007"/>
      <c r="M40" s="1007"/>
      <c r="N40" s="1005"/>
    </row>
    <row r="41" spans="2:14">
      <c r="B41" s="939"/>
      <c r="C41" s="1002"/>
      <c r="E41" s="1003"/>
      <c r="F41" s="1003"/>
      <c r="G41" s="1003"/>
      <c r="H41" s="1003"/>
      <c r="J41" s="1007"/>
      <c r="K41" s="1007"/>
      <c r="L41" s="1007"/>
      <c r="M41" s="1007"/>
      <c r="N41" s="1005"/>
    </row>
    <row r="42" spans="2:14">
      <c r="B42" s="939"/>
      <c r="C42" s="1002"/>
      <c r="E42" s="1003"/>
      <c r="F42" s="1003"/>
      <c r="G42" s="1003"/>
      <c r="H42" s="1003"/>
      <c r="J42" s="1007"/>
      <c r="K42" s="1007"/>
      <c r="L42" s="1007"/>
      <c r="M42" s="1007"/>
      <c r="N42" s="1005"/>
    </row>
    <row r="43" spans="2:14">
      <c r="B43" s="939"/>
      <c r="C43" s="1002"/>
      <c r="E43" s="1003"/>
      <c r="F43" s="1003"/>
      <c r="G43" s="1003"/>
      <c r="H43" s="1003"/>
      <c r="J43" s="1007"/>
      <c r="K43" s="1007"/>
      <c r="L43" s="1007"/>
      <c r="M43" s="1007"/>
      <c r="N43" s="1005"/>
    </row>
    <row r="44" spans="2:14">
      <c r="B44" s="939"/>
      <c r="C44" s="1002"/>
      <c r="E44" s="1003"/>
      <c r="F44" s="1003"/>
      <c r="G44" s="1003"/>
      <c r="H44" s="1003"/>
      <c r="J44" s="1007"/>
      <c r="K44" s="1007"/>
      <c r="L44" s="1007"/>
      <c r="M44" s="1007"/>
      <c r="N44" s="1005"/>
    </row>
    <row r="45" spans="2:14">
      <c r="B45" s="939"/>
      <c r="C45" s="1002"/>
      <c r="E45" s="1003"/>
      <c r="F45" s="1003"/>
      <c r="G45" s="1003"/>
      <c r="H45" s="1003"/>
      <c r="J45" s="1007"/>
      <c r="K45" s="1007"/>
      <c r="L45" s="1007"/>
      <c r="M45" s="1007"/>
      <c r="N45" s="1005"/>
    </row>
    <row r="46" spans="2:14">
      <c r="B46" s="939"/>
      <c r="C46" s="1002"/>
      <c r="E46" s="1003"/>
      <c r="F46" s="1003"/>
      <c r="G46" s="1003"/>
      <c r="H46" s="1003"/>
      <c r="J46" s="1007"/>
      <c r="K46" s="1007"/>
      <c r="L46" s="1007"/>
      <c r="M46" s="1007"/>
      <c r="N46" s="1005"/>
    </row>
    <row r="47" spans="2:14">
      <c r="B47" s="939"/>
      <c r="C47" s="1002"/>
      <c r="E47" s="1003"/>
      <c r="F47" s="1003"/>
      <c r="G47" s="1003"/>
      <c r="H47" s="1003"/>
      <c r="J47" s="1007"/>
      <c r="K47" s="1007"/>
      <c r="L47" s="1007"/>
      <c r="M47" s="1007"/>
      <c r="N47" s="1005"/>
    </row>
    <row r="48" spans="2:14">
      <c r="B48" s="1008" t="s">
        <v>999</v>
      </c>
      <c r="C48" s="1009"/>
      <c r="D48" s="1010">
        <v>0</v>
      </c>
      <c r="E48" s="1003"/>
      <c r="F48" s="1003"/>
      <c r="G48" s="1003"/>
      <c r="H48" s="1003"/>
      <c r="J48" s="74"/>
      <c r="K48" s="74"/>
      <c r="L48" s="74"/>
      <c r="M48" s="74"/>
      <c r="N48" s="74"/>
    </row>
    <row r="49" spans="1:18">
      <c r="B49" s="939" t="s">
        <v>1000</v>
      </c>
      <c r="C49" s="1002"/>
      <c r="D49" s="1011">
        <f>SUM(J37:N37)+N38</f>
        <v>27273955.55613409</v>
      </c>
      <c r="E49" s="1003"/>
      <c r="F49" s="1003"/>
      <c r="G49" s="1003"/>
      <c r="H49" s="1003"/>
      <c r="J49" s="1007"/>
      <c r="K49" s="1007"/>
      <c r="L49" s="1007"/>
      <c r="M49" s="1007"/>
      <c r="N49" s="1012"/>
    </row>
    <row r="50" spans="1:18">
      <c r="B50" s="1013" t="s">
        <v>1001</v>
      </c>
      <c r="C50" s="1014"/>
      <c r="D50" s="1015">
        <f>Debt!K5+Debt!K13</f>
        <v>1033059</v>
      </c>
      <c r="E50" s="1016">
        <v>2022</v>
      </c>
      <c r="F50" s="1003"/>
      <c r="G50" s="1003"/>
      <c r="H50" s="1003"/>
      <c r="J50" s="1007"/>
      <c r="K50" s="1007"/>
      <c r="L50" s="1007"/>
      <c r="M50" s="1007"/>
      <c r="N50" s="1012"/>
    </row>
    <row r="51" spans="1:18">
      <c r="B51" s="1013" t="s">
        <v>1002</v>
      </c>
      <c r="C51" s="1014"/>
      <c r="D51" s="1015">
        <f>'1BS'!L4</f>
        <v>4069464</v>
      </c>
      <c r="E51" s="1016">
        <v>2022</v>
      </c>
      <c r="F51" s="1003"/>
      <c r="G51" s="1003"/>
      <c r="H51" s="1003"/>
      <c r="J51" s="1007"/>
      <c r="K51" s="1007"/>
      <c r="L51" s="1007"/>
      <c r="M51" s="1007"/>
      <c r="N51" s="1012"/>
    </row>
    <row r="52" spans="1:18">
      <c r="B52" s="1013" t="s">
        <v>1003</v>
      </c>
      <c r="C52" s="1014"/>
      <c r="D52" s="1017">
        <v>0</v>
      </c>
      <c r="E52" s="1018"/>
      <c r="F52" s="1003"/>
      <c r="G52" s="1003"/>
      <c r="H52" s="1003"/>
      <c r="J52" s="1007"/>
      <c r="K52" s="1007"/>
      <c r="L52" s="1007"/>
      <c r="M52" s="1007"/>
      <c r="N52" s="1012"/>
    </row>
    <row r="53" spans="1:18">
      <c r="B53" s="1008" t="s">
        <v>1004</v>
      </c>
      <c r="C53" s="1009"/>
      <c r="D53" s="1011">
        <f>D49-D50+D51</f>
        <v>30310360.55613409</v>
      </c>
      <c r="E53" s="1003"/>
      <c r="F53" s="1003"/>
      <c r="G53" s="1003"/>
      <c r="H53" s="1003"/>
      <c r="J53" s="1007"/>
      <c r="K53" s="1007"/>
      <c r="L53" s="1007"/>
      <c r="M53" s="1007"/>
      <c r="N53" s="1012"/>
    </row>
    <row r="54" spans="1:18">
      <c r="B54" s="939" t="s">
        <v>1005</v>
      </c>
      <c r="C54" s="1002"/>
      <c r="D54" s="1011">
        <f>B12</f>
        <v>1282</v>
      </c>
      <c r="E54" s="1003"/>
      <c r="F54" s="1003"/>
      <c r="G54" s="1003"/>
      <c r="H54" s="1003"/>
      <c r="J54" s="1007"/>
      <c r="K54" s="1007"/>
      <c r="L54" s="1007"/>
      <c r="M54" s="1007"/>
      <c r="N54" s="1012"/>
    </row>
    <row r="55" spans="1:18">
      <c r="B55" s="1019" t="s">
        <v>1006</v>
      </c>
      <c r="C55" s="1020"/>
      <c r="D55" s="1021">
        <f>D53/D54</f>
        <v>23643.026954862784</v>
      </c>
      <c r="E55" s="1022"/>
      <c r="F55" s="1022"/>
      <c r="G55" s="1022"/>
      <c r="H55" s="1022"/>
      <c r="I55" s="76"/>
      <c r="J55" s="1023"/>
      <c r="K55" s="1023"/>
      <c r="L55" s="1023"/>
      <c r="M55" s="1023"/>
      <c r="N55" s="1024"/>
    </row>
    <row r="56" spans="1:18">
      <c r="K56" s="54"/>
    </row>
    <row r="57" spans="1:18">
      <c r="B57" s="533" t="s">
        <v>987</v>
      </c>
      <c r="C57" s="533"/>
      <c r="D57" s="608"/>
      <c r="E57" s="608"/>
      <c r="F57" s="608"/>
      <c r="G57" s="608"/>
      <c r="H57" s="608"/>
      <c r="I57" s="608">
        <v>2023</v>
      </c>
      <c r="J57" s="608">
        <v>2024</v>
      </c>
      <c r="K57" s="608">
        <v>2025</v>
      </c>
      <c r="L57" s="608">
        <v>2026</v>
      </c>
      <c r="M57" s="608">
        <v>2027</v>
      </c>
      <c r="N57" s="608">
        <v>2028</v>
      </c>
      <c r="O57" s="608">
        <v>2029</v>
      </c>
      <c r="P57" s="608">
        <v>2030</v>
      </c>
      <c r="Q57" s="608">
        <v>2031</v>
      </c>
    </row>
    <row r="58" spans="1:18">
      <c r="B58" s="533"/>
      <c r="C58" s="533"/>
      <c r="D58" s="608"/>
      <c r="E58" s="608"/>
      <c r="F58" s="608"/>
      <c r="G58" s="608"/>
      <c r="H58" s="608"/>
      <c r="I58" s="608"/>
      <c r="J58" s="608"/>
      <c r="K58" s="608"/>
      <c r="L58" s="1025">
        <v>46387</v>
      </c>
      <c r="M58" s="1025">
        <v>46752</v>
      </c>
      <c r="N58" s="1025">
        <v>47118</v>
      </c>
      <c r="O58" s="1025">
        <v>47483</v>
      </c>
      <c r="P58" s="1025">
        <v>47848</v>
      </c>
      <c r="Q58" s="1025">
        <v>48213</v>
      </c>
    </row>
    <row r="59" spans="1:18">
      <c r="B59" t="s">
        <v>990</v>
      </c>
      <c r="D59" s="48"/>
      <c r="E59" s="48"/>
      <c r="F59" s="48"/>
      <c r="G59" s="48"/>
      <c r="H59" s="48"/>
      <c r="I59" s="48">
        <f>'1IS'!M21</f>
        <v>4255053</v>
      </c>
      <c r="J59" s="48">
        <f>'1IS'!N21</f>
        <v>4494774</v>
      </c>
      <c r="K59" s="48">
        <f>'1IS'!O21</f>
        <v>4573125</v>
      </c>
      <c r="L59" s="1029">
        <f>'1IS'!P21</f>
        <v>4559014.9116505776</v>
      </c>
      <c r="M59" s="1029">
        <f>'1IS'!Q21</f>
        <v>4710164.0800855272</v>
      </c>
      <c r="N59" s="1029">
        <f>'1IS'!R21</f>
        <v>5159881.3930304144</v>
      </c>
      <c r="O59" s="1029">
        <f>'1IS'!S21</f>
        <v>5266768.5299267806</v>
      </c>
      <c r="P59" s="1029">
        <f>'1IS'!T21</f>
        <v>5525888.5107162083</v>
      </c>
      <c r="Q59" s="1029">
        <f>'1IS'!U21</f>
        <v>5763061.7654809589</v>
      </c>
    </row>
    <row r="60" spans="1:18" ht="14.5">
      <c r="A60" s="1027" t="s">
        <v>1007</v>
      </c>
      <c r="B60" t="s">
        <v>992</v>
      </c>
      <c r="I60" s="1028">
        <f>'1CF'!J8</f>
        <v>570032</v>
      </c>
      <c r="J60" s="1028">
        <f>'1CF'!K8</f>
        <v>548884</v>
      </c>
      <c r="K60" s="1028">
        <f>'1CF'!L8</f>
        <v>730272</v>
      </c>
      <c r="L60" s="1029">
        <f>'1CF'!M8</f>
        <v>800488.59941850149</v>
      </c>
      <c r="M60" s="1029">
        <f>'1CF'!N8</f>
        <v>812226.27669260197</v>
      </c>
      <c r="N60" s="1029">
        <f>'1CF'!O8</f>
        <v>799683.17038347875</v>
      </c>
      <c r="O60" s="1029">
        <f>'1CF'!P8</f>
        <v>813377.06572868559</v>
      </c>
      <c r="P60" s="1029">
        <f>'1CF'!Q8</f>
        <v>630981.22076931491</v>
      </c>
      <c r="Q60" s="1029">
        <f>'1CF'!R8</f>
        <v>103456.62638882906</v>
      </c>
    </row>
    <row r="61" spans="1:18" ht="14.5">
      <c r="A61" s="1027" t="s">
        <v>1007</v>
      </c>
      <c r="B61" t="s">
        <v>1008</v>
      </c>
      <c r="I61" s="577">
        <f>-'1IS'!M8*(1+Valuation!B15)</f>
        <v>40630.016506645647</v>
      </c>
      <c r="J61" s="577">
        <f>-'1IS'!N8*(1+Valuation!C15)</f>
        <v>27450</v>
      </c>
      <c r="K61" s="577">
        <f>-'1IS'!O8*(1+Valuation!D15)</f>
        <v>34346</v>
      </c>
      <c r="L61" s="1029">
        <f>-'1IS'!P8*(1+Valuation!E15)</f>
        <v>33228.323698143628</v>
      </c>
      <c r="M61" s="1029">
        <f>-'1IS'!Q8*(1+Valuation!F15)</f>
        <v>34924.037429432021</v>
      </c>
      <c r="N61" s="1029">
        <f>-'1IS'!R8*(1+Valuation!G15)</f>
        <v>37866.270555151896</v>
      </c>
      <c r="O61" s="1029">
        <f>-'1IS'!S8*(1+Valuation!H15)</f>
        <v>39228.537711343641</v>
      </c>
      <c r="P61" s="1029">
        <f>-'1IS'!T8*(1+Valuation!I15)</f>
        <v>41647.580308700984</v>
      </c>
      <c r="Q61" s="1029">
        <f>-'1IS'!U8*(1+Valuation!J15)</f>
        <v>44356.649507395865</v>
      </c>
    </row>
    <row r="62" spans="1:18" ht="14.5">
      <c r="A62" s="1027" t="s">
        <v>1009</v>
      </c>
      <c r="B62" t="s">
        <v>1010</v>
      </c>
      <c r="I62" s="1028">
        <f>-'1CF'!J29</f>
        <v>283735</v>
      </c>
      <c r="J62" s="1028">
        <f>-'1CF'!K29</f>
        <v>296018</v>
      </c>
      <c r="K62" s="1028">
        <f>-'1CF'!L29</f>
        <v>241544</v>
      </c>
      <c r="L62" s="1029">
        <f>-'1CF'!M29</f>
        <v>-49759.081256246427</v>
      </c>
      <c r="M62" s="1029">
        <f>-'1CF'!N29</f>
        <v>12731.453173224005</v>
      </c>
      <c r="N62" s="1029">
        <f>-'1CF'!O29</f>
        <v>72097.475530705531</v>
      </c>
      <c r="O62" s="1029">
        <f>-'1CF'!P29</f>
        <v>57898.509572592011</v>
      </c>
      <c r="P62" s="1029">
        <f>-'1CF'!Q29</f>
        <v>67436.359267901935</v>
      </c>
      <c r="Q62" s="1029">
        <f>-'1CF'!R29</f>
        <v>66420.303437657407</v>
      </c>
    </row>
    <row r="63" spans="1:18" ht="14.5">
      <c r="A63" s="1027" t="s">
        <v>1009</v>
      </c>
      <c r="B63" t="s">
        <v>1011</v>
      </c>
      <c r="I63" s="1028">
        <f>-SUM('1CF'!J16:J19)</f>
        <v>1108889</v>
      </c>
      <c r="J63" s="1028">
        <f>-SUM('1CF'!K16:K19)</f>
        <v>-691269</v>
      </c>
      <c r="K63" s="1028">
        <f>-SUM('1CF'!L16:L19)</f>
        <v>38289</v>
      </c>
      <c r="L63" s="1029">
        <f>-SUM('1CF'!M16:M19)</f>
        <v>655074.92161736835</v>
      </c>
      <c r="M63" s="1029">
        <f>-SUM('1CF'!N16:N19)</f>
        <v>85454.635747641863</v>
      </c>
      <c r="N63" s="1029">
        <f>-SUM('1CF'!O16:O19)</f>
        <v>-179069.21976535342</v>
      </c>
      <c r="O63" s="1029">
        <f>-SUM('1CF'!P16:P19)</f>
        <v>-21975.552477648915</v>
      </c>
      <c r="P63" s="1029">
        <f>-SUM('1CF'!Q16:Q19)</f>
        <v>-209368.54456199851</v>
      </c>
      <c r="Q63" s="1029">
        <f>-SUM('1CF'!R16:R19)</f>
        <v>-102730.58243681685</v>
      </c>
    </row>
    <row r="64" spans="1:18" s="107" customFormat="1">
      <c r="B64" s="107" t="s">
        <v>987</v>
      </c>
      <c r="I64" s="45">
        <f t="shared" ref="I64:Q64" si="5">I59+I60+I61-I62-I63</f>
        <v>3473091.0165066458</v>
      </c>
      <c r="J64" s="45">
        <f t="shared" si="5"/>
        <v>5466359</v>
      </c>
      <c r="K64" s="45">
        <f>K59+K60+K61-K62-K63</f>
        <v>5057910</v>
      </c>
      <c r="L64" s="1030">
        <f>L59+L60+L61-L62-L63</f>
        <v>4787415.9944061004</v>
      </c>
      <c r="M64" s="1030">
        <f>M59+M60+M61-M62-M63</f>
        <v>5459128.3052866952</v>
      </c>
      <c r="N64" s="1030">
        <f t="shared" si="5"/>
        <v>6104402.5782036921</v>
      </c>
      <c r="O64" s="1030">
        <f t="shared" si="5"/>
        <v>6083451.176271867</v>
      </c>
      <c r="P64" s="1030">
        <f t="shared" si="5"/>
        <v>6340449.4970883215</v>
      </c>
      <c r="Q64" s="1030">
        <f t="shared" si="5"/>
        <v>5947185.3203763431</v>
      </c>
      <c r="R64" s="2"/>
    </row>
    <row r="65" spans="2:18" s="107" customFormat="1">
      <c r="B65" t="s">
        <v>1012</v>
      </c>
      <c r="C65"/>
      <c r="I65" s="45"/>
      <c r="J65" s="45"/>
      <c r="K65" s="45"/>
      <c r="L65" s="1031">
        <f>L57-$L$57</f>
        <v>0</v>
      </c>
      <c r="M65" s="1031">
        <f>M57-$L$57</f>
        <v>1</v>
      </c>
      <c r="N65" s="1031">
        <f t="shared" ref="N65:Q65" si="6">N57-$L$57</f>
        <v>2</v>
      </c>
      <c r="O65" s="1031">
        <f t="shared" si="6"/>
        <v>3</v>
      </c>
      <c r="P65" s="1031">
        <f t="shared" si="6"/>
        <v>4</v>
      </c>
      <c r="Q65" s="1031">
        <f t="shared" si="6"/>
        <v>5</v>
      </c>
      <c r="R65" s="2"/>
    </row>
    <row r="66" spans="2:18">
      <c r="B66" t="s">
        <v>1013</v>
      </c>
      <c r="L66" s="1032">
        <f>1/(1+$M$9)^L65</f>
        <v>1</v>
      </c>
      <c r="M66" s="1032">
        <f>1/(1+$M$9)^M65</f>
        <v>0.90585915624286029</v>
      </c>
      <c r="N66" s="1032">
        <f t="shared" ref="N66:Q66" si="7">1/(1+$M$9)^N65</f>
        <v>0.8205808109490268</v>
      </c>
      <c r="O66" s="1032">
        <f t="shared" si="7"/>
        <v>0.74333064103536739</v>
      </c>
      <c r="P66" s="1032">
        <f t="shared" si="7"/>
        <v>0.67335286729776234</v>
      </c>
      <c r="Q66" s="1032">
        <f t="shared" si="7"/>
        <v>0.60996286022406176</v>
      </c>
    </row>
    <row r="67" spans="2:18">
      <c r="B67" t="s">
        <v>1014</v>
      </c>
      <c r="I67" s="48">
        <v>0</v>
      </c>
      <c r="J67" s="48"/>
      <c r="K67" s="48"/>
      <c r="L67" s="1026">
        <f>L64*L66</f>
        <v>4787415.9944061004</v>
      </c>
      <c r="M67" s="1026">
        <f t="shared" ref="M67:O67" si="8">M64*M66</f>
        <v>4945201.3604485216</v>
      </c>
      <c r="N67" s="1026">
        <f t="shared" si="8"/>
        <v>5009155.6179817161</v>
      </c>
      <c r="O67" s="1026">
        <f t="shared" si="8"/>
        <v>4522015.6625655266</v>
      </c>
      <c r="P67" s="1026">
        <f>P64*P66</f>
        <v>4269359.8488210766</v>
      </c>
      <c r="Q67" s="1026">
        <f>Q64*Q66</f>
        <v>3627562.1682993071</v>
      </c>
    </row>
    <row r="68" spans="2:18">
      <c r="B68" t="s">
        <v>1015</v>
      </c>
      <c r="H68" s="48">
        <f>SUM(M67:Q67)</f>
        <v>22373294.658116147</v>
      </c>
    </row>
    <row r="69" spans="2:18">
      <c r="B69" t="s">
        <v>1016</v>
      </c>
      <c r="H69" s="48">
        <f>Q64*(1+D48)/(S13-D48)</f>
        <v>57226088.712716244</v>
      </c>
      <c r="J69" s="48"/>
    </row>
    <row r="70" spans="2:18">
      <c r="B70" t="s">
        <v>1017</v>
      </c>
      <c r="H70" s="48">
        <f>H69*Q66</f>
        <v>34905788.750644296</v>
      </c>
    </row>
    <row r="71" spans="2:18" s="107" customFormat="1">
      <c r="B71" s="107" t="s">
        <v>1018</v>
      </c>
      <c r="H71" s="45">
        <f>H70+H68</f>
        <v>57279083.408760443</v>
      </c>
      <c r="J71" s="169"/>
    </row>
    <row r="72" spans="2:18">
      <c r="B72" t="s">
        <v>1019</v>
      </c>
      <c r="H72" s="1033">
        <f>'1BS'!O4+'1BS'!O7</f>
        <v>19002371</v>
      </c>
      <c r="J72" s="2"/>
    </row>
    <row r="73" spans="2:18">
      <c r="B73" t="s">
        <v>1020</v>
      </c>
      <c r="H73" s="2">
        <f>'1BS'!O80+'1BS'!O93</f>
        <v>435520</v>
      </c>
      <c r="J73" s="2"/>
    </row>
    <row r="74" spans="2:18">
      <c r="B74" t="s">
        <v>1021</v>
      </c>
      <c r="H74" s="2">
        <f>'1BS'!O118</f>
        <v>1847031</v>
      </c>
      <c r="J74" s="2"/>
    </row>
    <row r="75" spans="2:18" s="107" customFormat="1">
      <c r="B75" s="107" t="s">
        <v>1022</v>
      </c>
      <c r="H75" s="45">
        <f>H71+H72-H73-H74</f>
        <v>73998903.408760443</v>
      </c>
    </row>
    <row r="76" spans="2:18">
      <c r="B76" t="s">
        <v>1023</v>
      </c>
      <c r="H76" s="117">
        <f>B12</f>
        <v>1282</v>
      </c>
    </row>
    <row r="77" spans="2:18" s="107" customFormat="1">
      <c r="B77" s="107" t="s">
        <v>1024</v>
      </c>
      <c r="H77" s="45">
        <f>H75/H76</f>
        <v>57721.453516973823</v>
      </c>
    </row>
    <row r="81" spans="2:9" ht="15" customHeight="1" thickBot="1">
      <c r="B81" s="1112" t="s">
        <v>1025</v>
      </c>
      <c r="C81" s="1112"/>
      <c r="D81" s="1109"/>
      <c r="E81" s="1109"/>
      <c r="F81" s="1109"/>
      <c r="G81" s="1034"/>
      <c r="H81" s="1035"/>
      <c r="I81" s="1035"/>
    </row>
    <row r="82" spans="2:9" ht="14.5" thickBot="1">
      <c r="C82" s="1036" t="s">
        <v>1026</v>
      </c>
      <c r="D82" s="1037" t="s">
        <v>645</v>
      </c>
      <c r="E82" s="1037" t="s">
        <v>646</v>
      </c>
      <c r="F82" s="1037" t="s">
        <v>647</v>
      </c>
      <c r="G82" s="1037" t="s">
        <v>1063</v>
      </c>
      <c r="H82" s="1037" t="s">
        <v>759</v>
      </c>
      <c r="I82" s="1037" t="s">
        <v>803</v>
      </c>
    </row>
    <row r="83" spans="2:9">
      <c r="C83" s="1038" t="s">
        <v>674</v>
      </c>
      <c r="D83" s="1039">
        <f>L59</f>
        <v>4559014.9116505776</v>
      </c>
      <c r="E83" s="1039">
        <f t="shared" ref="E83:I83" si="9">M59</f>
        <v>4710164.0800855272</v>
      </c>
      <c r="F83" s="1039">
        <f t="shared" si="9"/>
        <v>5159881.3930304144</v>
      </c>
      <c r="G83" s="1039">
        <f t="shared" si="9"/>
        <v>5266768.5299267806</v>
      </c>
      <c r="H83" s="1039">
        <f t="shared" si="9"/>
        <v>5525888.5107162083</v>
      </c>
      <c r="I83" s="1039">
        <f t="shared" si="9"/>
        <v>5763061.7654809589</v>
      </c>
    </row>
    <row r="84" spans="2:9">
      <c r="C84" s="1038" t="s">
        <v>1027</v>
      </c>
      <c r="D84" s="1039">
        <f>L61</f>
        <v>33228.323698143628</v>
      </c>
      <c r="E84" s="1039">
        <f t="shared" ref="E84:I84" si="10">M61</f>
        <v>34924.037429432021</v>
      </c>
      <c r="F84" s="1039">
        <f t="shared" si="10"/>
        <v>37866.270555151896</v>
      </c>
      <c r="G84" s="1039">
        <f t="shared" si="10"/>
        <v>39228.537711343641</v>
      </c>
      <c r="H84" s="1039">
        <f t="shared" si="10"/>
        <v>41647.580308700984</v>
      </c>
      <c r="I84" s="1039">
        <f t="shared" si="10"/>
        <v>44356.649507395865</v>
      </c>
    </row>
    <row r="85" spans="2:9">
      <c r="C85" s="1038" t="s">
        <v>1028</v>
      </c>
      <c r="D85" s="1039">
        <f t="shared" ref="D85:I85" si="11">L60</f>
        <v>800488.59941850149</v>
      </c>
      <c r="E85" s="1039">
        <f t="shared" si="11"/>
        <v>812226.27669260197</v>
      </c>
      <c r="F85" s="1039">
        <f t="shared" si="11"/>
        <v>799683.17038347875</v>
      </c>
      <c r="G85" s="1039">
        <f t="shared" si="11"/>
        <v>813377.06572868559</v>
      </c>
      <c r="H85" s="1039">
        <f t="shared" si="11"/>
        <v>630981.22076931491</v>
      </c>
      <c r="I85" s="1039">
        <f t="shared" si="11"/>
        <v>103456.62638882906</v>
      </c>
    </row>
    <row r="86" spans="2:9">
      <c r="C86" s="1038" t="s">
        <v>1029</v>
      </c>
      <c r="D86" s="1040">
        <f t="shared" ref="D86:I86" si="12">L63</f>
        <v>655074.92161736835</v>
      </c>
      <c r="E86" s="1040">
        <f t="shared" si="12"/>
        <v>85454.635747641863</v>
      </c>
      <c r="F86" s="1040">
        <f t="shared" si="12"/>
        <v>-179069.21976535342</v>
      </c>
      <c r="G86" s="1040">
        <f t="shared" si="12"/>
        <v>-21975.552477648915</v>
      </c>
      <c r="H86" s="1040">
        <f t="shared" si="12"/>
        <v>-209368.54456199851</v>
      </c>
      <c r="I86" s="1040">
        <f t="shared" si="12"/>
        <v>-102730.58243681685</v>
      </c>
    </row>
    <row r="87" spans="2:9">
      <c r="C87" s="1038" t="s">
        <v>1030</v>
      </c>
      <c r="D87" s="1039">
        <f t="shared" ref="D87:I87" si="13">L62</f>
        <v>-49759.081256246427</v>
      </c>
      <c r="E87" s="1039">
        <f t="shared" si="13"/>
        <v>12731.453173224005</v>
      </c>
      <c r="F87" s="1039">
        <f t="shared" si="13"/>
        <v>72097.475530705531</v>
      </c>
      <c r="G87" s="1039">
        <f t="shared" si="13"/>
        <v>57898.509572592011</v>
      </c>
      <c r="H87" s="1039">
        <f t="shared" si="13"/>
        <v>67436.359267901935</v>
      </c>
      <c r="I87" s="1039">
        <f t="shared" si="13"/>
        <v>66420.303437657407</v>
      </c>
    </row>
    <row r="88" spans="2:9">
      <c r="C88" s="1041" t="s">
        <v>1031</v>
      </c>
      <c r="D88" s="1042">
        <f>D83+SUM(D84:D85)-SUM(D86:D87)</f>
        <v>4787415.9944061004</v>
      </c>
      <c r="E88" s="1042">
        <f t="shared" ref="E88:I88" si="14">E83+SUM(E84:E85)-SUM(E86:E87)</f>
        <v>5459128.3052866952</v>
      </c>
      <c r="F88" s="1042">
        <f t="shared" si="14"/>
        <v>6104402.578203693</v>
      </c>
      <c r="G88" s="1042">
        <f t="shared" si="14"/>
        <v>6083451.176271867</v>
      </c>
      <c r="H88" s="1042">
        <f t="shared" si="14"/>
        <v>6340449.4970883206</v>
      </c>
      <c r="I88" s="1042">
        <f t="shared" si="14"/>
        <v>5947185.3203763431</v>
      </c>
    </row>
    <row r="89" spans="2:9">
      <c r="C89" s="1038" t="s">
        <v>1032</v>
      </c>
      <c r="D89" s="1043">
        <f>L66</f>
        <v>1</v>
      </c>
      <c r="E89" s="1043">
        <f t="shared" ref="E89:I89" si="15">M66</f>
        <v>0.90585915624286029</v>
      </c>
      <c r="F89" s="1043">
        <f t="shared" si="15"/>
        <v>0.8205808109490268</v>
      </c>
      <c r="G89" s="1043">
        <f t="shared" si="15"/>
        <v>0.74333064103536739</v>
      </c>
      <c r="H89" s="1043">
        <f t="shared" si="15"/>
        <v>0.67335286729776234</v>
      </c>
      <c r="I89" s="1043">
        <f t="shared" si="15"/>
        <v>0.60996286022406176</v>
      </c>
    </row>
    <row r="90" spans="2:9">
      <c r="C90" s="1038" t="s">
        <v>1033</v>
      </c>
      <c r="D90" s="1039">
        <f>H68</f>
        <v>22373294.658116147</v>
      </c>
      <c r="E90" s="1039"/>
      <c r="F90" s="1039"/>
      <c r="G90" s="1039"/>
      <c r="H90" s="1039"/>
    </row>
    <row r="91" spans="2:9">
      <c r="C91" s="1038" t="s">
        <v>366</v>
      </c>
      <c r="D91" s="1044">
        <f>D48</f>
        <v>0</v>
      </c>
      <c r="E91" s="1045"/>
      <c r="F91" s="1045"/>
      <c r="G91" s="1045"/>
      <c r="H91" s="1045"/>
    </row>
    <row r="92" spans="2:9">
      <c r="C92" s="1038" t="s">
        <v>1034</v>
      </c>
      <c r="D92" s="1039">
        <f>H70</f>
        <v>34905788.750644296</v>
      </c>
      <c r="E92" s="1045"/>
      <c r="F92" s="1045"/>
      <c r="G92" s="1045"/>
      <c r="H92" s="1045"/>
    </row>
    <row r="93" spans="2:9">
      <c r="C93" s="1038" t="s">
        <v>1035</v>
      </c>
      <c r="D93" s="1039">
        <f>SUM(D92,D90:H90)</f>
        <v>57279083.408760443</v>
      </c>
      <c r="E93" s="1045"/>
      <c r="F93" s="1045"/>
      <c r="G93" s="1045"/>
      <c r="H93" s="1045"/>
    </row>
    <row r="94" spans="2:9">
      <c r="C94" s="1038" t="s">
        <v>1036</v>
      </c>
      <c r="D94" s="1039">
        <f>H73</f>
        <v>435520</v>
      </c>
      <c r="E94" s="1045"/>
      <c r="F94" s="1045"/>
      <c r="G94" s="1045"/>
      <c r="H94" s="1045"/>
    </row>
    <row r="95" spans="2:9">
      <c r="C95" s="1038" t="s">
        <v>422</v>
      </c>
      <c r="D95" s="1039">
        <f>H72</f>
        <v>19002371</v>
      </c>
      <c r="E95" s="1045"/>
      <c r="F95" s="1045"/>
      <c r="G95" s="1045" t="s">
        <v>1037</v>
      </c>
      <c r="H95" s="1045"/>
    </row>
    <row r="96" spans="2:9">
      <c r="C96" s="1038" t="s">
        <v>1038</v>
      </c>
      <c r="D96" s="1039">
        <f>H74</f>
        <v>1847031</v>
      </c>
      <c r="E96" s="1045"/>
      <c r="F96" s="1045"/>
      <c r="G96" s="1045"/>
      <c r="H96" s="1045"/>
    </row>
    <row r="97" spans="2:13">
      <c r="C97" s="1038" t="s">
        <v>1039</v>
      </c>
      <c r="D97" s="1039">
        <f>B12</f>
        <v>1282</v>
      </c>
      <c r="E97" s="1045"/>
      <c r="F97" s="1045"/>
      <c r="G97" s="1045"/>
      <c r="H97" s="1045"/>
    </row>
    <row r="98" spans="2:13" ht="14.5" thickBot="1">
      <c r="C98" s="1046" t="s">
        <v>1040</v>
      </c>
      <c r="D98" s="1047">
        <f>FLOOR((D93+D95-D94-D96)/D97,100)</f>
        <v>57700</v>
      </c>
      <c r="E98" s="1048"/>
      <c r="F98" s="1048"/>
      <c r="G98" s="1048"/>
      <c r="H98" s="1048"/>
    </row>
    <row r="99" spans="2:13">
      <c r="C99" s="1049"/>
    </row>
    <row r="102" spans="2:13">
      <c r="D102" s="2"/>
      <c r="E102" s="984"/>
      <c r="F102" s="984"/>
      <c r="G102" s="984"/>
      <c r="H102" s="984"/>
      <c r="I102" s="984"/>
      <c r="J102" s="984"/>
      <c r="K102" s="984"/>
      <c r="L102" s="984"/>
      <c r="M102" s="984"/>
    </row>
    <row r="103" spans="2:13">
      <c r="B103" s="1050"/>
      <c r="C103" s="1050"/>
      <c r="D103" s="401"/>
      <c r="E103" s="984"/>
      <c r="F103" s="984"/>
      <c r="G103" s="984"/>
      <c r="H103" s="984"/>
      <c r="I103" s="984"/>
      <c r="J103" s="984"/>
      <c r="K103" s="984"/>
      <c r="L103" s="984"/>
      <c r="M103" s="984"/>
    </row>
    <row r="104" spans="2:13">
      <c r="B104" s="1050"/>
      <c r="C104" s="1050"/>
      <c r="D104" s="401"/>
      <c r="E104" s="60"/>
      <c r="F104" s="60"/>
      <c r="G104" s="60"/>
      <c r="H104" s="60"/>
      <c r="I104" s="60"/>
      <c r="J104" s="60"/>
      <c r="K104" s="60"/>
      <c r="L104" s="60"/>
      <c r="M104" s="60"/>
    </row>
    <row r="105" spans="2:13">
      <c r="B105" s="1050"/>
      <c r="C105" s="1050"/>
      <c r="D105" s="401"/>
    </row>
    <row r="106" spans="2:13">
      <c r="B106" s="1050"/>
      <c r="C106" s="1050"/>
      <c r="D106" s="401"/>
    </row>
    <row r="107" spans="2:13">
      <c r="B107" s="1050"/>
      <c r="C107" s="1050"/>
      <c r="D107" s="401"/>
      <c r="E107" s="2"/>
      <c r="F107" s="2"/>
      <c r="G107" s="1051"/>
      <c r="H107" s="2"/>
    </row>
    <row r="108" spans="2:13">
      <c r="B108" s="1050"/>
      <c r="C108" s="1050"/>
      <c r="D108" s="1052"/>
    </row>
    <row r="109" spans="2:13">
      <c r="D109" s="2"/>
    </row>
    <row r="110" spans="2:13" ht="14.5" thickBot="1">
      <c r="B110" s="1113" t="s">
        <v>1041</v>
      </c>
      <c r="C110" s="1113"/>
      <c r="D110" s="1113"/>
      <c r="E110" s="1113"/>
      <c r="F110" s="1113"/>
      <c r="G110" s="1113"/>
      <c r="H110" s="1113"/>
      <c r="I110" s="1113"/>
      <c r="J110" s="1113"/>
    </row>
    <row r="111" spans="2:13">
      <c r="B111" s="1111" t="s">
        <v>1042</v>
      </c>
      <c r="C111" s="983"/>
      <c r="D111" s="1108" t="s">
        <v>1043</v>
      </c>
      <c r="E111" s="1054" t="s">
        <v>1044</v>
      </c>
      <c r="F111" s="1053" t="s">
        <v>1045</v>
      </c>
      <c r="G111" s="1053" t="s">
        <v>1045</v>
      </c>
      <c r="H111" s="1054" t="s">
        <v>721</v>
      </c>
      <c r="I111" s="451"/>
    </row>
    <row r="112" spans="2:13" ht="14.5" thickBot="1">
      <c r="B112" s="1114"/>
      <c r="C112" s="1055"/>
      <c r="D112" s="1115"/>
      <c r="E112" s="1056" t="s">
        <v>1046</v>
      </c>
      <c r="F112" s="1048" t="s">
        <v>1047</v>
      </c>
      <c r="G112" s="1048" t="s">
        <v>1048</v>
      </c>
      <c r="H112" s="1056"/>
      <c r="I112" s="451"/>
    </row>
    <row r="113" spans="1:10" ht="14.25" customHeight="1">
      <c r="A113" s="1057"/>
      <c r="B113" s="1058"/>
      <c r="C113" s="1059"/>
      <c r="D113" s="1060"/>
      <c r="E113" s="1061"/>
      <c r="F113" s="1062"/>
      <c r="G113" s="1062"/>
      <c r="H113" s="1063"/>
    </row>
    <row r="114" spans="1:10">
      <c r="A114" s="1057"/>
      <c r="B114" s="1064"/>
      <c r="C114" s="1065"/>
      <c r="D114" s="1060"/>
      <c r="E114" s="1061"/>
      <c r="F114" s="1062"/>
      <c r="G114" s="1062"/>
      <c r="H114" s="1062"/>
    </row>
    <row r="115" spans="1:10">
      <c r="B115" s="1064" t="s">
        <v>1049</v>
      </c>
      <c r="C115" s="1065" t="s">
        <v>1050</v>
      </c>
      <c r="D115" s="1066">
        <v>14.9</v>
      </c>
      <c r="E115" s="1067">
        <v>45321</v>
      </c>
      <c r="F115" s="1068">
        <v>0.1</v>
      </c>
      <c r="G115" s="1068">
        <v>-1.6</v>
      </c>
      <c r="H115" s="1068">
        <v>85.8</v>
      </c>
    </row>
    <row r="116" spans="1:10">
      <c r="B116" s="1038" t="s">
        <v>1051</v>
      </c>
      <c r="C116" s="1038" t="s">
        <v>1064</v>
      </c>
      <c r="D116" s="1066">
        <v>13.7</v>
      </c>
      <c r="E116" s="1067">
        <v>33777</v>
      </c>
      <c r="F116" s="1068">
        <v>5.1100000000000003</v>
      </c>
      <c r="G116" s="1068">
        <v>2.57</v>
      </c>
      <c r="H116" s="1068">
        <v>125.3</v>
      </c>
    </row>
    <row r="117" spans="1:10">
      <c r="B117" s="1069" t="s">
        <v>1052</v>
      </c>
      <c r="C117" s="1069" t="s">
        <v>1065</v>
      </c>
      <c r="D117" s="1066">
        <v>10.1</v>
      </c>
      <c r="E117" s="1067">
        <v>18044</v>
      </c>
      <c r="F117" s="1068">
        <v>4.7</v>
      </c>
      <c r="G117" s="1068">
        <v>3.6</v>
      </c>
      <c r="H117" s="1068">
        <v>88.5</v>
      </c>
    </row>
    <row r="118" spans="1:10">
      <c r="B118" s="1070" t="s">
        <v>1053</v>
      </c>
      <c r="C118" s="1071" t="s">
        <v>1054</v>
      </c>
      <c r="D118" s="1066">
        <v>13.2</v>
      </c>
      <c r="E118" s="1067">
        <v>11406</v>
      </c>
      <c r="F118" s="1072">
        <v>12.46</v>
      </c>
      <c r="G118" s="1072">
        <v>16.899999999999999</v>
      </c>
      <c r="H118" s="1068">
        <v>30.67</v>
      </c>
    </row>
    <row r="119" spans="1:10" ht="14.5" thickBot="1">
      <c r="B119" s="1073" t="s">
        <v>1055</v>
      </c>
      <c r="C119" s="1073" t="s">
        <v>1056</v>
      </c>
      <c r="D119" s="1066">
        <v>14.7</v>
      </c>
      <c r="E119" s="1067">
        <v>6838</v>
      </c>
      <c r="F119" s="1068">
        <v>3.7</v>
      </c>
      <c r="G119" s="1068">
        <v>26.4</v>
      </c>
      <c r="H119" s="1068">
        <v>10.1</v>
      </c>
    </row>
    <row r="120" spans="1:10">
      <c r="B120" s="1074"/>
      <c r="C120" s="1058" t="s">
        <v>1057</v>
      </c>
      <c r="D120" s="1075">
        <f>AVERAGE(D115:D119)</f>
        <v>13.320000000000002</v>
      </c>
      <c r="E120" s="1054"/>
      <c r="F120" s="1108"/>
      <c r="G120" s="1108"/>
      <c r="H120" s="1076"/>
      <c r="I120" s="1077"/>
      <c r="J120" s="451"/>
    </row>
    <row r="121" spans="1:10">
      <c r="B121" s="1078"/>
      <c r="C121" s="1038" t="s">
        <v>1058</v>
      </c>
      <c r="D121" s="1079">
        <v>18.899999999999999</v>
      </c>
      <c r="E121" s="451"/>
      <c r="F121" s="1045"/>
      <c r="G121" s="1045"/>
      <c r="H121" s="1077"/>
      <c r="I121" s="1077"/>
      <c r="J121" s="451"/>
    </row>
    <row r="122" spans="1:10">
      <c r="B122" s="1078"/>
      <c r="C122" s="1038" t="s">
        <v>1059</v>
      </c>
      <c r="D122" s="1079">
        <f>AVERAGE(D120:D121)</f>
        <v>16.11</v>
      </c>
      <c r="E122" s="451"/>
      <c r="F122" s="1045"/>
      <c r="G122" s="1045"/>
      <c r="H122" s="1077"/>
      <c r="I122" s="1077"/>
      <c r="J122" s="451"/>
    </row>
    <row r="123" spans="1:10">
      <c r="B123" s="1078"/>
      <c r="C123" s="1038" t="s">
        <v>1060</v>
      </c>
      <c r="D123" s="1080">
        <f>'1IS'!P24</f>
        <v>3330.7194815705279</v>
      </c>
      <c r="E123" s="451"/>
      <c r="F123" s="1045"/>
      <c r="G123" s="1045"/>
      <c r="H123" s="1077"/>
      <c r="I123" s="1077"/>
      <c r="J123" s="451"/>
    </row>
    <row r="124" spans="1:10" ht="14.5" thickBot="1">
      <c r="B124" s="1081"/>
      <c r="C124" s="1046" t="s">
        <v>1061</v>
      </c>
      <c r="D124" s="1082">
        <f>D122*D123</f>
        <v>53657.890848101204</v>
      </c>
      <c r="E124" s="1083"/>
      <c r="F124" s="1055"/>
      <c r="G124" s="1055"/>
      <c r="H124" s="1083"/>
      <c r="I124" s="1084"/>
      <c r="J124" s="1084"/>
    </row>
  </sheetData>
  <mergeCells count="8">
    <mergeCell ref="F120:G120"/>
    <mergeCell ref="R12:S12"/>
    <mergeCell ref="X15:Z15"/>
    <mergeCell ref="R21:S21"/>
    <mergeCell ref="B81:F81"/>
    <mergeCell ref="B110:J110"/>
    <mergeCell ref="B111:B112"/>
    <mergeCell ref="D111:D112"/>
  </mergeCells>
  <conditionalFormatting sqref="B10:C10">
    <cfRule type="cellIs" dxfId="35" priority="1" operator="greaterThan">
      <formula>0.2</formula>
    </cfRule>
    <cfRule type="cellIs" dxfId="34" priority="2" operator="greaterThan">
      <formula>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0035-6132-4929-87B5-DE0E2F0616EF}">
  <sheetPr>
    <tabColor theme="7" tint="0.59999389629810485"/>
  </sheetPr>
  <dimension ref="A1:AG130"/>
  <sheetViews>
    <sheetView zoomScale="20" zoomScaleNormal="20" workbookViewId="0">
      <pane xSplit="2" ySplit="2" topLeftCell="M108" activePane="bottomRight" state="frozen"/>
      <selection pane="topRight" activeCell="C1" sqref="C1"/>
      <selection pane="bottomLeft" activeCell="A3" sqref="A3"/>
      <selection pane="bottomRight" activeCell="P124" sqref="P124"/>
    </sheetView>
  </sheetViews>
  <sheetFormatPr defaultRowHeight="14"/>
  <cols>
    <col min="1" max="1" width="4.6640625" customWidth="1"/>
    <col min="2" max="2" width="38.5" customWidth="1"/>
    <col min="3" max="9" width="11.25" customWidth="1"/>
    <col min="10" max="14" width="11.58203125" bestFit="1" customWidth="1"/>
    <col min="15" max="15" width="12.08203125" style="40" customWidth="1"/>
    <col min="16" max="16" width="12" bestFit="1" customWidth="1"/>
    <col min="17" max="21" width="12.4140625" bestFit="1" customWidth="1"/>
    <col min="22" max="22" width="8.6640625" style="152"/>
    <col min="23" max="23" width="13.1640625" bestFit="1" customWidth="1"/>
    <col min="24" max="24" width="16" customWidth="1"/>
    <col min="25" max="26" width="11" bestFit="1" customWidth="1"/>
    <col min="27" max="27" width="12" bestFit="1" customWidth="1"/>
    <col min="28" max="28" width="11" bestFit="1" customWidth="1"/>
    <col min="29" max="31" width="12" bestFit="1" customWidth="1"/>
    <col min="32" max="32" width="11.4140625" bestFit="1" customWidth="1"/>
  </cols>
  <sheetData>
    <row r="1" spans="1:32" ht="14.5" thickBot="1">
      <c r="C1" s="1116" t="s">
        <v>416</v>
      </c>
      <c r="D1" s="1116"/>
      <c r="E1" s="1116"/>
      <c r="F1" s="1116"/>
      <c r="G1" s="1116"/>
      <c r="H1" s="1116"/>
      <c r="I1" s="1116"/>
      <c r="J1" s="1116"/>
      <c r="K1" s="1116"/>
      <c r="L1" s="1117"/>
      <c r="M1" s="149"/>
      <c r="N1" s="174"/>
      <c r="O1" s="181"/>
      <c r="P1" s="150"/>
      <c r="Q1" s="150"/>
      <c r="R1" s="150"/>
      <c r="S1" s="151"/>
      <c r="T1" s="151"/>
      <c r="U1" s="151"/>
      <c r="Y1" s="153" t="s">
        <v>417</v>
      </c>
    </row>
    <row r="2" spans="1:32" ht="38.25" customHeight="1">
      <c r="B2" s="41"/>
      <c r="C2" s="154">
        <v>2013</v>
      </c>
      <c r="D2" s="154">
        <f>C2+1</f>
        <v>2014</v>
      </c>
      <c r="E2" s="154">
        <f t="shared" ref="E2:M2" si="0">D2+1</f>
        <v>2015</v>
      </c>
      <c r="F2" s="154">
        <f t="shared" si="0"/>
        <v>2016</v>
      </c>
      <c r="G2" s="154">
        <f t="shared" si="0"/>
        <v>2017</v>
      </c>
      <c r="H2" s="154">
        <f t="shared" si="0"/>
        <v>2018</v>
      </c>
      <c r="I2" s="154">
        <f t="shared" si="0"/>
        <v>2019</v>
      </c>
      <c r="J2" s="154">
        <f t="shared" si="0"/>
        <v>2020</v>
      </c>
      <c r="K2" s="154">
        <f t="shared" si="0"/>
        <v>2021</v>
      </c>
      <c r="L2" s="154">
        <f t="shared" si="0"/>
        <v>2022</v>
      </c>
      <c r="M2" s="154">
        <f t="shared" si="0"/>
        <v>2023</v>
      </c>
      <c r="N2" s="154">
        <f>M2+1</f>
        <v>2024</v>
      </c>
      <c r="O2" s="182">
        <f t="shared" ref="O2:U2" si="1">N2+1</f>
        <v>2025</v>
      </c>
      <c r="P2" s="154">
        <f t="shared" si="1"/>
        <v>2026</v>
      </c>
      <c r="Q2" s="154">
        <f t="shared" si="1"/>
        <v>2027</v>
      </c>
      <c r="R2" s="154">
        <f t="shared" si="1"/>
        <v>2028</v>
      </c>
      <c r="S2" s="154">
        <f t="shared" si="1"/>
        <v>2029</v>
      </c>
      <c r="T2" s="154">
        <f t="shared" si="1"/>
        <v>2030</v>
      </c>
      <c r="U2" s="154">
        <f t="shared" si="1"/>
        <v>2031</v>
      </c>
      <c r="V2" s="155" t="s">
        <v>418</v>
      </c>
      <c r="W2" s="107"/>
      <c r="X2" t="s">
        <v>419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</row>
    <row r="3" spans="1:32" s="107" customFormat="1">
      <c r="A3" s="107">
        <v>100</v>
      </c>
      <c r="B3" s="156" t="s">
        <v>420</v>
      </c>
      <c r="C3" s="157">
        <f>BS!G2</f>
        <v>8481709</v>
      </c>
      <c r="D3" s="157">
        <f>BS!H2</f>
        <v>10547147</v>
      </c>
      <c r="E3" s="157">
        <f>BS!I2</f>
        <v>12194294</v>
      </c>
      <c r="F3" s="157">
        <f>BS!J2</f>
        <v>10714346</v>
      </c>
      <c r="G3" s="157">
        <f>BS!K2</f>
        <v>13686327</v>
      </c>
      <c r="H3" s="157">
        <f>BS!L2</f>
        <v>14690168</v>
      </c>
      <c r="I3" s="157">
        <f>BS!M2</f>
        <v>19164603</v>
      </c>
      <c r="J3" s="157">
        <f>BS!N2</f>
        <v>19513381</v>
      </c>
      <c r="K3" s="157">
        <f>BS!O2</f>
        <v>22877033</v>
      </c>
      <c r="L3" s="157">
        <f>BS!P2</f>
        <v>26860225</v>
      </c>
      <c r="M3" s="157">
        <f>BS!Q2</f>
        <v>26553406</v>
      </c>
      <c r="N3" s="157">
        <f>BS!R2</f>
        <v>25066733</v>
      </c>
      <c r="O3" s="183">
        <f>BS!S2</f>
        <v>22140978</v>
      </c>
      <c r="P3" s="157">
        <f>SUM(P4,P7,P11,P20,P23)</f>
        <v>21786543.443518747</v>
      </c>
      <c r="Q3" s="157">
        <f>SUM(Q4,Q7,Q11,Q20,Q23)</f>
        <v>22218601.258333284</v>
      </c>
      <c r="R3" s="157">
        <f>SUM(R4,R7,R11,R20,R23)</f>
        <v>23752581.101067513</v>
      </c>
      <c r="S3" s="157">
        <f t="shared" ref="S3:T3" si="2">SUM(S4,S7,S11,S20,S23)</f>
        <v>24975051.587277804</v>
      </c>
      <c r="T3" s="157">
        <f t="shared" si="2"/>
        <v>26566335.093463831</v>
      </c>
      <c r="U3" s="157">
        <f>SUM(U4,U7,U11,U20,U23)</f>
        <v>27759472.355976369</v>
      </c>
      <c r="V3" s="158"/>
      <c r="X3" s="2" t="s">
        <v>421</v>
      </c>
      <c r="Y3" s="157">
        <f>N3-M3</f>
        <v>-1486673</v>
      </c>
      <c r="Z3" s="157">
        <f>O3-N3</f>
        <v>-2925755</v>
      </c>
      <c r="AA3" s="157">
        <f t="shared" ref="Z3:AF18" si="3">P3-O3</f>
        <v>-354434.55648125336</v>
      </c>
      <c r="AB3" s="157">
        <f t="shared" si="3"/>
        <v>432057.81481453776</v>
      </c>
      <c r="AC3" s="157">
        <f t="shared" si="3"/>
        <v>1533979.8427342288</v>
      </c>
      <c r="AD3" s="157">
        <f t="shared" si="3"/>
        <v>1222470.4862102903</v>
      </c>
      <c r="AE3" s="157">
        <f t="shared" si="3"/>
        <v>1591283.5061860271</v>
      </c>
      <c r="AF3" s="157">
        <f t="shared" si="3"/>
        <v>1193137.2625125386</v>
      </c>
    </row>
    <row r="4" spans="1:32" s="107" customFormat="1">
      <c r="A4" s="177">
        <v>110</v>
      </c>
      <c r="B4" s="160" t="s">
        <v>422</v>
      </c>
      <c r="C4" s="176">
        <f>BS!G3</f>
        <v>1848256</v>
      </c>
      <c r="D4" s="176">
        <f>BS!H3</f>
        <v>1817059</v>
      </c>
      <c r="E4" s="176">
        <f>BS!I3</f>
        <v>7935974</v>
      </c>
      <c r="F4" s="176">
        <f>BS!J3</f>
        <v>3444825</v>
      </c>
      <c r="G4" s="176">
        <f>BS!K3</f>
        <v>4268599</v>
      </c>
      <c r="H4" s="176">
        <f>BS!L3</f>
        <v>4467392</v>
      </c>
      <c r="I4" s="176">
        <f>BS!M3</f>
        <v>4115885</v>
      </c>
      <c r="J4" s="176">
        <f>BS!N3</f>
        <v>2726137</v>
      </c>
      <c r="K4" s="176">
        <f>BS!O3</f>
        <v>3606454</v>
      </c>
      <c r="L4" s="176">
        <f>BS!P3</f>
        <v>4069464</v>
      </c>
      <c r="M4" s="176">
        <f>BS!Q3</f>
        <v>5039908</v>
      </c>
      <c r="N4" s="176">
        <f>BS!R3</f>
        <v>4477502</v>
      </c>
      <c r="O4" s="184">
        <f>BS!S3</f>
        <v>4016882</v>
      </c>
      <c r="P4" s="157">
        <f>SUM(P5:P6)</f>
        <v>3747577.43788388</v>
      </c>
      <c r="Q4" s="157">
        <f>SUM(Q5:Q6)</f>
        <v>4922413.3322122116</v>
      </c>
      <c r="R4" s="157">
        <f t="shared" ref="R4" si="4">SUM(R5:R6)</f>
        <v>6413066.7191818859</v>
      </c>
      <c r="S4" s="157">
        <f>SUM(S5:S6)</f>
        <v>7541761.5453063315</v>
      </c>
      <c r="T4" s="157">
        <f t="shared" ref="T4:U4" si="5">SUM(T5:T6)</f>
        <v>9076879.7794868946</v>
      </c>
      <c r="U4" s="157">
        <f t="shared" si="5"/>
        <v>9805123.4399239328</v>
      </c>
      <c r="V4" s="158"/>
      <c r="X4" s="161" t="s">
        <v>421</v>
      </c>
      <c r="Y4" s="157">
        <f t="shared" ref="Y4:Y67" si="6">N4-M4</f>
        <v>-562406</v>
      </c>
      <c r="Z4" s="157">
        <f t="shared" si="3"/>
        <v>-460620</v>
      </c>
      <c r="AA4" s="157">
        <f>P4-O4</f>
        <v>-269304.56211612001</v>
      </c>
      <c r="AB4" s="157">
        <f>Q4-P4</f>
        <v>1174835.8943283316</v>
      </c>
      <c r="AC4" s="157">
        <f t="shared" si="3"/>
        <v>1490653.3869696744</v>
      </c>
      <c r="AD4" s="157">
        <f t="shared" si="3"/>
        <v>1128694.8261244455</v>
      </c>
      <c r="AE4" s="157">
        <f t="shared" si="3"/>
        <v>1535118.2341805631</v>
      </c>
      <c r="AF4" s="157">
        <f t="shared" si="3"/>
        <v>728243.66043703817</v>
      </c>
    </row>
    <row r="5" spans="1:32">
      <c r="A5" s="177">
        <v>111</v>
      </c>
      <c r="B5" s="178" t="s">
        <v>423</v>
      </c>
      <c r="C5" s="176">
        <f>BS!G4</f>
        <v>740070</v>
      </c>
      <c r="D5" s="176">
        <f>BS!H4</f>
        <v>991789</v>
      </c>
      <c r="E5" s="176">
        <f>BS!I4</f>
        <v>746447</v>
      </c>
      <c r="F5" s="176">
        <f>BS!J4</f>
        <v>1067588</v>
      </c>
      <c r="G5" s="176">
        <f>BS!K4</f>
        <v>1631825</v>
      </c>
      <c r="H5" s="176">
        <f>BS!L4</f>
        <v>1595189</v>
      </c>
      <c r="I5" s="176">
        <f>BS!M4</f>
        <v>953479</v>
      </c>
      <c r="J5" s="176">
        <f>BS!N4</f>
        <v>844203</v>
      </c>
      <c r="K5" s="176">
        <f>BS!O4</f>
        <v>685369</v>
      </c>
      <c r="L5" s="176">
        <f>BS!P4</f>
        <v>985365</v>
      </c>
      <c r="M5" s="176">
        <f>BS!Q4</f>
        <v>1423049</v>
      </c>
      <c r="N5" s="176">
        <f>BS!R4</f>
        <v>1337761</v>
      </c>
      <c r="O5" s="184">
        <f>BS!S4</f>
        <v>1174863</v>
      </c>
      <c r="P5" s="117">
        <f>'1CF'!M57</f>
        <v>3747577.43788388</v>
      </c>
      <c r="Q5" s="117">
        <f>'1CF'!N57</f>
        <v>4922413.3322122116</v>
      </c>
      <c r="R5" s="117">
        <f>'1CF'!O57</f>
        <v>6413066.7191818859</v>
      </c>
      <c r="S5" s="117">
        <f>'1CF'!P57</f>
        <v>7541761.5453063315</v>
      </c>
      <c r="T5" s="117">
        <f>'1CF'!Q57</f>
        <v>9076879.7794868946</v>
      </c>
      <c r="U5" s="117">
        <f>'1CF'!R57</f>
        <v>9805123.4399239328</v>
      </c>
      <c r="V5" s="164"/>
      <c r="X5" s="2" t="s">
        <v>421</v>
      </c>
      <c r="Y5" s="117">
        <f t="shared" si="6"/>
        <v>-85288</v>
      </c>
      <c r="Z5" s="117">
        <f t="shared" si="3"/>
        <v>-162898</v>
      </c>
      <c r="AA5" s="117">
        <f>P5-O5</f>
        <v>2572714.43788388</v>
      </c>
      <c r="AB5" s="117">
        <f t="shared" si="3"/>
        <v>1174835.8943283316</v>
      </c>
      <c r="AC5" s="117">
        <f t="shared" si="3"/>
        <v>1490653.3869696744</v>
      </c>
      <c r="AD5" s="117">
        <f t="shared" si="3"/>
        <v>1128694.8261244455</v>
      </c>
      <c r="AE5" s="117">
        <f t="shared" si="3"/>
        <v>1535118.2341805631</v>
      </c>
      <c r="AF5" s="117">
        <f t="shared" si="3"/>
        <v>728243.66043703817</v>
      </c>
    </row>
    <row r="6" spans="1:32">
      <c r="A6" s="177">
        <v>112</v>
      </c>
      <c r="B6" s="178" t="s">
        <v>424</v>
      </c>
      <c r="C6" s="176">
        <f>BS!G5</f>
        <v>1108185</v>
      </c>
      <c r="D6" s="176">
        <f>BS!H5</f>
        <v>825269</v>
      </c>
      <c r="E6" s="176">
        <f>BS!I5</f>
        <v>7189527</v>
      </c>
      <c r="F6" s="176">
        <f>BS!J5</f>
        <v>2377237</v>
      </c>
      <c r="G6" s="176">
        <f>BS!K5</f>
        <v>2636774</v>
      </c>
      <c r="H6" s="176">
        <f>BS!L5</f>
        <v>2872203</v>
      </c>
      <c r="I6" s="176">
        <f>BS!M5</f>
        <v>3162406</v>
      </c>
      <c r="J6" s="176">
        <f>BS!N5</f>
        <v>1881934</v>
      </c>
      <c r="K6" s="176">
        <f>BS!O5</f>
        <v>2921086</v>
      </c>
      <c r="L6" s="176">
        <f>BS!P5</f>
        <v>3084100</v>
      </c>
      <c r="M6" s="176">
        <f>BS!Q5</f>
        <v>3616859</v>
      </c>
      <c r="N6" s="176">
        <f>BS!R5</f>
        <v>3139740</v>
      </c>
      <c r="O6" s="184">
        <f>BS!S5</f>
        <v>2842019</v>
      </c>
      <c r="P6" s="117">
        <v>0</v>
      </c>
      <c r="Q6" s="117">
        <v>0</v>
      </c>
      <c r="R6" s="117">
        <v>0</v>
      </c>
      <c r="S6" s="117">
        <v>0</v>
      </c>
      <c r="T6" s="117">
        <v>0</v>
      </c>
      <c r="U6" s="117">
        <v>0</v>
      </c>
      <c r="V6" s="164"/>
      <c r="X6" s="2" t="s">
        <v>421</v>
      </c>
      <c r="Y6" s="117">
        <f t="shared" si="6"/>
        <v>-477119</v>
      </c>
      <c r="Z6" s="117">
        <f t="shared" si="3"/>
        <v>-297721</v>
      </c>
      <c r="AA6" s="117">
        <f t="shared" si="3"/>
        <v>-2842019</v>
      </c>
      <c r="AB6" s="117">
        <f t="shared" si="3"/>
        <v>0</v>
      </c>
      <c r="AC6" s="117">
        <f t="shared" si="3"/>
        <v>0</v>
      </c>
      <c r="AD6" s="117">
        <f t="shared" si="3"/>
        <v>0</v>
      </c>
      <c r="AE6" s="117">
        <f t="shared" si="3"/>
        <v>0</v>
      </c>
      <c r="AF6" s="117">
        <f t="shared" si="3"/>
        <v>0</v>
      </c>
    </row>
    <row r="7" spans="1:32" s="107" customFormat="1">
      <c r="A7" s="107">
        <v>120</v>
      </c>
      <c r="B7" s="160" t="s">
        <v>425</v>
      </c>
      <c r="C7" s="157">
        <f>BS!G6</f>
        <v>4054767</v>
      </c>
      <c r="D7" s="157">
        <f>BS!H6</f>
        <v>5719665</v>
      </c>
      <c r="E7" s="157">
        <f>BS!I6</f>
        <v>942767</v>
      </c>
      <c r="F7" s="157">
        <f>BS!J6</f>
        <v>3174321</v>
      </c>
      <c r="G7" s="157">
        <f>BS!K6</f>
        <v>6558801</v>
      </c>
      <c r="H7" s="157">
        <f>BS!L6</f>
        <v>7544188</v>
      </c>
      <c r="I7" s="157">
        <f>BS!M6</f>
        <v>12393227</v>
      </c>
      <c r="J7" s="157">
        <f>BS!N6</f>
        <v>14547419</v>
      </c>
      <c r="K7" s="157">
        <f>BS!O6</f>
        <v>16991239</v>
      </c>
      <c r="L7" s="157">
        <f>BS!P6</f>
        <v>19411470</v>
      </c>
      <c r="M7" s="157">
        <f>BS!Q6</f>
        <v>17741052</v>
      </c>
      <c r="N7" s="157">
        <f>BS!R6</f>
        <v>16566239</v>
      </c>
      <c r="O7" s="183">
        <f>BS!S6</f>
        <v>14985489</v>
      </c>
      <c r="P7" s="117">
        <f>SUM(P8:P10)</f>
        <v>14838768.970646594</v>
      </c>
      <c r="Q7" s="117">
        <f t="shared" ref="Q7:S7" si="7">SUM(Q8:Q10)</f>
        <v>14108561.572038809</v>
      </c>
      <c r="R7" s="117">
        <f t="shared" si="7"/>
        <v>13884886.791609878</v>
      </c>
      <c r="S7" s="117">
        <f t="shared" si="7"/>
        <v>13930853.435541186</v>
      </c>
      <c r="T7" s="117">
        <f>SUM(T8:T10)</f>
        <v>13869148.309500905</v>
      </c>
      <c r="U7" s="117">
        <f>SUM(U8:U10)</f>
        <v>14213259.25771231</v>
      </c>
      <c r="V7" s="158" t="s">
        <v>421</v>
      </c>
      <c r="X7" s="161" t="s">
        <v>421</v>
      </c>
      <c r="Y7" s="157">
        <f t="shared" si="6"/>
        <v>-1174813</v>
      </c>
      <c r="Z7" s="157">
        <f t="shared" si="3"/>
        <v>-1580750</v>
      </c>
      <c r="AA7" s="157">
        <f>P7-O7</f>
        <v>-146720.02935340628</v>
      </c>
      <c r="AB7" s="157">
        <f t="shared" si="3"/>
        <v>-730207.39860778488</v>
      </c>
      <c r="AC7" s="157">
        <f t="shared" si="3"/>
        <v>-223674.78042893112</v>
      </c>
      <c r="AD7" s="157">
        <f t="shared" si="3"/>
        <v>45966.643931308761</v>
      </c>
      <c r="AE7" s="157">
        <f t="shared" si="3"/>
        <v>-61705.126040281728</v>
      </c>
      <c r="AF7" s="157">
        <f t="shared" si="3"/>
        <v>344110.94821140543</v>
      </c>
    </row>
    <row r="8" spans="1:32">
      <c r="A8">
        <v>121</v>
      </c>
      <c r="B8" s="163" t="s">
        <v>426</v>
      </c>
      <c r="C8" s="176">
        <f>BS!G7</f>
        <v>0</v>
      </c>
      <c r="D8" s="176">
        <f>BS!H7</f>
        <v>0</v>
      </c>
      <c r="E8" s="176">
        <f>BS!I7</f>
        <v>0</v>
      </c>
      <c r="F8" s="176">
        <f>BS!J7</f>
        <v>0</v>
      </c>
      <c r="G8" s="176">
        <f>BS!K7</f>
        <v>0</v>
      </c>
      <c r="H8" s="176">
        <f>BS!L7</f>
        <v>0</v>
      </c>
      <c r="I8" s="176">
        <f>BS!M7</f>
        <v>0</v>
      </c>
      <c r="J8" s="176">
        <f>BS!N7</f>
        <v>0</v>
      </c>
      <c r="K8" s="176">
        <f>BS!O7</f>
        <v>0</v>
      </c>
      <c r="L8" s="176">
        <f>BS!P7</f>
        <v>0</v>
      </c>
      <c r="M8" s="176">
        <f>BS!Q7</f>
        <v>0</v>
      </c>
      <c r="N8" s="176">
        <f>BS!R7</f>
        <v>0</v>
      </c>
      <c r="O8" s="184">
        <f>BS!S7</f>
        <v>0</v>
      </c>
      <c r="P8" s="165">
        <f>WC!O4</f>
        <v>0</v>
      </c>
      <c r="Q8" s="165">
        <f>WC!P4</f>
        <v>0</v>
      </c>
      <c r="R8" s="165">
        <f>WC!Q4</f>
        <v>0</v>
      </c>
      <c r="S8" s="165">
        <f>WC!R4</f>
        <v>0</v>
      </c>
      <c r="T8" s="165">
        <f>WC!S4</f>
        <v>0</v>
      </c>
      <c r="U8" s="165">
        <f>WC!T4</f>
        <v>0</v>
      </c>
      <c r="V8" s="164"/>
      <c r="X8" s="2">
        <v>23</v>
      </c>
      <c r="Y8" s="117">
        <f t="shared" si="6"/>
        <v>0</v>
      </c>
      <c r="Z8" s="117">
        <f t="shared" si="3"/>
        <v>0</v>
      </c>
      <c r="AA8" s="117">
        <f t="shared" si="3"/>
        <v>0</v>
      </c>
      <c r="AB8" s="117">
        <f t="shared" si="3"/>
        <v>0</v>
      </c>
      <c r="AC8" s="117">
        <f t="shared" si="3"/>
        <v>0</v>
      </c>
      <c r="AD8" s="117">
        <f t="shared" si="3"/>
        <v>0</v>
      </c>
      <c r="AE8" s="117">
        <f t="shared" si="3"/>
        <v>0</v>
      </c>
      <c r="AF8" s="117">
        <f t="shared" si="3"/>
        <v>0</v>
      </c>
    </row>
    <row r="9" spans="1:32">
      <c r="A9">
        <v>122</v>
      </c>
      <c r="B9" s="163" t="s">
        <v>427</v>
      </c>
      <c r="C9" s="176">
        <f>BS!G8</f>
        <v>0</v>
      </c>
      <c r="D9" s="176">
        <f>BS!H8</f>
        <v>0</v>
      </c>
      <c r="E9" s="176">
        <f>BS!I8</f>
        <v>0</v>
      </c>
      <c r="F9" s="176">
        <f>BS!J8</f>
        <v>0</v>
      </c>
      <c r="G9" s="176">
        <f>BS!K8</f>
        <v>0</v>
      </c>
      <c r="H9" s="176">
        <f>BS!L8</f>
        <v>0</v>
      </c>
      <c r="I9" s="176">
        <f>BS!M8</f>
        <v>0</v>
      </c>
      <c r="J9" s="176">
        <f>BS!N8</f>
        <v>0</v>
      </c>
      <c r="K9" s="176">
        <f>BS!O8</f>
        <v>0</v>
      </c>
      <c r="L9" s="176">
        <f>BS!P8</f>
        <v>0</v>
      </c>
      <c r="M9" s="176">
        <f>BS!Q8</f>
        <v>0</v>
      </c>
      <c r="N9" s="176">
        <f>BS!R8</f>
        <v>0</v>
      </c>
      <c r="O9" s="184">
        <f>BS!S8</f>
        <v>0</v>
      </c>
      <c r="P9" s="165">
        <f>WC!O5</f>
        <v>0</v>
      </c>
      <c r="Q9" s="165">
        <f>WC!P5</f>
        <v>0</v>
      </c>
      <c r="R9" s="165">
        <f>WC!Q5</f>
        <v>0</v>
      </c>
      <c r="S9" s="165">
        <f>WC!R5</f>
        <v>0</v>
      </c>
      <c r="T9" s="165">
        <f>WC!S5</f>
        <v>0</v>
      </c>
      <c r="U9" s="165">
        <f>WC!T5</f>
        <v>0</v>
      </c>
      <c r="V9" s="164"/>
      <c r="X9" s="2">
        <v>3</v>
      </c>
      <c r="Y9" s="117">
        <f t="shared" si="6"/>
        <v>0</v>
      </c>
      <c r="Z9" s="117">
        <f t="shared" si="3"/>
        <v>0</v>
      </c>
      <c r="AA9" s="117">
        <f t="shared" si="3"/>
        <v>0</v>
      </c>
      <c r="AB9" s="117">
        <f t="shared" si="3"/>
        <v>0</v>
      </c>
      <c r="AC9" s="117">
        <f t="shared" si="3"/>
        <v>0</v>
      </c>
      <c r="AD9" s="117">
        <f t="shared" si="3"/>
        <v>0</v>
      </c>
      <c r="AE9" s="117">
        <f t="shared" si="3"/>
        <v>0</v>
      </c>
      <c r="AF9" s="117">
        <f t="shared" si="3"/>
        <v>0</v>
      </c>
    </row>
    <row r="10" spans="1:32">
      <c r="A10" s="177">
        <v>123</v>
      </c>
      <c r="B10" s="178" t="s">
        <v>428</v>
      </c>
      <c r="C10" s="176">
        <f>BS!G9</f>
        <v>4054767</v>
      </c>
      <c r="D10" s="176">
        <f>BS!H9</f>
        <v>5719665</v>
      </c>
      <c r="E10" s="176">
        <f>BS!I9</f>
        <v>942767</v>
      </c>
      <c r="F10" s="176">
        <f>BS!J9</f>
        <v>3174321</v>
      </c>
      <c r="G10" s="176">
        <f>BS!K9</f>
        <v>6558801</v>
      </c>
      <c r="H10" s="176">
        <f>BS!L9</f>
        <v>7544188</v>
      </c>
      <c r="I10" s="176">
        <f>BS!M9</f>
        <v>12393227</v>
      </c>
      <c r="J10" s="176">
        <f>BS!N9</f>
        <v>14547419</v>
      </c>
      <c r="K10" s="176">
        <f>BS!O9</f>
        <v>16991239</v>
      </c>
      <c r="L10" s="176">
        <f>BS!P9</f>
        <v>19411470</v>
      </c>
      <c r="M10" s="176">
        <f>BS!Q9</f>
        <v>17741052</v>
      </c>
      <c r="N10" s="176">
        <f>BS!R9</f>
        <v>16566239</v>
      </c>
      <c r="O10" s="184">
        <f>BS!S9</f>
        <v>14985489</v>
      </c>
      <c r="P10" s="165">
        <f>WC!O6</f>
        <v>14838768.970646594</v>
      </c>
      <c r="Q10" s="165">
        <f>WC!P6</f>
        <v>14108561.572038809</v>
      </c>
      <c r="R10" s="165">
        <f>WC!Q6</f>
        <v>13884886.791609878</v>
      </c>
      <c r="S10" s="165">
        <f>WC!R6</f>
        <v>13930853.435541186</v>
      </c>
      <c r="T10" s="165">
        <f>WC!S6</f>
        <v>13869148.309500905</v>
      </c>
      <c r="U10" s="165">
        <f>WC!T6</f>
        <v>14213259.25771231</v>
      </c>
      <c r="V10" s="164"/>
      <c r="X10" s="2">
        <v>23</v>
      </c>
      <c r="Y10" s="117">
        <f>N10-M10</f>
        <v>-1174813</v>
      </c>
      <c r="Z10" s="117">
        <f>O10-N10</f>
        <v>-1580750</v>
      </c>
      <c r="AA10" s="117">
        <f>P10-O10</f>
        <v>-146720.02935340628</v>
      </c>
      <c r="AB10" s="117">
        <f>Q10-P10</f>
        <v>-730207.39860778488</v>
      </c>
      <c r="AC10" s="117">
        <f t="shared" si="3"/>
        <v>-223674.78042893112</v>
      </c>
      <c r="AD10" s="117">
        <f t="shared" si="3"/>
        <v>45966.643931308761</v>
      </c>
      <c r="AE10" s="117">
        <f t="shared" si="3"/>
        <v>-61705.126040281728</v>
      </c>
      <c r="AF10" s="117">
        <f t="shared" si="3"/>
        <v>344110.94821140543</v>
      </c>
    </row>
    <row r="11" spans="1:32" s="107" customFormat="1">
      <c r="A11" s="107">
        <v>130</v>
      </c>
      <c r="B11" s="160" t="s">
        <v>429</v>
      </c>
      <c r="C11" s="117">
        <f>BS!G10</f>
        <v>766054</v>
      </c>
      <c r="D11" s="117">
        <f>BS!H10</f>
        <v>1031471</v>
      </c>
      <c r="E11" s="117">
        <f>BS!I10</f>
        <v>1085027</v>
      </c>
      <c r="F11" s="117">
        <f>BS!J10</f>
        <v>1090133</v>
      </c>
      <c r="G11" s="117">
        <f>BS!K10</f>
        <v>715326</v>
      </c>
      <c r="H11" s="117">
        <f>BS!L10</f>
        <v>765631</v>
      </c>
      <c r="I11" s="117">
        <f>BS!M10</f>
        <v>568608</v>
      </c>
      <c r="J11" s="117">
        <f>BS!N10</f>
        <v>590846</v>
      </c>
      <c r="K11" s="117">
        <f>BS!O10</f>
        <v>467956</v>
      </c>
      <c r="L11" s="117">
        <f>BS!P10</f>
        <v>897693</v>
      </c>
      <c r="M11" s="117">
        <f>BS!Q10</f>
        <v>1229401</v>
      </c>
      <c r="N11" s="117">
        <f>BS!R10</f>
        <v>1818472</v>
      </c>
      <c r="O11" s="120">
        <f>BS!S10</f>
        <v>902823</v>
      </c>
      <c r="P11" s="117">
        <f t="shared" ref="P11:U11" si="8">SUM(P12:P19)</f>
        <v>1047528.8488705138</v>
      </c>
      <c r="Q11" s="117">
        <f t="shared" si="8"/>
        <v>1015073.3045363416</v>
      </c>
      <c r="R11" s="117">
        <f t="shared" si="8"/>
        <v>1093678.0215503676</v>
      </c>
      <c r="S11" s="117">
        <f t="shared" si="8"/>
        <v>1131510.4555225712</v>
      </c>
      <c r="T11" s="117">
        <f t="shared" si="8"/>
        <v>1152919.5142986053</v>
      </c>
      <c r="U11" s="117">
        <f t="shared" si="8"/>
        <v>1196605.3126437648</v>
      </c>
      <c r="V11" s="158" t="s">
        <v>421</v>
      </c>
      <c r="X11" s="161" t="s">
        <v>421</v>
      </c>
      <c r="Y11" s="157">
        <f t="shared" si="6"/>
        <v>589071</v>
      </c>
      <c r="Z11" s="157">
        <f t="shared" si="3"/>
        <v>-915649</v>
      </c>
      <c r="AA11" s="157">
        <f t="shared" si="3"/>
        <v>144705.84887051384</v>
      </c>
      <c r="AB11" s="157">
        <f t="shared" si="3"/>
        <v>-32455.544334172271</v>
      </c>
      <c r="AC11" s="157">
        <f t="shared" si="3"/>
        <v>78604.717014026013</v>
      </c>
      <c r="AD11" s="157">
        <f t="shared" si="3"/>
        <v>37832.433972203638</v>
      </c>
      <c r="AE11" s="157">
        <f t="shared" si="3"/>
        <v>21409.058776034042</v>
      </c>
      <c r="AF11" s="157">
        <f t="shared" si="3"/>
        <v>43685.798345159506</v>
      </c>
    </row>
    <row r="12" spans="1:32">
      <c r="A12">
        <v>131</v>
      </c>
      <c r="B12" s="163" t="s">
        <v>430</v>
      </c>
      <c r="C12" s="117">
        <f>BS!G11</f>
        <v>546565</v>
      </c>
      <c r="D12" s="117">
        <f>BS!H11</f>
        <v>551396</v>
      </c>
      <c r="E12" s="117">
        <f>BS!I11</f>
        <v>621408</v>
      </c>
      <c r="F12" s="117">
        <f>BS!J11</f>
        <v>551219</v>
      </c>
      <c r="G12" s="117">
        <f>BS!K11</f>
        <v>171321</v>
      </c>
      <c r="H12" s="117">
        <f>BS!L11</f>
        <v>244119</v>
      </c>
      <c r="I12" s="117">
        <f>BS!M11</f>
        <v>157655</v>
      </c>
      <c r="J12" s="117">
        <f>BS!N11</f>
        <v>69332</v>
      </c>
      <c r="K12" s="117">
        <f>BS!O11</f>
        <v>100966</v>
      </c>
      <c r="L12" s="117">
        <f>BS!P11</f>
        <v>337852</v>
      </c>
      <c r="M12" s="117">
        <f>BS!Q11</f>
        <v>467367</v>
      </c>
      <c r="N12" s="117">
        <f>BS!R11</f>
        <v>433141</v>
      </c>
      <c r="O12" s="120">
        <f>BS!S11</f>
        <v>697568</v>
      </c>
      <c r="P12" s="165">
        <f>WC!O8</f>
        <v>503153.9451324761</v>
      </c>
      <c r="Q12" s="165">
        <f>WC!P8</f>
        <v>387817.98028001218</v>
      </c>
      <c r="R12" s="165">
        <f>WC!Q8</f>
        <v>472563.17559469811</v>
      </c>
      <c r="S12" s="165">
        <f>WC!R8</f>
        <v>484230.25807423308</v>
      </c>
      <c r="T12" s="165">
        <f>WC!S8</f>
        <v>479745.04462794651</v>
      </c>
      <c r="U12" s="165">
        <f>WC!T8</f>
        <v>507907.95167771145</v>
      </c>
      <c r="V12" s="164"/>
      <c r="X12" s="2">
        <v>9</v>
      </c>
      <c r="Y12" s="117">
        <f t="shared" si="6"/>
        <v>-34226</v>
      </c>
      <c r="Z12" s="117">
        <f t="shared" si="3"/>
        <v>264427</v>
      </c>
      <c r="AA12" s="117">
        <f t="shared" si="3"/>
        <v>-194414.0548675239</v>
      </c>
      <c r="AB12" s="117">
        <f t="shared" si="3"/>
        <v>-115335.96485246392</v>
      </c>
      <c r="AC12" s="117">
        <f t="shared" si="3"/>
        <v>84745.19531468593</v>
      </c>
      <c r="AD12" s="117">
        <f t="shared" si="3"/>
        <v>11667.082479534962</v>
      </c>
      <c r="AE12" s="117">
        <f t="shared" si="3"/>
        <v>-4485.2134462865652</v>
      </c>
      <c r="AF12" s="117">
        <f t="shared" si="3"/>
        <v>28162.907049764937</v>
      </c>
    </row>
    <row r="13" spans="1:32">
      <c r="A13">
        <v>132</v>
      </c>
      <c r="B13" s="163" t="s">
        <v>431</v>
      </c>
      <c r="C13" s="117">
        <f>BS!G12</f>
        <v>160999</v>
      </c>
      <c r="D13" s="117">
        <f>BS!H12</f>
        <v>133998</v>
      </c>
      <c r="E13" s="117">
        <f>BS!I12</f>
        <v>71472</v>
      </c>
      <c r="F13" s="117">
        <f>BS!J12</f>
        <v>166785</v>
      </c>
      <c r="G13" s="117">
        <f>BS!K12</f>
        <v>108550</v>
      </c>
      <c r="H13" s="117">
        <f>BS!L12</f>
        <v>74758</v>
      </c>
      <c r="I13" s="117">
        <f>BS!M12</f>
        <v>54679</v>
      </c>
      <c r="J13" s="117">
        <f>BS!N12</f>
        <v>164204</v>
      </c>
      <c r="K13" s="117">
        <f>BS!O12</f>
        <v>29859</v>
      </c>
      <c r="L13" s="117">
        <f>BS!P12</f>
        <v>68060</v>
      </c>
      <c r="M13" s="117">
        <f>BS!Q12</f>
        <v>33282</v>
      </c>
      <c r="N13" s="117">
        <f>BS!R12</f>
        <v>48391</v>
      </c>
      <c r="O13" s="120">
        <f>BS!S12</f>
        <v>31631</v>
      </c>
      <c r="P13" s="165">
        <f>WC!O9</f>
        <v>34511.464437290582</v>
      </c>
      <c r="Q13" s="165">
        <f>WC!P9</f>
        <v>37098.2061955881</v>
      </c>
      <c r="R13" s="165">
        <f>WC!Q9</f>
        <v>37066.296377198465</v>
      </c>
      <c r="S13" s="165">
        <f>WC!R9</f>
        <v>38552.43078398615</v>
      </c>
      <c r="T13" s="165">
        <f>WC!S9</f>
        <v>40308.370689155818</v>
      </c>
      <c r="U13" s="165">
        <f>WC!T9</f>
        <v>40956.534019055274</v>
      </c>
      <c r="V13" s="164"/>
      <c r="X13" s="2">
        <v>9</v>
      </c>
      <c r="Y13" s="117">
        <f t="shared" si="6"/>
        <v>15109</v>
      </c>
      <c r="Z13" s="117">
        <f t="shared" si="3"/>
        <v>-16760</v>
      </c>
      <c r="AA13" s="117">
        <f t="shared" si="3"/>
        <v>2880.4644372905823</v>
      </c>
      <c r="AB13" s="117">
        <f t="shared" si="3"/>
        <v>2586.7417582975177</v>
      </c>
      <c r="AC13" s="117">
        <f t="shared" si="3"/>
        <v>-31.909818389634893</v>
      </c>
      <c r="AD13" s="117">
        <f t="shared" si="3"/>
        <v>1486.1344067876853</v>
      </c>
      <c r="AE13" s="117">
        <f t="shared" si="3"/>
        <v>1755.9399051696673</v>
      </c>
      <c r="AF13" s="117">
        <f t="shared" si="3"/>
        <v>648.16332989945658</v>
      </c>
    </row>
    <row r="14" spans="1:32">
      <c r="A14">
        <v>133</v>
      </c>
      <c r="B14" s="163" t="s">
        <v>432</v>
      </c>
      <c r="C14" s="117">
        <f>BS!G13</f>
        <v>0</v>
      </c>
      <c r="D14" s="117">
        <f>BS!H13</f>
        <v>0</v>
      </c>
      <c r="E14" s="117">
        <f>BS!I13</f>
        <v>0</v>
      </c>
      <c r="F14" s="117">
        <f>BS!J13</f>
        <v>0</v>
      </c>
      <c r="G14" s="117">
        <f>BS!K13</f>
        <v>0</v>
      </c>
      <c r="H14" s="117">
        <f>BS!L13</f>
        <v>0</v>
      </c>
      <c r="I14" s="117">
        <f>BS!M13</f>
        <v>0</v>
      </c>
      <c r="J14" s="117">
        <f>BS!N13</f>
        <v>0</v>
      </c>
      <c r="K14" s="117">
        <f>BS!O13</f>
        <v>0</v>
      </c>
      <c r="L14" s="117">
        <f>BS!P13</f>
        <v>0</v>
      </c>
      <c r="M14" s="117">
        <f>BS!Q13</f>
        <v>0</v>
      </c>
      <c r="N14" s="117">
        <f>BS!R13</f>
        <v>0</v>
      </c>
      <c r="O14" s="120">
        <f>BS!S13</f>
        <v>0</v>
      </c>
      <c r="P14" s="165">
        <f>WC!O10</f>
        <v>0</v>
      </c>
      <c r="Q14" s="165">
        <f>WC!P10</f>
        <v>0</v>
      </c>
      <c r="R14" s="165">
        <f>WC!Q10</f>
        <v>0</v>
      </c>
      <c r="S14" s="165">
        <f>WC!R10</f>
        <v>0</v>
      </c>
      <c r="T14" s="165">
        <f>WC!S10</f>
        <v>0</v>
      </c>
      <c r="U14" s="165">
        <f>WC!T10</f>
        <v>0</v>
      </c>
      <c r="V14" s="164"/>
      <c r="X14" s="2">
        <v>9</v>
      </c>
      <c r="Y14" s="117">
        <f t="shared" si="6"/>
        <v>0</v>
      </c>
      <c r="Z14" s="117">
        <f t="shared" si="3"/>
        <v>0</v>
      </c>
      <c r="AA14" s="117">
        <f t="shared" si="3"/>
        <v>0</v>
      </c>
      <c r="AB14" s="117">
        <f t="shared" si="3"/>
        <v>0</v>
      </c>
      <c r="AC14" s="117">
        <f t="shared" si="3"/>
        <v>0</v>
      </c>
      <c r="AD14" s="117">
        <f t="shared" si="3"/>
        <v>0</v>
      </c>
      <c r="AE14" s="117">
        <f t="shared" si="3"/>
        <v>0</v>
      </c>
      <c r="AF14" s="117">
        <f t="shared" si="3"/>
        <v>0</v>
      </c>
    </row>
    <row r="15" spans="1:32">
      <c r="A15">
        <v>134</v>
      </c>
      <c r="B15" s="163" t="s">
        <v>433</v>
      </c>
      <c r="C15" s="117">
        <f>BS!G14</f>
        <v>0</v>
      </c>
      <c r="D15" s="117">
        <f>BS!H14</f>
        <v>0</v>
      </c>
      <c r="E15" s="117">
        <f>BS!I14</f>
        <v>0</v>
      </c>
      <c r="F15" s="117">
        <f>BS!J14</f>
        <v>0</v>
      </c>
      <c r="G15" s="117">
        <f>BS!K14</f>
        <v>0</v>
      </c>
      <c r="H15" s="117">
        <f>BS!L14</f>
        <v>0</v>
      </c>
      <c r="I15" s="117">
        <f>BS!M14</f>
        <v>0</v>
      </c>
      <c r="J15" s="117">
        <f>BS!N14</f>
        <v>0</v>
      </c>
      <c r="K15" s="117">
        <f>BS!O14</f>
        <v>0</v>
      </c>
      <c r="L15" s="117">
        <f>BS!P14</f>
        <v>0</v>
      </c>
      <c r="M15" s="117">
        <f>BS!Q14</f>
        <v>0</v>
      </c>
      <c r="N15" s="117">
        <f>BS!R14</f>
        <v>0</v>
      </c>
      <c r="O15" s="120">
        <f>BS!S14</f>
        <v>0</v>
      </c>
      <c r="P15" s="165">
        <f>WC!O11</f>
        <v>0</v>
      </c>
      <c r="Q15" s="165">
        <f>WC!P11</f>
        <v>0</v>
      </c>
      <c r="R15" s="165">
        <f>WC!Q11</f>
        <v>0</v>
      </c>
      <c r="S15" s="165">
        <f>WC!R11</f>
        <v>0</v>
      </c>
      <c r="T15" s="165">
        <f>WC!S11</f>
        <v>0</v>
      </c>
      <c r="U15" s="165">
        <f>WC!T11</f>
        <v>0</v>
      </c>
      <c r="V15" s="164"/>
      <c r="X15" s="2">
        <v>0</v>
      </c>
      <c r="Y15" s="117">
        <f t="shared" si="6"/>
        <v>0</v>
      </c>
      <c r="Z15" s="117">
        <f t="shared" si="3"/>
        <v>0</v>
      </c>
      <c r="AA15" s="117">
        <f t="shared" si="3"/>
        <v>0</v>
      </c>
      <c r="AB15" s="117">
        <f t="shared" si="3"/>
        <v>0</v>
      </c>
      <c r="AC15" s="117">
        <f t="shared" si="3"/>
        <v>0</v>
      </c>
      <c r="AD15" s="117">
        <f t="shared" si="3"/>
        <v>0</v>
      </c>
      <c r="AE15" s="117">
        <f t="shared" si="3"/>
        <v>0</v>
      </c>
      <c r="AF15" s="117">
        <f t="shared" si="3"/>
        <v>0</v>
      </c>
    </row>
    <row r="16" spans="1:32">
      <c r="A16">
        <v>135</v>
      </c>
      <c r="B16" s="163" t="s">
        <v>434</v>
      </c>
      <c r="C16" s="117">
        <f>BS!G15</f>
        <v>0</v>
      </c>
      <c r="D16" s="117">
        <f>BS!H15</f>
        <v>0</v>
      </c>
      <c r="E16" s="117">
        <f>BS!I15</f>
        <v>0</v>
      </c>
      <c r="F16" s="117">
        <f>BS!J15</f>
        <v>0</v>
      </c>
      <c r="G16" s="117">
        <f>BS!K15</f>
        <v>0</v>
      </c>
      <c r="H16" s="117">
        <f>BS!L15</f>
        <v>502625</v>
      </c>
      <c r="I16" s="117">
        <f>BS!M15</f>
        <v>0</v>
      </c>
      <c r="J16" s="117">
        <f>BS!N15</f>
        <v>0</v>
      </c>
      <c r="K16" s="117">
        <f>BS!O15</f>
        <v>0</v>
      </c>
      <c r="L16" s="117">
        <f>BS!P15</f>
        <v>0</v>
      </c>
      <c r="M16" s="117">
        <f>BS!Q15</f>
        <v>0</v>
      </c>
      <c r="N16" s="117">
        <f>BS!R15</f>
        <v>0</v>
      </c>
      <c r="O16" s="120">
        <f>BS!S15</f>
        <v>0</v>
      </c>
      <c r="P16" s="165">
        <f>WC!O12</f>
        <v>0</v>
      </c>
      <c r="Q16" s="165">
        <f>WC!P12</f>
        <v>0</v>
      </c>
      <c r="R16" s="165">
        <f>WC!Q12</f>
        <v>0</v>
      </c>
      <c r="S16" s="165">
        <f>WC!R12</f>
        <v>0</v>
      </c>
      <c r="T16" s="165">
        <f>WC!S12</f>
        <v>0</v>
      </c>
      <c r="U16" s="165">
        <f>WC!T12</f>
        <v>0</v>
      </c>
      <c r="V16" s="164"/>
      <c r="X16" s="2">
        <v>9</v>
      </c>
      <c r="Y16" s="117">
        <f t="shared" si="6"/>
        <v>0</v>
      </c>
      <c r="Z16" s="117">
        <f t="shared" si="3"/>
        <v>0</v>
      </c>
      <c r="AA16" s="117">
        <f t="shared" si="3"/>
        <v>0</v>
      </c>
      <c r="AB16" s="117">
        <f t="shared" si="3"/>
        <v>0</v>
      </c>
      <c r="AC16" s="117">
        <f t="shared" si="3"/>
        <v>0</v>
      </c>
      <c r="AD16" s="117">
        <f t="shared" si="3"/>
        <v>0</v>
      </c>
      <c r="AE16" s="117">
        <f t="shared" si="3"/>
        <v>0</v>
      </c>
      <c r="AF16" s="117">
        <f t="shared" si="3"/>
        <v>0</v>
      </c>
    </row>
    <row r="17" spans="1:32">
      <c r="A17">
        <v>136</v>
      </c>
      <c r="B17" s="163" t="s">
        <v>435</v>
      </c>
      <c r="C17" s="117">
        <f>BS!G16</f>
        <v>103703</v>
      </c>
      <c r="D17" s="117">
        <f>BS!H16</f>
        <v>391899</v>
      </c>
      <c r="E17" s="117">
        <f>BS!I16</f>
        <v>440463</v>
      </c>
      <c r="F17" s="117">
        <f>BS!J16</f>
        <v>421976</v>
      </c>
      <c r="G17" s="117">
        <f>BS!K16</f>
        <v>488911</v>
      </c>
      <c r="H17" s="117">
        <f>BS!L16</f>
        <v>-55871</v>
      </c>
      <c r="I17" s="117">
        <f>BS!M16</f>
        <v>702587</v>
      </c>
      <c r="J17" s="117">
        <f>BS!N16</f>
        <v>699600</v>
      </c>
      <c r="K17" s="117">
        <f>BS!O16</f>
        <v>679386</v>
      </c>
      <c r="L17" s="117">
        <f>BS!P16</f>
        <v>787397</v>
      </c>
      <c r="M17" s="117">
        <f>BS!Q16</f>
        <v>1024557</v>
      </c>
      <c r="N17" s="117">
        <f>BS!R16</f>
        <v>1646478</v>
      </c>
      <c r="O17" s="120">
        <f>BS!S16</f>
        <v>746762</v>
      </c>
      <c r="P17" s="165">
        <f>WC!O13</f>
        <v>843903.66465600149</v>
      </c>
      <c r="Q17" s="165">
        <f>WC!P13</f>
        <v>832227.03957693756</v>
      </c>
      <c r="R17" s="165">
        <f>WC!Q13</f>
        <v>887637.3759962382</v>
      </c>
      <c r="S17" s="165">
        <f>WC!R13</f>
        <v>900667.55832473154</v>
      </c>
      <c r="T17" s="165">
        <f>WC!S13</f>
        <v>941211.15890521556</v>
      </c>
      <c r="U17" s="165">
        <f>WC!T13</f>
        <v>962196.72565716901</v>
      </c>
      <c r="V17" s="164"/>
      <c r="X17" s="2">
        <v>9</v>
      </c>
      <c r="Y17" s="117">
        <f t="shared" si="6"/>
        <v>621921</v>
      </c>
      <c r="Z17" s="117">
        <f t="shared" si="3"/>
        <v>-899716</v>
      </c>
      <c r="AA17" s="117">
        <f t="shared" si="3"/>
        <v>97141.664656001492</v>
      </c>
      <c r="AB17" s="117">
        <f t="shared" si="3"/>
        <v>-11676.625079063931</v>
      </c>
      <c r="AC17" s="117">
        <f t="shared" si="3"/>
        <v>55410.336419300642</v>
      </c>
      <c r="AD17" s="117">
        <f t="shared" si="3"/>
        <v>13030.182328493334</v>
      </c>
      <c r="AE17" s="117">
        <f t="shared" si="3"/>
        <v>40543.600580484024</v>
      </c>
      <c r="AF17" s="117">
        <f t="shared" si="3"/>
        <v>20985.566751953447</v>
      </c>
    </row>
    <row r="18" spans="1:32">
      <c r="A18">
        <v>137</v>
      </c>
      <c r="B18" s="163" t="s">
        <v>436</v>
      </c>
      <c r="C18" s="117">
        <f>BS!G17</f>
        <v>-45213</v>
      </c>
      <c r="D18" s="117">
        <f>BS!H17</f>
        <v>-45822</v>
      </c>
      <c r="E18" s="117">
        <f>BS!I17</f>
        <v>-48316</v>
      </c>
      <c r="F18" s="117">
        <f>BS!J17</f>
        <v>-49846</v>
      </c>
      <c r="G18" s="117">
        <f>BS!K17</f>
        <v>-53456</v>
      </c>
      <c r="H18" s="117">
        <f>BS!L17</f>
        <v>0</v>
      </c>
      <c r="I18" s="117">
        <f>BS!M17</f>
        <v>-346313</v>
      </c>
      <c r="J18" s="117">
        <f>BS!N17</f>
        <v>-342290</v>
      </c>
      <c r="K18" s="117">
        <f>BS!O17</f>
        <v>-342255</v>
      </c>
      <c r="L18" s="117">
        <f>BS!P17</f>
        <v>-295616</v>
      </c>
      <c r="M18" s="117">
        <f>BS!Q17</f>
        <v>-295804</v>
      </c>
      <c r="N18" s="117">
        <f>BS!R17</f>
        <v>-309538</v>
      </c>
      <c r="O18" s="120">
        <f>BS!S17</f>
        <v>-573138</v>
      </c>
      <c r="P18" s="165">
        <f>WC!O14</f>
        <v>-334040.22535525437</v>
      </c>
      <c r="Q18" s="165">
        <f>WC!P14</f>
        <v>-242069.92151619619</v>
      </c>
      <c r="R18" s="165">
        <f>WC!Q14</f>
        <v>-303588.82641776733</v>
      </c>
      <c r="S18" s="165">
        <f>WC!R14</f>
        <v>-291939.7916603795</v>
      </c>
      <c r="T18" s="165">
        <f>WC!S14</f>
        <v>-308345.05992371269</v>
      </c>
      <c r="U18" s="165">
        <f>WC!T14</f>
        <v>-314455.89871017105</v>
      </c>
      <c r="V18" s="164"/>
      <c r="X18" s="2">
        <v>3</v>
      </c>
      <c r="Y18" s="117">
        <f t="shared" si="6"/>
        <v>-13734</v>
      </c>
      <c r="Z18" s="117">
        <f t="shared" si="3"/>
        <v>-263600</v>
      </c>
      <c r="AA18" s="117">
        <f t="shared" si="3"/>
        <v>239097.77464474563</v>
      </c>
      <c r="AB18" s="117">
        <f t="shared" si="3"/>
        <v>91970.303839058179</v>
      </c>
      <c r="AC18" s="117">
        <f t="shared" si="3"/>
        <v>-61518.904901571135</v>
      </c>
      <c r="AD18" s="117">
        <f t="shared" si="3"/>
        <v>11649.034757387824</v>
      </c>
      <c r="AE18" s="117">
        <f t="shared" si="3"/>
        <v>-16405.268263333186</v>
      </c>
      <c r="AF18" s="117">
        <f t="shared" si="3"/>
        <v>-6110.8387864583638</v>
      </c>
    </row>
    <row r="19" spans="1:32">
      <c r="A19">
        <v>139</v>
      </c>
      <c r="B19" s="163" t="s">
        <v>437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  <c r="O19" s="120">
        <v>0</v>
      </c>
      <c r="P19" s="165">
        <f>WC!O15</f>
        <v>0</v>
      </c>
      <c r="Q19" s="165">
        <f>WC!P15</f>
        <v>0</v>
      </c>
      <c r="R19" s="165">
        <f>WC!Q15</f>
        <v>0</v>
      </c>
      <c r="S19" s="165">
        <f>WC!R15</f>
        <v>0</v>
      </c>
      <c r="T19" s="165">
        <f>WC!S15</f>
        <v>0</v>
      </c>
      <c r="U19" s="165">
        <f>WC!T15</f>
        <v>0</v>
      </c>
      <c r="V19" s="164"/>
      <c r="X19" s="2">
        <v>0</v>
      </c>
      <c r="Y19" s="117">
        <f t="shared" si="6"/>
        <v>0</v>
      </c>
      <c r="Z19" s="117">
        <f t="shared" ref="Z19:Z82" si="9">O19-N19</f>
        <v>0</v>
      </c>
      <c r="AA19" s="117">
        <f t="shared" ref="AA19:AA82" si="10">P19-O19</f>
        <v>0</v>
      </c>
      <c r="AB19" s="117">
        <f t="shared" ref="AB19:AB82" si="11">Q19-P19</f>
        <v>0</v>
      </c>
      <c r="AC19" s="117">
        <f t="shared" ref="AC19:AC82" si="12">R19-Q19</f>
        <v>0</v>
      </c>
      <c r="AD19" s="117">
        <f t="shared" ref="AD19:AD82" si="13">S19-R19</f>
        <v>0</v>
      </c>
      <c r="AE19" s="117">
        <f t="shared" ref="AE19:AE82" si="14">T19-S19</f>
        <v>0</v>
      </c>
      <c r="AF19" s="117">
        <f t="shared" ref="AF19:AF82" si="15">U19-T19</f>
        <v>0</v>
      </c>
    </row>
    <row r="20" spans="1:32" s="107" customFormat="1">
      <c r="A20" s="107">
        <v>140</v>
      </c>
      <c r="B20" s="160" t="s">
        <v>438</v>
      </c>
      <c r="C20" s="117">
        <f>BS!G18</f>
        <v>1686954</v>
      </c>
      <c r="D20" s="117">
        <f>BS!H18</f>
        <v>1868972</v>
      </c>
      <c r="E20" s="117">
        <f>BS!I18</f>
        <v>1924904</v>
      </c>
      <c r="F20" s="117">
        <f>BS!J18</f>
        <v>2126217</v>
      </c>
      <c r="G20" s="117">
        <f>BS!K18</f>
        <v>2003535</v>
      </c>
      <c r="H20" s="117">
        <f>BS!L18</f>
        <v>1813754</v>
      </c>
      <c r="I20" s="117">
        <f>BS!M18</f>
        <v>1967138</v>
      </c>
      <c r="J20" s="117">
        <f>BS!N18</f>
        <v>1446833</v>
      </c>
      <c r="K20" s="117">
        <f>BS!O18</f>
        <v>1668002</v>
      </c>
      <c r="L20" s="117">
        <f>BS!P18</f>
        <v>2193521</v>
      </c>
      <c r="M20" s="117">
        <f>BS!Q18</f>
        <v>2317505</v>
      </c>
      <c r="N20" s="117">
        <f>BS!R18</f>
        <v>1978544</v>
      </c>
      <c r="O20" s="120">
        <f>BS!S18</f>
        <v>2027352</v>
      </c>
      <c r="P20" s="117">
        <f t="shared" ref="P20:U20" si="16">SUM(P21:P22)</f>
        <v>1949658.9677773281</v>
      </c>
      <c r="Q20" s="117">
        <f t="shared" si="16"/>
        <v>1963349.404005107</v>
      </c>
      <c r="R20" s="117">
        <f t="shared" si="16"/>
        <v>2137713.6540525821</v>
      </c>
      <c r="S20" s="117">
        <f t="shared" si="16"/>
        <v>2145593.4027623693</v>
      </c>
      <c r="T20" s="117">
        <f t="shared" si="16"/>
        <v>2232284.9133062782</v>
      </c>
      <c r="U20" s="117">
        <f t="shared" si="16"/>
        <v>2302870.0039284835</v>
      </c>
      <c r="V20" s="158" t="s">
        <v>421</v>
      </c>
      <c r="X20" s="161" t="s">
        <v>421</v>
      </c>
      <c r="Y20" s="157">
        <f t="shared" si="6"/>
        <v>-338961</v>
      </c>
      <c r="Z20" s="157">
        <f t="shared" si="9"/>
        <v>48808</v>
      </c>
      <c r="AA20" s="157">
        <f t="shared" si="10"/>
        <v>-77693.0322226719</v>
      </c>
      <c r="AB20" s="157">
        <f t="shared" si="11"/>
        <v>13690.436227778904</v>
      </c>
      <c r="AC20" s="157">
        <f t="shared" si="12"/>
        <v>174364.2500474751</v>
      </c>
      <c r="AD20" s="157">
        <f t="shared" si="13"/>
        <v>7879.748709787149</v>
      </c>
      <c r="AE20" s="157">
        <f t="shared" si="14"/>
        <v>86691.510543908924</v>
      </c>
      <c r="AF20" s="157">
        <f t="shared" si="15"/>
        <v>70585.090622205287</v>
      </c>
    </row>
    <row r="21" spans="1:32">
      <c r="A21">
        <v>141</v>
      </c>
      <c r="B21" s="163" t="s">
        <v>439</v>
      </c>
      <c r="C21" s="117">
        <f>BS!G19</f>
        <v>1733089</v>
      </c>
      <c r="D21" s="117">
        <f>BS!H19</f>
        <v>1909069</v>
      </c>
      <c r="E21" s="117">
        <f>BS!I19</f>
        <v>1960526</v>
      </c>
      <c r="F21" s="117">
        <f>BS!J19</f>
        <v>2171045</v>
      </c>
      <c r="G21" s="117">
        <f>BS!K19</f>
        <v>2116546</v>
      </c>
      <c r="H21" s="117">
        <f>BS!L19</f>
        <v>2034064</v>
      </c>
      <c r="I21" s="117">
        <f>BS!M19</f>
        <v>2169541</v>
      </c>
      <c r="J21" s="117">
        <f>BS!N19</f>
        <v>1525039</v>
      </c>
      <c r="K21" s="117">
        <f>BS!O19</f>
        <v>1755712</v>
      </c>
      <c r="L21" s="117">
        <f>BS!P19</f>
        <v>2272495</v>
      </c>
      <c r="M21" s="117">
        <f>BS!Q19</f>
        <v>2393085</v>
      </c>
      <c r="N21" s="117">
        <f>BS!R19</f>
        <v>2042853</v>
      </c>
      <c r="O21" s="120">
        <f>BS!S19</f>
        <v>2109850</v>
      </c>
      <c r="P21" s="165">
        <f>WC!O17</f>
        <v>2018394.7385969558</v>
      </c>
      <c r="Q21" s="165">
        <f>WC!P17</f>
        <v>2034303.2035063345</v>
      </c>
      <c r="R21" s="165">
        <f>WC!Q17</f>
        <v>2217571.8955678297</v>
      </c>
      <c r="S21" s="165">
        <f>WC!R17</f>
        <v>2223370.5469774199</v>
      </c>
      <c r="T21" s="165">
        <f>WC!S17</f>
        <v>2313945.5009287684</v>
      </c>
      <c r="U21" s="165">
        <f>WC!T17</f>
        <v>2387452.5399909806</v>
      </c>
      <c r="V21" s="164"/>
      <c r="X21" s="2">
        <v>10</v>
      </c>
      <c r="Y21" s="117">
        <f t="shared" si="6"/>
        <v>-350232</v>
      </c>
      <c r="Z21" s="117">
        <f t="shared" si="9"/>
        <v>66997</v>
      </c>
      <c r="AA21" s="117">
        <f t="shared" si="10"/>
        <v>-91455.26140304422</v>
      </c>
      <c r="AB21" s="117">
        <f t="shared" si="11"/>
        <v>15908.464909378672</v>
      </c>
      <c r="AC21" s="117">
        <f t="shared" si="12"/>
        <v>183268.69206149527</v>
      </c>
      <c r="AD21" s="117">
        <f t="shared" si="13"/>
        <v>5798.6514095901512</v>
      </c>
      <c r="AE21" s="117">
        <f t="shared" si="14"/>
        <v>90574.953951348551</v>
      </c>
      <c r="AF21" s="117">
        <f t="shared" si="15"/>
        <v>73507.039062212221</v>
      </c>
    </row>
    <row r="22" spans="1:32">
      <c r="A22">
        <v>149</v>
      </c>
      <c r="B22" s="163" t="s">
        <v>440</v>
      </c>
      <c r="C22" s="117">
        <f>BS!G20</f>
        <v>-46135</v>
      </c>
      <c r="D22" s="117">
        <f>BS!H20</f>
        <v>-40097</v>
      </c>
      <c r="E22" s="117">
        <f>BS!I20</f>
        <v>-35622</v>
      </c>
      <c r="F22" s="117">
        <f>BS!J20</f>
        <v>-44828</v>
      </c>
      <c r="G22" s="117">
        <f>BS!K20</f>
        <v>-113011</v>
      </c>
      <c r="H22" s="117">
        <f>BS!L20</f>
        <v>-220310</v>
      </c>
      <c r="I22" s="117">
        <f>BS!M20</f>
        <v>-202403</v>
      </c>
      <c r="J22" s="117">
        <f>BS!N20</f>
        <v>-78206</v>
      </c>
      <c r="K22" s="117">
        <f>BS!O20</f>
        <v>-87710</v>
      </c>
      <c r="L22" s="117">
        <f>BS!P20</f>
        <v>-78973</v>
      </c>
      <c r="M22" s="117">
        <f>BS!Q20</f>
        <v>-75580</v>
      </c>
      <c r="N22" s="117">
        <f>BS!R20</f>
        <v>-64309</v>
      </c>
      <c r="O22" s="120">
        <f>BS!S20</f>
        <v>-82498</v>
      </c>
      <c r="P22" s="165">
        <f>WC!O18</f>
        <v>-68735.770819627694</v>
      </c>
      <c r="Q22" s="165">
        <f>WC!P18</f>
        <v>-70953.799501227433</v>
      </c>
      <c r="R22" s="165">
        <f>WC!Q18</f>
        <v>-79858.24151524753</v>
      </c>
      <c r="S22" s="165">
        <f>WC!R18</f>
        <v>-77777.144215050474</v>
      </c>
      <c r="T22" s="165">
        <f>WC!S18</f>
        <v>-81660.587622490159</v>
      </c>
      <c r="U22" s="165">
        <f>WC!T18</f>
        <v>-84582.536062497384</v>
      </c>
      <c r="V22" s="164"/>
      <c r="X22" s="2">
        <v>3</v>
      </c>
      <c r="Y22" s="117">
        <f t="shared" si="6"/>
        <v>11271</v>
      </c>
      <c r="Z22" s="117">
        <f t="shared" si="9"/>
        <v>-18189</v>
      </c>
      <c r="AA22" s="117">
        <f t="shared" si="10"/>
        <v>13762.229180372306</v>
      </c>
      <c r="AB22" s="117">
        <f t="shared" si="11"/>
        <v>-2218.0286815997388</v>
      </c>
      <c r="AC22" s="117">
        <f t="shared" si="12"/>
        <v>-8904.4420140200964</v>
      </c>
      <c r="AD22" s="117">
        <f t="shared" si="13"/>
        <v>2081.097300197056</v>
      </c>
      <c r="AE22" s="117">
        <f t="shared" si="14"/>
        <v>-3883.443407439685</v>
      </c>
      <c r="AF22" s="117">
        <f t="shared" si="15"/>
        <v>-2921.9484400072251</v>
      </c>
    </row>
    <row r="23" spans="1:32" s="107" customFormat="1">
      <c r="A23" s="107">
        <v>150</v>
      </c>
      <c r="B23" s="160" t="s">
        <v>441</v>
      </c>
      <c r="C23" s="117">
        <f>BS!G21</f>
        <v>125679</v>
      </c>
      <c r="D23" s="117">
        <f>BS!H21</f>
        <v>109981</v>
      </c>
      <c r="E23" s="117">
        <f>BS!I21</f>
        <v>305623</v>
      </c>
      <c r="F23" s="117">
        <f>BS!J21</f>
        <v>878849</v>
      </c>
      <c r="G23" s="117">
        <f>BS!K21</f>
        <v>140066</v>
      </c>
      <c r="H23" s="117">
        <f>BS!L21</f>
        <v>99203</v>
      </c>
      <c r="I23" s="117">
        <f>BS!M21</f>
        <v>119745</v>
      </c>
      <c r="J23" s="117">
        <f>BS!N21</f>
        <v>202146</v>
      </c>
      <c r="K23" s="117">
        <f>BS!O21</f>
        <v>143382</v>
      </c>
      <c r="L23" s="117">
        <f>BS!P21</f>
        <v>288077</v>
      </c>
      <c r="M23" s="117">
        <f>BS!Q21</f>
        <v>225539</v>
      </c>
      <c r="N23" s="117">
        <f>BS!R21</f>
        <v>225976</v>
      </c>
      <c r="O23" s="120">
        <f>BS!S21</f>
        <v>208433</v>
      </c>
      <c r="P23" s="117">
        <f t="shared" ref="P23:U23" si="17">SUM(P24:P28)</f>
        <v>203009.21834043265</v>
      </c>
      <c r="Q23" s="117">
        <f t="shared" si="17"/>
        <v>209203.64554081328</v>
      </c>
      <c r="R23" s="117">
        <f t="shared" si="17"/>
        <v>223235.91467280054</v>
      </c>
      <c r="S23" s="117">
        <f t="shared" si="17"/>
        <v>225332.74814534697</v>
      </c>
      <c r="T23" s="117">
        <f t="shared" si="17"/>
        <v>235102.57687114738</v>
      </c>
      <c r="U23" s="117">
        <f t="shared" si="17"/>
        <v>241614.34176787653</v>
      </c>
      <c r="V23" s="158" t="s">
        <v>421</v>
      </c>
      <c r="X23" s="161" t="s">
        <v>421</v>
      </c>
      <c r="Y23" s="157">
        <f t="shared" si="6"/>
        <v>437</v>
      </c>
      <c r="Z23" s="157">
        <f t="shared" si="9"/>
        <v>-17543</v>
      </c>
      <c r="AA23" s="157">
        <f t="shared" si="10"/>
        <v>-5423.7816595673503</v>
      </c>
      <c r="AB23" s="157">
        <f t="shared" si="11"/>
        <v>6194.4272003806254</v>
      </c>
      <c r="AC23" s="157">
        <f t="shared" si="12"/>
        <v>14032.269131987268</v>
      </c>
      <c r="AD23" s="157">
        <f t="shared" si="13"/>
        <v>2096.8334725464229</v>
      </c>
      <c r="AE23" s="157">
        <f t="shared" si="14"/>
        <v>9769.8287258004129</v>
      </c>
      <c r="AF23" s="157">
        <f t="shared" si="15"/>
        <v>6511.7648967291461</v>
      </c>
    </row>
    <row r="24" spans="1:32">
      <c r="A24">
        <v>151</v>
      </c>
      <c r="B24" s="163" t="s">
        <v>442</v>
      </c>
      <c r="C24" s="117">
        <f>BS!G22</f>
        <v>26156</v>
      </c>
      <c r="D24" s="117">
        <f>BS!H22</f>
        <v>31533</v>
      </c>
      <c r="E24" s="117">
        <f>BS!I22</f>
        <v>128076</v>
      </c>
      <c r="F24" s="117">
        <f>BS!J22</f>
        <v>67695</v>
      </c>
      <c r="G24" s="117">
        <f>BS!K22</f>
        <v>24913</v>
      </c>
      <c r="H24" s="117">
        <f>BS!L22</f>
        <v>86457</v>
      </c>
      <c r="I24" s="117">
        <f>BS!M22</f>
        <v>97130</v>
      </c>
      <c r="J24" s="117">
        <f>BS!N22</f>
        <v>143822</v>
      </c>
      <c r="K24" s="117">
        <f>BS!O22</f>
        <v>88942</v>
      </c>
      <c r="L24" s="117">
        <f>BS!P22</f>
        <v>181977</v>
      </c>
      <c r="M24" s="117">
        <f>BS!Q22</f>
        <v>172232</v>
      </c>
      <c r="N24" s="117">
        <f>BS!R22</f>
        <v>145660</v>
      </c>
      <c r="O24" s="120">
        <f>BS!S22</f>
        <v>139821</v>
      </c>
      <c r="P24" s="165">
        <f>WC!O20</f>
        <v>140696.45062870756</v>
      </c>
      <c r="Q24" s="165">
        <f>WC!P20</f>
        <v>140163.33422946473</v>
      </c>
      <c r="R24" s="165">
        <f>WC!Q20</f>
        <v>151303.7184707752</v>
      </c>
      <c r="S24" s="165">
        <f>WC!R20</f>
        <v>153278.96940573922</v>
      </c>
      <c r="T24" s="165">
        <f>WC!S20</f>
        <v>158933.38910121459</v>
      </c>
      <c r="U24" s="165">
        <f>WC!T20</f>
        <v>163815.80835101212</v>
      </c>
      <c r="V24" s="164"/>
      <c r="X24" s="2">
        <v>12</v>
      </c>
      <c r="Y24" s="117">
        <f t="shared" si="6"/>
        <v>-26572</v>
      </c>
      <c r="Z24" s="117">
        <f t="shared" si="9"/>
        <v>-5839</v>
      </c>
      <c r="AA24" s="117">
        <f t="shared" si="10"/>
        <v>875.45062870756374</v>
      </c>
      <c r="AB24" s="117">
        <f t="shared" si="11"/>
        <v>-533.11639924283372</v>
      </c>
      <c r="AC24" s="117">
        <f t="shared" si="12"/>
        <v>11140.384241310472</v>
      </c>
      <c r="AD24" s="117">
        <f t="shared" si="13"/>
        <v>1975.2509349640168</v>
      </c>
      <c r="AE24" s="117">
        <f t="shared" si="14"/>
        <v>5654.4196954753716</v>
      </c>
      <c r="AF24" s="117">
        <f t="shared" si="15"/>
        <v>4882.4192497975309</v>
      </c>
    </row>
    <row r="25" spans="1:32">
      <c r="A25">
        <v>152</v>
      </c>
      <c r="B25" s="163" t="s">
        <v>443</v>
      </c>
      <c r="C25" s="117">
        <f>BS!G23</f>
        <v>64106</v>
      </c>
      <c r="D25" s="117">
        <f>BS!H23</f>
        <v>32289</v>
      </c>
      <c r="E25" s="117">
        <f>BS!I23</f>
        <v>70980</v>
      </c>
      <c r="F25" s="117">
        <f>BS!J23</f>
        <v>133497</v>
      </c>
      <c r="G25" s="117">
        <f>BS!K23</f>
        <v>112192</v>
      </c>
      <c r="H25" s="117">
        <f>BS!L23</f>
        <v>7565</v>
      </c>
      <c r="I25" s="117">
        <f>BS!M23</f>
        <v>18204</v>
      </c>
      <c r="J25" s="117">
        <f>BS!N23</f>
        <v>22192</v>
      </c>
      <c r="K25" s="117">
        <f>BS!O23</f>
        <v>25340</v>
      </c>
      <c r="L25" s="117">
        <f>BS!P23</f>
        <v>83098</v>
      </c>
      <c r="M25" s="117">
        <f>BS!Q23</f>
        <v>39069</v>
      </c>
      <c r="N25" s="117">
        <f>BS!R23</f>
        <v>72112</v>
      </c>
      <c r="O25" s="120">
        <f>BS!S23</f>
        <v>58809</v>
      </c>
      <c r="P25" s="165">
        <f>WC!O21</f>
        <v>52376.790759789954</v>
      </c>
      <c r="Q25" s="165">
        <f>WC!P21</f>
        <v>59770.973404696138</v>
      </c>
      <c r="R25" s="165">
        <f>WC!Q21</f>
        <v>61492.928274483173</v>
      </c>
      <c r="S25" s="165">
        <f>WC!R21</f>
        <v>61537.84635650432</v>
      </c>
      <c r="T25" s="165">
        <f>WC!S21</f>
        <v>65373.227281349638</v>
      </c>
      <c r="U25" s="165">
        <f>WC!T21</f>
        <v>66575.143569582142</v>
      </c>
      <c r="V25" s="164"/>
      <c r="X25" s="2">
        <v>9</v>
      </c>
      <c r="Y25" s="117">
        <f t="shared" si="6"/>
        <v>33043</v>
      </c>
      <c r="Z25" s="117">
        <f t="shared" si="9"/>
        <v>-13303</v>
      </c>
      <c r="AA25" s="117">
        <f t="shared" si="10"/>
        <v>-6432.2092402100461</v>
      </c>
      <c r="AB25" s="117">
        <f t="shared" si="11"/>
        <v>7394.1826449061846</v>
      </c>
      <c r="AC25" s="117">
        <f t="shared" si="12"/>
        <v>1721.9548697870341</v>
      </c>
      <c r="AD25" s="117">
        <f t="shared" si="13"/>
        <v>44.918082021147711</v>
      </c>
      <c r="AE25" s="117">
        <f t="shared" si="14"/>
        <v>3835.3809248453181</v>
      </c>
      <c r="AF25" s="117">
        <f t="shared" si="15"/>
        <v>1201.9162882325036</v>
      </c>
    </row>
    <row r="26" spans="1:32">
      <c r="A26">
        <v>153</v>
      </c>
      <c r="B26" s="163" t="s">
        <v>444</v>
      </c>
      <c r="C26" s="117">
        <f>BS!G24</f>
        <v>9186</v>
      </c>
      <c r="D26" s="117">
        <f>BS!H24</f>
        <v>11025</v>
      </c>
      <c r="E26" s="117">
        <f>BS!I24</f>
        <v>106510</v>
      </c>
      <c r="F26" s="117">
        <f>BS!J24</f>
        <v>677657</v>
      </c>
      <c r="G26" s="117">
        <f>BS!K24</f>
        <v>2961</v>
      </c>
      <c r="H26" s="117">
        <f>BS!L24</f>
        <v>5182</v>
      </c>
      <c r="I26" s="117">
        <f>BS!M24</f>
        <v>4411</v>
      </c>
      <c r="J26" s="117">
        <f>BS!N24</f>
        <v>36132</v>
      </c>
      <c r="K26" s="117">
        <f>BS!O24</f>
        <v>29100</v>
      </c>
      <c r="L26" s="117">
        <f>BS!P24</f>
        <v>23002</v>
      </c>
      <c r="M26" s="117">
        <f>BS!Q24</f>
        <v>14238</v>
      </c>
      <c r="N26" s="117">
        <f>BS!R24</f>
        <v>8203</v>
      </c>
      <c r="O26" s="120">
        <f>BS!S24</f>
        <v>9803</v>
      </c>
      <c r="P26" s="165">
        <f>WC!O22</f>
        <v>9935.9769519351157</v>
      </c>
      <c r="Q26" s="165">
        <f>WC!P22</f>
        <v>9269.3379066524303</v>
      </c>
      <c r="R26" s="165">
        <f>WC!Q22</f>
        <v>10439.267927542183</v>
      </c>
      <c r="S26" s="165">
        <f>WC!R22</f>
        <v>10515.932383103445</v>
      </c>
      <c r="T26" s="165">
        <f>WC!S22</f>
        <v>10795.960488583123</v>
      </c>
      <c r="U26" s="165">
        <f>WC!T22</f>
        <v>11223.389847282255</v>
      </c>
      <c r="V26" s="164"/>
      <c r="X26" s="2">
        <v>9</v>
      </c>
      <c r="Y26" s="117">
        <f t="shared" si="6"/>
        <v>-6035</v>
      </c>
      <c r="Z26" s="117">
        <f t="shared" si="9"/>
        <v>1600</v>
      </c>
      <c r="AA26" s="117">
        <f t="shared" si="10"/>
        <v>132.97695193511572</v>
      </c>
      <c r="AB26" s="117">
        <f t="shared" si="11"/>
        <v>-666.6390452826854</v>
      </c>
      <c r="AC26" s="117">
        <f t="shared" si="12"/>
        <v>1169.930020889753</v>
      </c>
      <c r="AD26" s="117">
        <f t="shared" si="13"/>
        <v>76.664455561262002</v>
      </c>
      <c r="AE26" s="117">
        <f t="shared" si="14"/>
        <v>280.02810547967783</v>
      </c>
      <c r="AF26" s="117">
        <f t="shared" si="15"/>
        <v>427.42935869913163</v>
      </c>
    </row>
    <row r="27" spans="1:32">
      <c r="A27">
        <v>154</v>
      </c>
      <c r="B27" s="163" t="s">
        <v>445</v>
      </c>
      <c r="C27" s="117">
        <f>BS!G25</f>
        <v>0</v>
      </c>
      <c r="D27" s="117">
        <f>BS!H25</f>
        <v>0</v>
      </c>
      <c r="E27" s="117">
        <f>BS!I25</f>
        <v>0</v>
      </c>
      <c r="F27" s="117">
        <f>BS!J25</f>
        <v>0</v>
      </c>
      <c r="G27" s="117">
        <f>BS!K25</f>
        <v>0</v>
      </c>
      <c r="H27" s="117">
        <f>BS!L25</f>
        <v>0</v>
      </c>
      <c r="I27" s="117">
        <f>BS!M25</f>
        <v>0</v>
      </c>
      <c r="J27" s="117">
        <f>BS!N25</f>
        <v>0</v>
      </c>
      <c r="K27" s="117">
        <f>BS!O25</f>
        <v>0</v>
      </c>
      <c r="L27" s="117">
        <f>BS!P25</f>
        <v>0</v>
      </c>
      <c r="M27" s="117">
        <f>BS!Q25</f>
        <v>0</v>
      </c>
      <c r="N27" s="117">
        <f>BS!R25</f>
        <v>0</v>
      </c>
      <c r="O27" s="120">
        <f>BS!S25</f>
        <v>0</v>
      </c>
      <c r="P27" s="165">
        <f>WC!O23</f>
        <v>0</v>
      </c>
      <c r="Q27" s="165">
        <f>WC!P23</f>
        <v>0</v>
      </c>
      <c r="R27" s="165">
        <f>WC!Q23</f>
        <v>0</v>
      </c>
      <c r="S27" s="165">
        <f>WC!R23</f>
        <v>0</v>
      </c>
      <c r="T27" s="165">
        <f>WC!S23</f>
        <v>0</v>
      </c>
      <c r="U27" s="165">
        <f>WC!T23</f>
        <v>0</v>
      </c>
      <c r="V27" s="164"/>
      <c r="X27" s="2">
        <v>0</v>
      </c>
      <c r="Y27" s="117">
        <f t="shared" si="6"/>
        <v>0</v>
      </c>
      <c r="Z27" s="117">
        <f t="shared" si="9"/>
        <v>0</v>
      </c>
      <c r="AA27" s="117">
        <f t="shared" si="10"/>
        <v>0</v>
      </c>
      <c r="AB27" s="117">
        <f t="shared" si="11"/>
        <v>0</v>
      </c>
      <c r="AC27" s="117">
        <f t="shared" si="12"/>
        <v>0</v>
      </c>
      <c r="AD27" s="117">
        <f t="shared" si="13"/>
        <v>0</v>
      </c>
      <c r="AE27" s="117">
        <f t="shared" si="14"/>
        <v>0</v>
      </c>
      <c r="AF27" s="117">
        <f t="shared" si="15"/>
        <v>0</v>
      </c>
    </row>
    <row r="28" spans="1:32">
      <c r="A28">
        <v>158</v>
      </c>
      <c r="B28" s="163" t="s">
        <v>446</v>
      </c>
      <c r="C28" s="117">
        <f>BS!G26</f>
        <v>26231</v>
      </c>
      <c r="D28" s="117">
        <f>BS!H26</f>
        <v>35134</v>
      </c>
      <c r="E28" s="117">
        <f>BS!I26</f>
        <v>57</v>
      </c>
      <c r="F28" s="117">
        <f>BS!J26</f>
        <v>0</v>
      </c>
      <c r="G28" s="117">
        <f>BS!K26</f>
        <v>0</v>
      </c>
      <c r="H28" s="117">
        <f>BS!L26</f>
        <v>0</v>
      </c>
      <c r="I28" s="117">
        <f>BS!M26</f>
        <v>0</v>
      </c>
      <c r="J28" s="117">
        <f>BS!N26</f>
        <v>0</v>
      </c>
      <c r="K28" s="117">
        <f>BS!O26</f>
        <v>0</v>
      </c>
      <c r="L28" s="117">
        <f>BS!P26</f>
        <v>0</v>
      </c>
      <c r="M28" s="117">
        <f>BS!Q26</f>
        <v>0</v>
      </c>
      <c r="N28" s="117">
        <f>BS!R26</f>
        <v>0</v>
      </c>
      <c r="O28" s="120">
        <f>BS!S26</f>
        <v>0</v>
      </c>
      <c r="P28" s="165">
        <f>WC!O24</f>
        <v>0</v>
      </c>
      <c r="Q28" s="165">
        <f>WC!P24</f>
        <v>0</v>
      </c>
      <c r="R28" s="165">
        <f>WC!Q24</f>
        <v>0</v>
      </c>
      <c r="S28" s="165">
        <f>WC!R24</f>
        <v>0</v>
      </c>
      <c r="T28" s="165">
        <f>WC!S24</f>
        <v>0</v>
      </c>
      <c r="U28" s="165">
        <f>WC!T24</f>
        <v>0</v>
      </c>
      <c r="V28" s="164"/>
      <c r="X28" s="2">
        <v>12</v>
      </c>
      <c r="Y28" s="117">
        <f t="shared" si="6"/>
        <v>0</v>
      </c>
      <c r="Z28" s="117">
        <f t="shared" si="9"/>
        <v>0</v>
      </c>
      <c r="AA28" s="117">
        <f t="shared" si="10"/>
        <v>0</v>
      </c>
      <c r="AB28" s="117">
        <f t="shared" si="11"/>
        <v>0</v>
      </c>
      <c r="AC28" s="117">
        <f t="shared" si="12"/>
        <v>0</v>
      </c>
      <c r="AD28" s="117">
        <f t="shared" si="13"/>
        <v>0</v>
      </c>
      <c r="AE28" s="117">
        <f t="shared" si="14"/>
        <v>0</v>
      </c>
      <c r="AF28" s="117">
        <f t="shared" si="15"/>
        <v>0</v>
      </c>
    </row>
    <row r="29" spans="1:32" s="107" customFormat="1">
      <c r="A29" s="107">
        <v>200</v>
      </c>
      <c r="B29" s="156" t="s">
        <v>447</v>
      </c>
      <c r="C29" s="157">
        <f>BS!G27</f>
        <v>10333058</v>
      </c>
      <c r="D29" s="157">
        <f>BS!H27</f>
        <v>11126890</v>
      </c>
      <c r="E29" s="157">
        <f>BS!I27</f>
        <v>9377631</v>
      </c>
      <c r="F29" s="157">
        <f>BS!J27</f>
        <v>8478519</v>
      </c>
      <c r="G29" s="157">
        <f>BS!K27</f>
        <v>8327362</v>
      </c>
      <c r="H29" s="157">
        <f>BS!L27</f>
        <v>7676575</v>
      </c>
      <c r="I29" s="157">
        <f>BS!M27</f>
        <v>7797874</v>
      </c>
      <c r="J29" s="157">
        <f>BS!N27</f>
        <v>7861591</v>
      </c>
      <c r="K29" s="157">
        <f>BS!O27</f>
        <v>7609991</v>
      </c>
      <c r="L29" s="157">
        <f>BS!P27</f>
        <v>7604851</v>
      </c>
      <c r="M29" s="157">
        <f>BS!Q27</f>
        <v>7503219</v>
      </c>
      <c r="N29" s="157">
        <f>BS!R27</f>
        <v>8372674</v>
      </c>
      <c r="O29" s="183">
        <f>BS!S27</f>
        <v>10456376</v>
      </c>
      <c r="P29" s="157">
        <f t="shared" ref="P29:U29" si="18">SUM(P30,P38,P49,P52,P55,P61,P62)</f>
        <v>9606126.3193252515</v>
      </c>
      <c r="Q29" s="157">
        <f t="shared" si="18"/>
        <v>8806631.4958058745</v>
      </c>
      <c r="R29" s="157">
        <f t="shared" si="18"/>
        <v>8079045.8009531023</v>
      </c>
      <c r="S29" s="157">
        <f t="shared" si="18"/>
        <v>7323568.2447970081</v>
      </c>
      <c r="T29" s="157">
        <f t="shared" si="18"/>
        <v>6760023.3832955956</v>
      </c>
      <c r="U29" s="157">
        <f t="shared" si="18"/>
        <v>6722987.0603444232</v>
      </c>
      <c r="V29" s="158"/>
      <c r="X29" s="161" t="s">
        <v>421</v>
      </c>
      <c r="Y29" s="157">
        <f t="shared" si="6"/>
        <v>869455</v>
      </c>
      <c r="Z29" s="157">
        <f t="shared" si="9"/>
        <v>2083702</v>
      </c>
      <c r="AA29" s="157">
        <f t="shared" si="10"/>
        <v>-850249.6806747485</v>
      </c>
      <c r="AB29" s="157">
        <f t="shared" si="11"/>
        <v>-799494.82351937704</v>
      </c>
      <c r="AC29" s="157">
        <f t="shared" si="12"/>
        <v>-727585.69485277217</v>
      </c>
      <c r="AD29" s="157">
        <f t="shared" si="13"/>
        <v>-755477.55615609419</v>
      </c>
      <c r="AE29" s="157">
        <f t="shared" si="14"/>
        <v>-563544.86150141247</v>
      </c>
      <c r="AF29" s="157">
        <f t="shared" si="15"/>
        <v>-37036.322951172478</v>
      </c>
    </row>
    <row r="30" spans="1:32" s="107" customFormat="1">
      <c r="A30" s="107">
        <v>210</v>
      </c>
      <c r="B30" s="160" t="s">
        <v>448</v>
      </c>
      <c r="C30" s="157">
        <f>BS!G28</f>
        <v>34</v>
      </c>
      <c r="D30" s="157">
        <f>BS!H28</f>
        <v>8000</v>
      </c>
      <c r="E30" s="157">
        <f>BS!I28</f>
        <v>34495</v>
      </c>
      <c r="F30" s="157">
        <f>BS!J28</f>
        <v>38349</v>
      </c>
      <c r="G30" s="157">
        <f>BS!K28</f>
        <v>20094</v>
      </c>
      <c r="H30" s="157">
        <f>BS!L28</f>
        <v>5861</v>
      </c>
      <c r="I30" s="157">
        <f>BS!M28</f>
        <v>9110</v>
      </c>
      <c r="J30" s="157">
        <f>BS!N28</f>
        <v>11958</v>
      </c>
      <c r="K30" s="157">
        <f>BS!O28</f>
        <v>12641</v>
      </c>
      <c r="L30" s="157">
        <f>BS!P28</f>
        <v>37720</v>
      </c>
      <c r="M30" s="157">
        <f>BS!Q28</f>
        <v>34702</v>
      </c>
      <c r="N30" s="157">
        <f>BS!R28</f>
        <v>33965</v>
      </c>
      <c r="O30" s="183">
        <f>BS!S28</f>
        <v>34949</v>
      </c>
      <c r="P30" s="117">
        <f>O30</f>
        <v>34949</v>
      </c>
      <c r="Q30" s="117">
        <f t="shared" ref="Q30:U37" si="19">P30</f>
        <v>34949</v>
      </c>
      <c r="R30" s="117">
        <f t="shared" si="19"/>
        <v>34949</v>
      </c>
      <c r="S30" s="117">
        <f t="shared" si="19"/>
        <v>34949</v>
      </c>
      <c r="T30" s="117">
        <f t="shared" si="19"/>
        <v>34949</v>
      </c>
      <c r="U30" s="117">
        <f t="shared" si="19"/>
        <v>34949</v>
      </c>
      <c r="V30" s="158" t="s">
        <v>421</v>
      </c>
      <c r="X30" s="161" t="s">
        <v>421</v>
      </c>
      <c r="Y30" s="157">
        <f t="shared" si="6"/>
        <v>-737</v>
      </c>
      <c r="Z30" s="157">
        <f t="shared" si="9"/>
        <v>984</v>
      </c>
      <c r="AA30" s="157">
        <f t="shared" si="10"/>
        <v>0</v>
      </c>
      <c r="AB30" s="157">
        <f t="shared" si="11"/>
        <v>0</v>
      </c>
      <c r="AC30" s="157">
        <f t="shared" si="12"/>
        <v>0</v>
      </c>
      <c r="AD30" s="157">
        <f t="shared" si="13"/>
        <v>0</v>
      </c>
      <c r="AE30" s="157">
        <f t="shared" si="14"/>
        <v>0</v>
      </c>
      <c r="AF30" s="157">
        <f t="shared" si="15"/>
        <v>0</v>
      </c>
    </row>
    <row r="31" spans="1:32">
      <c r="A31">
        <v>211</v>
      </c>
      <c r="B31" s="163" t="s">
        <v>449</v>
      </c>
      <c r="C31" s="176">
        <f>BS!G29</f>
        <v>0</v>
      </c>
      <c r="D31" s="176">
        <f>BS!H29</f>
        <v>0</v>
      </c>
      <c r="E31" s="176">
        <f>BS!I29</f>
        <v>0</v>
      </c>
      <c r="F31" s="176">
        <f>BS!J29</f>
        <v>5317</v>
      </c>
      <c r="G31" s="176">
        <f>BS!K29</f>
        <v>4761</v>
      </c>
      <c r="H31" s="176">
        <f>BS!L29</f>
        <v>6078</v>
      </c>
      <c r="I31" s="176">
        <f>BS!M29</f>
        <v>6005</v>
      </c>
      <c r="J31" s="176">
        <f>BS!N29</f>
        <v>5988</v>
      </c>
      <c r="K31" s="176">
        <f>BS!O29</f>
        <v>5973</v>
      </c>
      <c r="L31" s="176">
        <f>BS!P29</f>
        <v>5949</v>
      </c>
      <c r="M31" s="176">
        <f>BS!Q29</f>
        <v>5949</v>
      </c>
      <c r="N31" s="176">
        <f>BS!R29</f>
        <v>5949</v>
      </c>
      <c r="O31" s="184">
        <f>BS!S29</f>
        <v>5949</v>
      </c>
      <c r="P31" s="117">
        <f>O31</f>
        <v>5949</v>
      </c>
      <c r="Q31" s="117">
        <f t="shared" si="19"/>
        <v>5949</v>
      </c>
      <c r="R31" s="117">
        <f t="shared" si="19"/>
        <v>5949</v>
      </c>
      <c r="S31" s="117">
        <f t="shared" si="19"/>
        <v>5949</v>
      </c>
      <c r="T31" s="117">
        <f t="shared" si="19"/>
        <v>5949</v>
      </c>
      <c r="U31" s="117">
        <f t="shared" si="19"/>
        <v>5949</v>
      </c>
      <c r="V31" s="164"/>
      <c r="X31" s="2">
        <v>9</v>
      </c>
      <c r="Y31" s="117">
        <f t="shared" si="6"/>
        <v>0</v>
      </c>
      <c r="Z31" s="117">
        <f t="shared" si="9"/>
        <v>0</v>
      </c>
      <c r="AA31" s="117">
        <f t="shared" si="10"/>
        <v>0</v>
      </c>
      <c r="AB31" s="117">
        <f t="shared" si="11"/>
        <v>0</v>
      </c>
      <c r="AC31" s="117">
        <f t="shared" si="12"/>
        <v>0</v>
      </c>
      <c r="AD31" s="117">
        <f t="shared" si="13"/>
        <v>0</v>
      </c>
      <c r="AE31" s="117">
        <f t="shared" si="14"/>
        <v>0</v>
      </c>
      <c r="AF31" s="117">
        <f t="shared" si="15"/>
        <v>0</v>
      </c>
    </row>
    <row r="32" spans="1:32">
      <c r="A32">
        <v>212</v>
      </c>
      <c r="B32" s="163" t="s">
        <v>450</v>
      </c>
      <c r="C32" s="176">
        <f>BS!G30</f>
        <v>0</v>
      </c>
      <c r="D32" s="176">
        <f>BS!H30</f>
        <v>0</v>
      </c>
      <c r="E32" s="176">
        <f>BS!I30</f>
        <v>0</v>
      </c>
      <c r="F32" s="176">
        <f>BS!J30</f>
        <v>0</v>
      </c>
      <c r="G32" s="176">
        <f>BS!K30</f>
        <v>0</v>
      </c>
      <c r="H32" s="176">
        <f>BS!L30</f>
        <v>0</v>
      </c>
      <c r="I32" s="176">
        <f>BS!M30</f>
        <v>0</v>
      </c>
      <c r="J32" s="176">
        <f>BS!N30</f>
        <v>0</v>
      </c>
      <c r="K32" s="176">
        <f>BS!O30</f>
        <v>0</v>
      </c>
      <c r="L32" s="176">
        <f>BS!P30</f>
        <v>0</v>
      </c>
      <c r="M32" s="176">
        <f>BS!Q30</f>
        <v>0</v>
      </c>
      <c r="N32" s="176">
        <f>BS!R30</f>
        <v>0</v>
      </c>
      <c r="O32" s="184">
        <f>BS!S30</f>
        <v>0</v>
      </c>
      <c r="P32" s="117">
        <f t="shared" ref="P32:P37" si="20">O32</f>
        <v>0</v>
      </c>
      <c r="Q32" s="117">
        <f t="shared" si="19"/>
        <v>0</v>
      </c>
      <c r="R32" s="117">
        <f t="shared" si="19"/>
        <v>0</v>
      </c>
      <c r="S32" s="117">
        <f t="shared" si="19"/>
        <v>0</v>
      </c>
      <c r="T32" s="117">
        <f t="shared" si="19"/>
        <v>0</v>
      </c>
      <c r="U32" s="117">
        <f t="shared" si="19"/>
        <v>0</v>
      </c>
      <c r="V32" s="164"/>
      <c r="X32" s="2">
        <v>9</v>
      </c>
      <c r="Y32" s="117">
        <f t="shared" si="6"/>
        <v>0</v>
      </c>
      <c r="Z32" s="117">
        <f t="shared" si="9"/>
        <v>0</v>
      </c>
      <c r="AA32" s="117">
        <f t="shared" si="10"/>
        <v>0</v>
      </c>
      <c r="AB32" s="117">
        <f t="shared" si="11"/>
        <v>0</v>
      </c>
      <c r="AC32" s="117">
        <f t="shared" si="12"/>
        <v>0</v>
      </c>
      <c r="AD32" s="117">
        <f t="shared" si="13"/>
        <v>0</v>
      </c>
      <c r="AE32" s="117">
        <f t="shared" si="14"/>
        <v>0</v>
      </c>
      <c r="AF32" s="117">
        <f t="shared" si="15"/>
        <v>0</v>
      </c>
    </row>
    <row r="33" spans="1:33">
      <c r="A33">
        <v>213</v>
      </c>
      <c r="B33" s="163" t="s">
        <v>451</v>
      </c>
      <c r="C33" s="176">
        <v>0</v>
      </c>
      <c r="D33" s="176">
        <v>0</v>
      </c>
      <c r="E33" s="176">
        <v>0</v>
      </c>
      <c r="F33" s="176">
        <v>0</v>
      </c>
      <c r="G33" s="176">
        <v>0</v>
      </c>
      <c r="H33" s="176">
        <v>0</v>
      </c>
      <c r="I33" s="176">
        <v>0</v>
      </c>
      <c r="J33" s="176">
        <v>0</v>
      </c>
      <c r="K33" s="176">
        <v>0</v>
      </c>
      <c r="L33" s="176">
        <v>0</v>
      </c>
      <c r="M33" s="176">
        <v>0</v>
      </c>
      <c r="N33" s="176">
        <v>0</v>
      </c>
      <c r="O33" s="184">
        <v>0</v>
      </c>
      <c r="P33" s="117">
        <f t="shared" si="20"/>
        <v>0</v>
      </c>
      <c r="Q33" s="117">
        <f t="shared" si="19"/>
        <v>0</v>
      </c>
      <c r="R33" s="117">
        <f t="shared" si="19"/>
        <v>0</v>
      </c>
      <c r="S33" s="117">
        <f t="shared" si="19"/>
        <v>0</v>
      </c>
      <c r="T33" s="117">
        <f t="shared" si="19"/>
        <v>0</v>
      </c>
      <c r="U33" s="117">
        <f t="shared" si="19"/>
        <v>0</v>
      </c>
      <c r="V33" s="164"/>
      <c r="X33" s="2">
        <v>9</v>
      </c>
      <c r="Y33" s="117">
        <f t="shared" si="6"/>
        <v>0</v>
      </c>
      <c r="Z33" s="117">
        <f t="shared" si="9"/>
        <v>0</v>
      </c>
      <c r="AA33" s="117">
        <f t="shared" si="10"/>
        <v>0</v>
      </c>
      <c r="AB33" s="117">
        <f t="shared" si="11"/>
        <v>0</v>
      </c>
      <c r="AC33" s="117">
        <f t="shared" si="12"/>
        <v>0</v>
      </c>
      <c r="AD33" s="117">
        <f t="shared" si="13"/>
        <v>0</v>
      </c>
      <c r="AE33" s="117">
        <f t="shared" si="14"/>
        <v>0</v>
      </c>
      <c r="AF33" s="117">
        <f t="shared" si="15"/>
        <v>0</v>
      </c>
    </row>
    <row r="34" spans="1:33">
      <c r="A34">
        <v>214</v>
      </c>
      <c r="B34" s="163" t="s">
        <v>452</v>
      </c>
      <c r="C34" s="176">
        <f>BS!G31</f>
        <v>0</v>
      </c>
      <c r="D34" s="176">
        <f>BS!H31</f>
        <v>0</v>
      </c>
      <c r="E34" s="176">
        <f>BS!I31</f>
        <v>0</v>
      </c>
      <c r="F34" s="176">
        <f>BS!J31</f>
        <v>0</v>
      </c>
      <c r="G34" s="176">
        <f>BS!K31</f>
        <v>0</v>
      </c>
      <c r="H34" s="176">
        <f>BS!L31</f>
        <v>0</v>
      </c>
      <c r="I34" s="176">
        <f>BS!M31</f>
        <v>0</v>
      </c>
      <c r="J34" s="176">
        <f>BS!N31</f>
        <v>0</v>
      </c>
      <c r="K34" s="176">
        <f>BS!O31</f>
        <v>0</v>
      </c>
      <c r="L34" s="176">
        <f>BS!P31</f>
        <v>0</v>
      </c>
      <c r="M34" s="176">
        <f>BS!Q31</f>
        <v>0</v>
      </c>
      <c r="N34" s="176">
        <f>BS!R31</f>
        <v>0</v>
      </c>
      <c r="O34" s="184">
        <f>BS!S31</f>
        <v>0</v>
      </c>
      <c r="P34" s="117">
        <f t="shared" si="20"/>
        <v>0</v>
      </c>
      <c r="Q34" s="117">
        <f t="shared" si="19"/>
        <v>0</v>
      </c>
      <c r="R34" s="117">
        <f t="shared" si="19"/>
        <v>0</v>
      </c>
      <c r="S34" s="117">
        <f t="shared" si="19"/>
        <v>0</v>
      </c>
      <c r="T34" s="117">
        <f t="shared" si="19"/>
        <v>0</v>
      </c>
      <c r="U34" s="117">
        <f t="shared" si="19"/>
        <v>0</v>
      </c>
      <c r="V34" s="164"/>
      <c r="X34" s="2">
        <v>9</v>
      </c>
      <c r="Y34" s="117">
        <f t="shared" si="6"/>
        <v>0</v>
      </c>
      <c r="Z34" s="117">
        <f t="shared" si="9"/>
        <v>0</v>
      </c>
      <c r="AA34" s="117">
        <f t="shared" si="10"/>
        <v>0</v>
      </c>
      <c r="AB34" s="117">
        <f t="shared" si="11"/>
        <v>0</v>
      </c>
      <c r="AC34" s="117">
        <f t="shared" si="12"/>
        <v>0</v>
      </c>
      <c r="AD34" s="117">
        <f t="shared" si="13"/>
        <v>0</v>
      </c>
      <c r="AE34" s="117">
        <f t="shared" si="14"/>
        <v>0</v>
      </c>
      <c r="AF34" s="117">
        <f t="shared" si="15"/>
        <v>0</v>
      </c>
    </row>
    <row r="35" spans="1:33">
      <c r="A35">
        <v>215</v>
      </c>
      <c r="B35" s="163" t="s">
        <v>453</v>
      </c>
      <c r="C35" s="176">
        <f>BS!G32</f>
        <v>0</v>
      </c>
      <c r="D35" s="176">
        <f>BS!H32</f>
        <v>0</v>
      </c>
      <c r="E35" s="176">
        <f>BS!I32</f>
        <v>4000</v>
      </c>
      <c r="F35" s="176">
        <f>BS!J32</f>
        <v>4000</v>
      </c>
      <c r="G35" s="176">
        <f>BS!K32</f>
        <v>4000</v>
      </c>
      <c r="H35" s="176">
        <f>BS!L32</f>
        <v>4000</v>
      </c>
      <c r="I35" s="176">
        <f>BS!M32</f>
        <v>4000</v>
      </c>
      <c r="J35" s="176">
        <f>BS!N32</f>
        <v>4000</v>
      </c>
      <c r="K35" s="176">
        <f>BS!O32</f>
        <v>4000</v>
      </c>
      <c r="L35" s="176">
        <f>BS!P32</f>
        <v>0</v>
      </c>
      <c r="M35" s="176">
        <f>BS!Q32</f>
        <v>0</v>
      </c>
      <c r="N35" s="176">
        <f>BS!R32</f>
        <v>0</v>
      </c>
      <c r="O35" s="184">
        <f>BS!S32</f>
        <v>0</v>
      </c>
      <c r="P35" s="117">
        <f t="shared" si="20"/>
        <v>0</v>
      </c>
      <c r="Q35" s="117">
        <f t="shared" si="19"/>
        <v>0</v>
      </c>
      <c r="R35" s="117">
        <f t="shared" si="19"/>
        <v>0</v>
      </c>
      <c r="S35" s="117">
        <f t="shared" si="19"/>
        <v>0</v>
      </c>
      <c r="T35" s="117">
        <f t="shared" si="19"/>
        <v>0</v>
      </c>
      <c r="U35" s="117">
        <f t="shared" si="19"/>
        <v>0</v>
      </c>
      <c r="V35" s="164"/>
      <c r="X35" s="2">
        <v>9</v>
      </c>
      <c r="Y35" s="117">
        <f t="shared" si="6"/>
        <v>0</v>
      </c>
      <c r="Z35" s="117">
        <f t="shared" si="9"/>
        <v>0</v>
      </c>
      <c r="AA35" s="117">
        <f t="shared" si="10"/>
        <v>0</v>
      </c>
      <c r="AB35" s="117">
        <f t="shared" si="11"/>
        <v>0</v>
      </c>
      <c r="AC35" s="117">
        <f t="shared" si="12"/>
        <v>0</v>
      </c>
      <c r="AD35" s="117">
        <f t="shared" si="13"/>
        <v>0</v>
      </c>
      <c r="AE35" s="117">
        <f t="shared" si="14"/>
        <v>0</v>
      </c>
      <c r="AF35" s="117">
        <f t="shared" si="15"/>
        <v>0</v>
      </c>
    </row>
    <row r="36" spans="1:33">
      <c r="A36">
        <v>216</v>
      </c>
      <c r="B36" s="163" t="s">
        <v>454</v>
      </c>
      <c r="C36" s="176">
        <f>BS!G33</f>
        <v>34</v>
      </c>
      <c r="D36" s="176">
        <f>BS!H33</f>
        <v>8000</v>
      </c>
      <c r="E36" s="176">
        <f>BS!I33</f>
        <v>42495</v>
      </c>
      <c r="F36" s="176">
        <f>BS!J33</f>
        <v>46504</v>
      </c>
      <c r="G36" s="176">
        <f>BS!K33</f>
        <v>49119</v>
      </c>
      <c r="H36" s="176">
        <f>BS!L33</f>
        <v>35181</v>
      </c>
      <c r="I36" s="176">
        <f>BS!M33</f>
        <v>38495</v>
      </c>
      <c r="J36" s="176">
        <f>BS!N33</f>
        <v>41278</v>
      </c>
      <c r="K36" s="176">
        <f>BS!O33</f>
        <v>41961</v>
      </c>
      <c r="L36" s="176">
        <f>BS!P33</f>
        <v>46171</v>
      </c>
      <c r="M36" s="176">
        <f>BS!Q33</f>
        <v>35153</v>
      </c>
      <c r="N36" s="176">
        <f>BS!R33</f>
        <v>34416</v>
      </c>
      <c r="O36" s="184">
        <f>BS!S33</f>
        <v>35400</v>
      </c>
      <c r="P36" s="117">
        <f t="shared" si="20"/>
        <v>35400</v>
      </c>
      <c r="Q36" s="117">
        <f t="shared" si="19"/>
        <v>35400</v>
      </c>
      <c r="R36" s="117">
        <f t="shared" si="19"/>
        <v>35400</v>
      </c>
      <c r="S36" s="117">
        <f t="shared" si="19"/>
        <v>35400</v>
      </c>
      <c r="T36" s="117">
        <f t="shared" si="19"/>
        <v>35400</v>
      </c>
      <c r="U36" s="117">
        <f t="shared" si="19"/>
        <v>35400</v>
      </c>
      <c r="V36" s="164"/>
      <c r="X36" s="2">
        <v>9</v>
      </c>
      <c r="Y36" s="117">
        <f t="shared" si="6"/>
        <v>-737</v>
      </c>
      <c r="Z36" s="117">
        <f t="shared" si="9"/>
        <v>984</v>
      </c>
      <c r="AA36" s="117">
        <f t="shared" si="10"/>
        <v>0</v>
      </c>
      <c r="AB36" s="117">
        <f t="shared" si="11"/>
        <v>0</v>
      </c>
      <c r="AC36" s="117">
        <f t="shared" si="12"/>
        <v>0</v>
      </c>
      <c r="AD36" s="117">
        <f t="shared" si="13"/>
        <v>0</v>
      </c>
      <c r="AE36" s="117">
        <f t="shared" si="14"/>
        <v>0</v>
      </c>
      <c r="AF36" s="117">
        <f t="shared" si="15"/>
        <v>0</v>
      </c>
    </row>
    <row r="37" spans="1:33">
      <c r="A37">
        <v>219</v>
      </c>
      <c r="B37" s="163" t="s">
        <v>455</v>
      </c>
      <c r="C37" s="117">
        <f>BS!G34</f>
        <v>0</v>
      </c>
      <c r="D37" s="117">
        <f>BS!H34</f>
        <v>0</v>
      </c>
      <c r="E37" s="117">
        <f>BS!I34</f>
        <v>-12000</v>
      </c>
      <c r="F37" s="117">
        <f>BS!J34</f>
        <v>-17472</v>
      </c>
      <c r="G37" s="117">
        <f>BS!K34</f>
        <v>-37786</v>
      </c>
      <c r="H37" s="117">
        <f>BS!L34</f>
        <v>-39398</v>
      </c>
      <c r="I37" s="117">
        <f>BS!M34</f>
        <v>-39390</v>
      </c>
      <c r="J37" s="117">
        <f>BS!N34</f>
        <v>-39308</v>
      </c>
      <c r="K37" s="117">
        <f>BS!O34</f>
        <v>-39293</v>
      </c>
      <c r="L37" s="117">
        <f>BS!P34</f>
        <v>-14400</v>
      </c>
      <c r="M37" s="117">
        <f>BS!Q34</f>
        <v>-6400</v>
      </c>
      <c r="N37" s="117">
        <f>BS!R34</f>
        <v>-6400</v>
      </c>
      <c r="O37" s="120">
        <f>BS!S34</f>
        <v>-6400</v>
      </c>
      <c r="P37" s="117">
        <f t="shared" si="20"/>
        <v>-6400</v>
      </c>
      <c r="Q37" s="117">
        <f t="shared" si="19"/>
        <v>-6400</v>
      </c>
      <c r="R37" s="117">
        <f t="shared" si="19"/>
        <v>-6400</v>
      </c>
      <c r="S37" s="117">
        <f t="shared" si="19"/>
        <v>-6400</v>
      </c>
      <c r="T37" s="117">
        <f t="shared" si="19"/>
        <v>-6400</v>
      </c>
      <c r="U37" s="117">
        <f t="shared" si="19"/>
        <v>-6400</v>
      </c>
      <c r="V37" s="164"/>
      <c r="X37" s="2">
        <v>3</v>
      </c>
      <c r="Y37" s="117">
        <f t="shared" si="6"/>
        <v>0</v>
      </c>
      <c r="Z37" s="117">
        <f t="shared" si="9"/>
        <v>0</v>
      </c>
      <c r="AA37" s="117">
        <f t="shared" si="10"/>
        <v>0</v>
      </c>
      <c r="AB37" s="117">
        <f t="shared" si="11"/>
        <v>0</v>
      </c>
      <c r="AC37" s="117">
        <f t="shared" si="12"/>
        <v>0</v>
      </c>
      <c r="AD37" s="117">
        <f t="shared" si="13"/>
        <v>0</v>
      </c>
      <c r="AE37" s="117">
        <f t="shared" si="14"/>
        <v>0</v>
      </c>
      <c r="AF37" s="117">
        <f t="shared" si="15"/>
        <v>0</v>
      </c>
    </row>
    <row r="38" spans="1:33" s="107" customFormat="1">
      <c r="A38" s="107">
        <v>220</v>
      </c>
      <c r="B38" s="160" t="s">
        <v>456</v>
      </c>
      <c r="C38" s="117">
        <f>BS!G35</f>
        <v>6099450</v>
      </c>
      <c r="D38" s="117">
        <f>BS!H35</f>
        <v>7033461</v>
      </c>
      <c r="E38" s="117">
        <f>BS!I35</f>
        <v>5854864</v>
      </c>
      <c r="F38" s="117">
        <f>BS!J35</f>
        <v>5462594</v>
      </c>
      <c r="G38" s="117">
        <f>BS!K35</f>
        <v>5008100</v>
      </c>
      <c r="H38" s="117">
        <f>BS!L35</f>
        <v>4567091</v>
      </c>
      <c r="I38" s="117">
        <f>BS!M35</f>
        <v>4685440</v>
      </c>
      <c r="J38" s="117">
        <f>BS!N35</f>
        <v>4874504</v>
      </c>
      <c r="K38" s="117">
        <f>BS!O35</f>
        <v>4401800</v>
      </c>
      <c r="L38" s="117">
        <f>BS!P35</f>
        <v>4454982</v>
      </c>
      <c r="M38" s="117">
        <f>BS!Q35</f>
        <v>3969724</v>
      </c>
      <c r="N38" s="117">
        <f>BS!R35</f>
        <v>3593254</v>
      </c>
      <c r="O38" s="120">
        <f>BS!S35</f>
        <v>5068260</v>
      </c>
      <c r="P38" s="117">
        <f>SUM(P39,P42,P45,P48)</f>
        <v>4374176.1424341733</v>
      </c>
      <c r="Q38" s="117">
        <f t="shared" ref="Q38:U38" si="21">SUM(Q39,Q42,Q45,Q48)</f>
        <v>3531907.7346433415</v>
      </c>
      <c r="R38" s="117">
        <f t="shared" si="21"/>
        <v>2774676.7389884056</v>
      </c>
      <c r="S38" s="117">
        <f t="shared" si="21"/>
        <v>1999346.5365920539</v>
      </c>
      <c r="T38" s="117">
        <f t="shared" si="21"/>
        <v>1409046.2073761562</v>
      </c>
      <c r="U38" s="117">
        <f t="shared" si="21"/>
        <v>1346659.1949632715</v>
      </c>
      <c r="V38" s="158" t="s">
        <v>421</v>
      </c>
      <c r="X38" s="2" t="s">
        <v>421</v>
      </c>
      <c r="Y38" s="157">
        <f t="shared" si="6"/>
        <v>-376470</v>
      </c>
      <c r="Z38" s="157">
        <f t="shared" si="9"/>
        <v>1475006</v>
      </c>
      <c r="AA38" s="157">
        <f t="shared" si="10"/>
        <v>-694083.85756582674</v>
      </c>
      <c r="AB38" s="157">
        <f t="shared" si="11"/>
        <v>-842268.40779083176</v>
      </c>
      <c r="AC38" s="157">
        <f t="shared" si="12"/>
        <v>-757230.99565493595</v>
      </c>
      <c r="AD38" s="157">
        <f t="shared" si="13"/>
        <v>-775330.20239635161</v>
      </c>
      <c r="AE38" s="157">
        <f t="shared" si="14"/>
        <v>-590300.32921589771</v>
      </c>
      <c r="AF38" s="157">
        <f t="shared" si="15"/>
        <v>-62387.012412884738</v>
      </c>
    </row>
    <row r="39" spans="1:33">
      <c r="A39">
        <v>221</v>
      </c>
      <c r="B39" s="163" t="s">
        <v>457</v>
      </c>
      <c r="C39" s="117">
        <f>BS!G36</f>
        <v>4455186</v>
      </c>
      <c r="D39" s="117">
        <f>BS!H36</f>
        <v>4915799</v>
      </c>
      <c r="E39" s="117">
        <f>BS!I36</f>
        <v>4843869</v>
      </c>
      <c r="F39" s="117">
        <f>BS!J36</f>
        <v>4478037</v>
      </c>
      <c r="G39" s="117">
        <f>BS!K36</f>
        <v>4044747</v>
      </c>
      <c r="H39" s="117">
        <f>BS!L36</f>
        <v>3614851</v>
      </c>
      <c r="I39" s="117">
        <f>BS!M36</f>
        <v>3743643</v>
      </c>
      <c r="J39" s="117">
        <f>BS!N36</f>
        <v>3753389</v>
      </c>
      <c r="K39" s="117">
        <f>BS!O36</f>
        <v>3301127</v>
      </c>
      <c r="L39" s="117">
        <f>BS!P36</f>
        <v>3368982</v>
      </c>
      <c r="M39" s="117">
        <f>BS!Q36</f>
        <v>2889609</v>
      </c>
      <c r="N39" s="117">
        <f>BS!R36</f>
        <v>2484110</v>
      </c>
      <c r="O39" s="120">
        <f>BS!S36</f>
        <v>3492859</v>
      </c>
      <c r="P39" s="117">
        <f>SUM(P40:P41)</f>
        <v>2827288.9860037919</v>
      </c>
      <c r="Q39" s="117">
        <f t="shared" ref="Q39:U39" si="22">SUM(Q40:Q41)</f>
        <v>2009923.038003793</v>
      </c>
      <c r="R39" s="117">
        <f t="shared" si="22"/>
        <v>1253204.3027936965</v>
      </c>
      <c r="S39" s="117">
        <f t="shared" si="22"/>
        <v>487055.88208090141</v>
      </c>
      <c r="T39" s="117">
        <f t="shared" si="22"/>
        <v>-93218.103603184223</v>
      </c>
      <c r="U39" s="117">
        <f t="shared" si="22"/>
        <v>-143137.49655164964</v>
      </c>
      <c r="V39" s="164"/>
      <c r="X39" s="2">
        <v>0</v>
      </c>
      <c r="Y39" s="117">
        <f t="shared" si="6"/>
        <v>-405499</v>
      </c>
      <c r="Z39" s="117">
        <f t="shared" si="9"/>
        <v>1008749</v>
      </c>
      <c r="AA39" s="117">
        <f t="shared" si="10"/>
        <v>-665570.01399620809</v>
      </c>
      <c r="AB39" s="117">
        <f t="shared" si="11"/>
        <v>-817365.94799999893</v>
      </c>
      <c r="AC39" s="117">
        <f t="shared" si="12"/>
        <v>-756718.73521009646</v>
      </c>
      <c r="AD39" s="117">
        <f t="shared" si="13"/>
        <v>-766148.42071279511</v>
      </c>
      <c r="AE39" s="117">
        <f t="shared" si="14"/>
        <v>-580273.98568408564</v>
      </c>
      <c r="AF39" s="117">
        <f t="shared" si="15"/>
        <v>-49919.392948465422</v>
      </c>
    </row>
    <row r="40" spans="1:33">
      <c r="A40">
        <v>222</v>
      </c>
      <c r="B40" s="163" t="s">
        <v>458</v>
      </c>
      <c r="C40" s="117">
        <f>BS!G37</f>
        <v>7482669</v>
      </c>
      <c r="D40" s="117">
        <f>BS!H37</f>
        <v>8472996</v>
      </c>
      <c r="E40" s="117">
        <f>BS!I37</f>
        <v>9001467</v>
      </c>
      <c r="F40" s="117">
        <f>BS!J37</f>
        <v>9163284</v>
      </c>
      <c r="G40" s="117">
        <f>BS!K37</f>
        <v>9343836</v>
      </c>
      <c r="H40" s="117">
        <f>BS!L37</f>
        <v>9497450</v>
      </c>
      <c r="I40" s="117">
        <f>BS!M37</f>
        <v>10190231</v>
      </c>
      <c r="J40" s="117">
        <f>BS!N37</f>
        <v>10774957</v>
      </c>
      <c r="K40" s="117">
        <f>BS!O37</f>
        <v>10847023</v>
      </c>
      <c r="L40" s="117">
        <f>BS!P37</f>
        <v>11440081</v>
      </c>
      <c r="M40" s="117">
        <f>BS!Q37</f>
        <v>11488317</v>
      </c>
      <c r="N40" s="117">
        <f>BS!R37</f>
        <v>11567832</v>
      </c>
      <c r="O40" s="120">
        <f>BS!S37</f>
        <v>16040238</v>
      </c>
      <c r="P40" s="165">
        <f>FA!O10</f>
        <v>16119753</v>
      </c>
      <c r="Q40" s="165">
        <f>FA!P10</f>
        <v>16059105.787210096</v>
      </c>
      <c r="R40" s="165">
        <f>FA!Q10</f>
        <v>16068535.472712794</v>
      </c>
      <c r="S40" s="165">
        <f>FA!R10</f>
        <v>16079056.777684089</v>
      </c>
      <c r="T40" s="165">
        <f>FA!S10</f>
        <v>16090157.392948465</v>
      </c>
      <c r="U40" s="165">
        <f>FA!T10</f>
        <v>16100972.010271091</v>
      </c>
      <c r="V40" s="164"/>
      <c r="X40" s="2">
        <v>21</v>
      </c>
      <c r="Y40" s="117">
        <f t="shared" si="6"/>
        <v>79515</v>
      </c>
      <c r="Z40" s="117">
        <f>O40-N40</f>
        <v>4472406</v>
      </c>
      <c r="AA40" s="117">
        <f t="shared" si="10"/>
        <v>79515</v>
      </c>
      <c r="AB40" s="117">
        <f t="shared" si="11"/>
        <v>-60647.212789904326</v>
      </c>
      <c r="AC40" s="117">
        <f t="shared" si="12"/>
        <v>9429.685502698645</v>
      </c>
      <c r="AD40" s="117">
        <f t="shared" si="13"/>
        <v>10521.304971294478</v>
      </c>
      <c r="AE40" s="117">
        <f t="shared" si="14"/>
        <v>11100.615264376625</v>
      </c>
      <c r="AF40" s="117">
        <f t="shared" si="15"/>
        <v>10814.617322625592</v>
      </c>
      <c r="AG40" t="s">
        <v>459</v>
      </c>
    </row>
    <row r="41" spans="1:33">
      <c r="A41">
        <v>223</v>
      </c>
      <c r="B41" s="166" t="s">
        <v>460</v>
      </c>
      <c r="C41" s="117">
        <f>BS!G38</f>
        <v>-3027483</v>
      </c>
      <c r="D41" s="117">
        <f>BS!H38</f>
        <v>-3557197</v>
      </c>
      <c r="E41" s="117">
        <f>BS!I38</f>
        <v>-4157598</v>
      </c>
      <c r="F41" s="117">
        <f>BS!J38</f>
        <v>-4685247</v>
      </c>
      <c r="G41" s="117">
        <f>BS!K38</f>
        <v>-5299089</v>
      </c>
      <c r="H41" s="117">
        <f>BS!L38</f>
        <v>-5882599</v>
      </c>
      <c r="I41" s="117">
        <f>BS!M38</f>
        <v>-6446588</v>
      </c>
      <c r="J41" s="117">
        <f>BS!N38</f>
        <v>-7021568</v>
      </c>
      <c r="K41" s="117">
        <f>BS!O38</f>
        <v>-7545896</v>
      </c>
      <c r="L41" s="117">
        <f>BS!P38</f>
        <v>-8071099</v>
      </c>
      <c r="M41" s="117">
        <f>BS!Q38</f>
        <v>-8598708</v>
      </c>
      <c r="N41" s="117">
        <f>BS!R38</f>
        <v>-9083722</v>
      </c>
      <c r="O41" s="120">
        <f>BS!S38</f>
        <v>-12547379</v>
      </c>
      <c r="P41" s="165">
        <f>FA!O11</f>
        <v>-13292464.013996208</v>
      </c>
      <c r="Q41" s="165">
        <f>FA!P11</f>
        <v>-14049182.749206303</v>
      </c>
      <c r="R41" s="165">
        <f>FA!Q11</f>
        <v>-14815331.169919098</v>
      </c>
      <c r="S41" s="165">
        <f>FA!R11</f>
        <v>-15592000.895603187</v>
      </c>
      <c r="T41" s="165">
        <f>FA!S11</f>
        <v>-16183375.49655165</v>
      </c>
      <c r="U41" s="165">
        <f>FA!T11</f>
        <v>-16244109.506822741</v>
      </c>
      <c r="V41" s="164"/>
      <c r="X41" s="2">
        <v>2</v>
      </c>
      <c r="Y41" s="117">
        <f t="shared" si="6"/>
        <v>-485014</v>
      </c>
      <c r="Z41" s="117">
        <f>O41-N41</f>
        <v>-3463657</v>
      </c>
      <c r="AA41" s="117">
        <f>P41-O41</f>
        <v>-745085.01399620809</v>
      </c>
      <c r="AB41" s="117">
        <f t="shared" si="11"/>
        <v>-756718.7352100946</v>
      </c>
      <c r="AC41" s="117">
        <f t="shared" si="12"/>
        <v>-766148.42071279511</v>
      </c>
      <c r="AD41" s="117">
        <f t="shared" si="13"/>
        <v>-776669.72568408959</v>
      </c>
      <c r="AE41" s="117">
        <f t="shared" si="14"/>
        <v>-591374.60094846226</v>
      </c>
      <c r="AF41" s="117">
        <f t="shared" si="15"/>
        <v>-60734.010271091014</v>
      </c>
    </row>
    <row r="42" spans="1:33">
      <c r="A42">
        <v>224</v>
      </c>
      <c r="B42" s="163" t="s">
        <v>461</v>
      </c>
      <c r="C42" s="117">
        <f>BS!G39</f>
        <v>0</v>
      </c>
      <c r="D42" s="117">
        <f>BS!H39</f>
        <v>0</v>
      </c>
      <c r="E42" s="117">
        <f>BS!I39</f>
        <v>0</v>
      </c>
      <c r="F42" s="117">
        <f>BS!J39</f>
        <v>0</v>
      </c>
      <c r="G42" s="117">
        <f>BS!K39</f>
        <v>0</v>
      </c>
      <c r="H42" s="117">
        <f>BS!L39</f>
        <v>0</v>
      </c>
      <c r="I42" s="117">
        <f>BS!M39</f>
        <v>0</v>
      </c>
      <c r="J42" s="117">
        <f>BS!N39</f>
        <v>178134</v>
      </c>
      <c r="K42" s="117">
        <f>BS!O39</f>
        <v>167492</v>
      </c>
      <c r="L42" s="117">
        <f>BS!P39</f>
        <v>162262</v>
      </c>
      <c r="M42" s="117">
        <f>BS!Q39</f>
        <v>157031</v>
      </c>
      <c r="N42" s="117">
        <f>BS!R39</f>
        <v>151786</v>
      </c>
      <c r="O42" s="120">
        <f>BS!S39</f>
        <v>146556</v>
      </c>
      <c r="P42" s="117">
        <f t="shared" ref="P42:U42" si="23">SUM(P43:P44)</f>
        <v>141320.6756147609</v>
      </c>
      <c r="Q42" s="117">
        <f t="shared" si="23"/>
        <v>136085.3512295218</v>
      </c>
      <c r="R42" s="117">
        <f t="shared" si="23"/>
        <v>130850.02684428266</v>
      </c>
      <c r="S42" s="117">
        <f t="shared" si="23"/>
        <v>125614.70245904356</v>
      </c>
      <c r="T42" s="117">
        <f t="shared" si="23"/>
        <v>120379.37807380446</v>
      </c>
      <c r="U42" s="117">
        <f t="shared" si="23"/>
        <v>115144.05368856534</v>
      </c>
      <c r="V42" s="164"/>
      <c r="X42" s="2" t="s">
        <v>421</v>
      </c>
      <c r="Y42" s="117">
        <f t="shared" si="6"/>
        <v>-5245</v>
      </c>
      <c r="Z42" s="117">
        <f t="shared" si="9"/>
        <v>-5230</v>
      </c>
      <c r="AA42" s="117">
        <f t="shared" si="10"/>
        <v>-5235.3243852391024</v>
      </c>
      <c r="AB42" s="117">
        <f t="shared" si="11"/>
        <v>-5235.3243852391024</v>
      </c>
      <c r="AC42" s="117">
        <f t="shared" si="12"/>
        <v>-5235.3243852391315</v>
      </c>
      <c r="AD42" s="117">
        <f t="shared" si="13"/>
        <v>-5235.3243852391024</v>
      </c>
      <c r="AE42" s="117">
        <f t="shared" si="14"/>
        <v>-5235.3243852391024</v>
      </c>
      <c r="AF42" s="117">
        <f t="shared" si="15"/>
        <v>-5235.324385239117</v>
      </c>
    </row>
    <row r="43" spans="1:33">
      <c r="A43">
        <v>225</v>
      </c>
      <c r="B43" s="163" t="s">
        <v>458</v>
      </c>
      <c r="C43" s="117">
        <f>BS!G40</f>
        <v>0</v>
      </c>
      <c r="D43" s="117">
        <f>BS!H40</f>
        <v>0</v>
      </c>
      <c r="E43" s="117">
        <f>BS!I40</f>
        <v>0</v>
      </c>
      <c r="F43" s="117">
        <f>BS!J40</f>
        <v>0</v>
      </c>
      <c r="G43" s="117">
        <f>BS!K40</f>
        <v>0</v>
      </c>
      <c r="H43" s="117">
        <f>BS!L40</f>
        <v>0</v>
      </c>
      <c r="I43" s="117">
        <f>BS!M40</f>
        <v>0</v>
      </c>
      <c r="J43" s="117">
        <f>BS!N40</f>
        <v>179021</v>
      </c>
      <c r="K43" s="117">
        <f>BS!O40</f>
        <v>173583</v>
      </c>
      <c r="L43" s="117">
        <f>BS!P40</f>
        <v>173583</v>
      </c>
      <c r="M43" s="117">
        <f>BS!Q40</f>
        <v>173583</v>
      </c>
      <c r="N43" s="117">
        <f>BS!R40</f>
        <v>173583</v>
      </c>
      <c r="O43" s="120">
        <f>BS!S40</f>
        <v>173583</v>
      </c>
      <c r="P43" s="117">
        <f>FA!O28</f>
        <v>173583</v>
      </c>
      <c r="Q43" s="117">
        <f>FA!P28</f>
        <v>173583</v>
      </c>
      <c r="R43" s="117">
        <f>FA!Q28</f>
        <v>173583</v>
      </c>
      <c r="S43" s="117">
        <f>FA!R28</f>
        <v>173583</v>
      </c>
      <c r="T43" s="117">
        <f>FA!S28</f>
        <v>173583</v>
      </c>
      <c r="U43" s="117">
        <f>FA!T28</f>
        <v>173583</v>
      </c>
      <c r="V43" s="164"/>
      <c r="X43" s="2">
        <v>21</v>
      </c>
      <c r="Y43" s="117">
        <f t="shared" si="6"/>
        <v>0</v>
      </c>
      <c r="Z43" s="117">
        <f t="shared" si="9"/>
        <v>0</v>
      </c>
      <c r="AA43" s="117">
        <f t="shared" si="10"/>
        <v>0</v>
      </c>
      <c r="AB43" s="117">
        <f t="shared" si="11"/>
        <v>0</v>
      </c>
      <c r="AC43" s="117">
        <f t="shared" si="12"/>
        <v>0</v>
      </c>
      <c r="AD43" s="117">
        <f t="shared" si="13"/>
        <v>0</v>
      </c>
      <c r="AE43" s="117">
        <f t="shared" si="14"/>
        <v>0</v>
      </c>
      <c r="AF43" s="117">
        <f t="shared" si="15"/>
        <v>0</v>
      </c>
    </row>
    <row r="44" spans="1:33">
      <c r="A44">
        <v>226</v>
      </c>
      <c r="B44" s="166" t="s">
        <v>460</v>
      </c>
      <c r="C44" s="117">
        <f>BS!G41</f>
        <v>0</v>
      </c>
      <c r="D44" s="117">
        <f>BS!H41</f>
        <v>0</v>
      </c>
      <c r="E44" s="117">
        <f>BS!I41</f>
        <v>0</v>
      </c>
      <c r="F44" s="117">
        <f>BS!J41</f>
        <v>0</v>
      </c>
      <c r="G44" s="117">
        <f>BS!K41</f>
        <v>0</v>
      </c>
      <c r="H44" s="117">
        <f>BS!L41</f>
        <v>0</v>
      </c>
      <c r="I44" s="117">
        <f>BS!M41</f>
        <v>0</v>
      </c>
      <c r="J44" s="117">
        <f>BS!N41</f>
        <v>-887</v>
      </c>
      <c r="K44" s="117">
        <f>BS!O41</f>
        <v>-6090</v>
      </c>
      <c r="L44" s="117">
        <f>BS!P41</f>
        <v>-11321</v>
      </c>
      <c r="M44" s="117">
        <f>BS!Q41</f>
        <v>-16551</v>
      </c>
      <c r="N44" s="117">
        <f>BS!R41</f>
        <v>-21796</v>
      </c>
      <c r="O44" s="120">
        <f>BS!S41</f>
        <v>-27027</v>
      </c>
      <c r="P44" s="117">
        <f>FA!O29</f>
        <v>-32262.32438523911</v>
      </c>
      <c r="Q44" s="117">
        <f>FA!P29</f>
        <v>-37497.648770478219</v>
      </c>
      <c r="R44" s="117">
        <f>FA!Q29</f>
        <v>-42732.973155717329</v>
      </c>
      <c r="S44" s="117">
        <f>FA!R29</f>
        <v>-47968.297540956439</v>
      </c>
      <c r="T44" s="117">
        <f>FA!S29</f>
        <v>-53203.621926195548</v>
      </c>
      <c r="U44" s="117">
        <f>FA!T29</f>
        <v>-58438.946311434658</v>
      </c>
      <c r="V44" s="164"/>
      <c r="X44" s="2">
        <v>2</v>
      </c>
      <c r="Y44" s="117">
        <f t="shared" si="6"/>
        <v>-5245</v>
      </c>
      <c r="Z44" s="117">
        <f t="shared" si="9"/>
        <v>-5231</v>
      </c>
      <c r="AA44" s="117">
        <f t="shared" si="10"/>
        <v>-5235.3243852391097</v>
      </c>
      <c r="AB44" s="117">
        <f t="shared" si="11"/>
        <v>-5235.3243852391097</v>
      </c>
      <c r="AC44" s="117">
        <f t="shared" si="12"/>
        <v>-5235.3243852391097</v>
      </c>
      <c r="AD44" s="117">
        <f t="shared" si="13"/>
        <v>-5235.3243852391097</v>
      </c>
      <c r="AE44" s="117">
        <f t="shared" si="14"/>
        <v>-5235.3243852391097</v>
      </c>
      <c r="AF44" s="117">
        <f t="shared" si="15"/>
        <v>-5235.3243852391097</v>
      </c>
    </row>
    <row r="45" spans="1:33">
      <c r="A45">
        <v>227</v>
      </c>
      <c r="B45" s="163" t="s">
        <v>462</v>
      </c>
      <c r="C45" s="117">
        <f>BS!G42</f>
        <v>1644264</v>
      </c>
      <c r="D45" s="117">
        <f>BS!H42</f>
        <v>2117662</v>
      </c>
      <c r="E45" s="117">
        <f>BS!I42</f>
        <v>1010996</v>
      </c>
      <c r="F45" s="117">
        <f>BS!J42</f>
        <v>984557</v>
      </c>
      <c r="G45" s="117">
        <f>BS!K42</f>
        <v>963353</v>
      </c>
      <c r="H45" s="117">
        <f>BS!L42</f>
        <v>952240</v>
      </c>
      <c r="I45" s="117">
        <f>BS!M42</f>
        <v>941798</v>
      </c>
      <c r="J45" s="117">
        <f>BS!N42</f>
        <v>942980</v>
      </c>
      <c r="K45" s="117">
        <f>BS!O42</f>
        <v>933180</v>
      </c>
      <c r="L45" s="117">
        <f>BS!P42</f>
        <v>923739</v>
      </c>
      <c r="M45" s="117">
        <f>BS!Q42</f>
        <v>923084</v>
      </c>
      <c r="N45" s="117">
        <f>BS!R42</f>
        <v>957358</v>
      </c>
      <c r="O45" s="120">
        <f>BS!S42</f>
        <v>1428845</v>
      </c>
      <c r="P45" s="117">
        <f t="shared" ref="P45:U45" si="24">SUM(P46:P47)</f>
        <v>1405566.4808156204</v>
      </c>
      <c r="Q45" s="117">
        <f t="shared" si="24"/>
        <v>1385899.3454100266</v>
      </c>
      <c r="R45" s="117">
        <f t="shared" si="24"/>
        <v>1390622.4093504264</v>
      </c>
      <c r="S45" s="117">
        <f t="shared" si="24"/>
        <v>1386675.9520521089</v>
      </c>
      <c r="T45" s="117">
        <f t="shared" si="24"/>
        <v>1381884.9329055359</v>
      </c>
      <c r="U45" s="117">
        <f t="shared" si="24"/>
        <v>1374652.6378263559</v>
      </c>
      <c r="V45" s="164"/>
      <c r="X45" s="2" t="s">
        <v>421</v>
      </c>
      <c r="Y45" s="117">
        <f t="shared" si="6"/>
        <v>34274</v>
      </c>
      <c r="Z45" s="117">
        <f t="shared" si="9"/>
        <v>471487</v>
      </c>
      <c r="AA45" s="117">
        <f t="shared" si="10"/>
        <v>-23278.519184379606</v>
      </c>
      <c r="AB45" s="117">
        <f t="shared" si="11"/>
        <v>-19667.135405593785</v>
      </c>
      <c r="AC45" s="117">
        <f t="shared" si="12"/>
        <v>4723.063940399792</v>
      </c>
      <c r="AD45" s="117">
        <f t="shared" si="13"/>
        <v>-3946.4572983174585</v>
      </c>
      <c r="AE45" s="117">
        <f t="shared" si="14"/>
        <v>-4791.0191465730313</v>
      </c>
      <c r="AF45" s="117">
        <f t="shared" si="15"/>
        <v>-7232.2950791800395</v>
      </c>
    </row>
    <row r="46" spans="1:33">
      <c r="A46">
        <v>228</v>
      </c>
      <c r="B46" s="163" t="s">
        <v>458</v>
      </c>
      <c r="C46" s="117">
        <f>BS!G43</f>
        <v>1695324</v>
      </c>
      <c r="D46" s="117">
        <f>BS!H43</f>
        <v>2177771</v>
      </c>
      <c r="E46" s="117">
        <f>BS!I43</f>
        <v>1113838</v>
      </c>
      <c r="F46" s="117">
        <f>BS!J43</f>
        <v>1098567</v>
      </c>
      <c r="G46" s="117">
        <f>BS!K43</f>
        <v>1088316</v>
      </c>
      <c r="H46" s="117">
        <f>BS!L43</f>
        <v>1091398</v>
      </c>
      <c r="I46" s="117">
        <f>BS!M43</f>
        <v>1091734</v>
      </c>
      <c r="J46" s="117">
        <f>BS!N43</f>
        <v>1102197</v>
      </c>
      <c r="K46" s="117">
        <f>BS!O43</f>
        <v>1102973</v>
      </c>
      <c r="L46" s="117">
        <f>BS!P43</f>
        <v>1104147</v>
      </c>
      <c r="M46" s="117">
        <f>BS!Q43</f>
        <v>1114712</v>
      </c>
      <c r="N46" s="117">
        <f>BS!R43</f>
        <v>1173834</v>
      </c>
      <c r="O46" s="120">
        <f>BS!S43</f>
        <v>1727503</v>
      </c>
      <c r="P46" s="117">
        <f>FA!O17</f>
        <v>1744097.3279666668</v>
      </c>
      <c r="Q46" s="117">
        <f>FA!P17</f>
        <v>1764406.9957723334</v>
      </c>
      <c r="R46" s="117">
        <f>FA!Q17</f>
        <v>1787134.0711121699</v>
      </c>
      <c r="S46" s="117">
        <f>FA!R17</f>
        <v>1804364.2155872018</v>
      </c>
      <c r="T46" s="117">
        <f>FA!S17</f>
        <v>1823649.0779902344</v>
      </c>
      <c r="U46" s="117">
        <f>FA!T17</f>
        <v>1843608.6607575456</v>
      </c>
      <c r="V46" s="164"/>
      <c r="X46" s="2">
        <v>21</v>
      </c>
      <c r="Y46" s="117">
        <f t="shared" si="6"/>
        <v>59122</v>
      </c>
      <c r="Z46" s="117">
        <f t="shared" si="9"/>
        <v>553669</v>
      </c>
      <c r="AA46" s="117">
        <f t="shared" si="10"/>
        <v>16594.32796666678</v>
      </c>
      <c r="AB46" s="117">
        <f t="shared" si="11"/>
        <v>20309.66780566657</v>
      </c>
      <c r="AC46" s="117">
        <f t="shared" si="12"/>
        <v>22727.075339836534</v>
      </c>
      <c r="AD46" s="117">
        <f t="shared" si="13"/>
        <v>17230.144475031877</v>
      </c>
      <c r="AE46" s="117">
        <f t="shared" si="14"/>
        <v>19284.862403032603</v>
      </c>
      <c r="AF46" s="117">
        <f t="shared" si="15"/>
        <v>19959.582767311251</v>
      </c>
      <c r="AG46" t="s">
        <v>463</v>
      </c>
    </row>
    <row r="47" spans="1:33">
      <c r="A47">
        <v>229</v>
      </c>
      <c r="B47" s="166" t="s">
        <v>460</v>
      </c>
      <c r="C47" s="117">
        <f>BS!G44</f>
        <v>-51060</v>
      </c>
      <c r="D47" s="117">
        <f>BS!H44</f>
        <v>-60110</v>
      </c>
      <c r="E47" s="117">
        <f>BS!I44</f>
        <v>-102842</v>
      </c>
      <c r="F47" s="117">
        <f>BS!J44</f>
        <v>-114010</v>
      </c>
      <c r="G47" s="117">
        <f>BS!K44</f>
        <v>-124963</v>
      </c>
      <c r="H47" s="117">
        <f>BS!L44</f>
        <v>-139157</v>
      </c>
      <c r="I47" s="117">
        <f>BS!M44</f>
        <v>-149936</v>
      </c>
      <c r="J47" s="117">
        <f>BS!N44</f>
        <v>-159216</v>
      </c>
      <c r="K47" s="117">
        <f>BS!O44</f>
        <v>-169793</v>
      </c>
      <c r="L47" s="117">
        <f>BS!P44</f>
        <v>-180408</v>
      </c>
      <c r="M47" s="117">
        <f>BS!Q44</f>
        <v>-191628</v>
      </c>
      <c r="N47" s="117">
        <f>BS!R44</f>
        <v>-216476</v>
      </c>
      <c r="O47" s="120">
        <f>BS!S44</f>
        <v>-298658</v>
      </c>
      <c r="P47" s="117">
        <f>FA!O18</f>
        <v>-338530.84715104644</v>
      </c>
      <c r="Q47" s="117">
        <f>FA!P18</f>
        <v>-378507.65036230686</v>
      </c>
      <c r="R47" s="117">
        <f>FA!Q18</f>
        <v>-396511.6617617436</v>
      </c>
      <c r="S47" s="117">
        <f>FA!R18</f>
        <v>-417688.2635350927</v>
      </c>
      <c r="T47" s="117">
        <f>FA!S18</f>
        <v>-441764.14508469851</v>
      </c>
      <c r="U47" s="117">
        <f>FA!T18</f>
        <v>-468956.02293118974</v>
      </c>
      <c r="V47" s="164"/>
      <c r="X47" s="2">
        <v>2</v>
      </c>
      <c r="Y47" s="117">
        <f t="shared" si="6"/>
        <v>-24848</v>
      </c>
      <c r="Z47" s="117">
        <f t="shared" si="9"/>
        <v>-82182</v>
      </c>
      <c r="AA47" s="117">
        <f t="shared" si="10"/>
        <v>-39872.847151046444</v>
      </c>
      <c r="AB47" s="117">
        <f t="shared" si="11"/>
        <v>-39976.803211260412</v>
      </c>
      <c r="AC47" s="117">
        <f t="shared" si="12"/>
        <v>-18004.011399436742</v>
      </c>
      <c r="AD47" s="117">
        <f t="shared" si="13"/>
        <v>-21176.601773349103</v>
      </c>
      <c r="AE47" s="117">
        <f t="shared" si="14"/>
        <v>-24075.881549605809</v>
      </c>
      <c r="AF47" s="117">
        <f t="shared" si="15"/>
        <v>-27191.877846491232</v>
      </c>
    </row>
    <row r="48" spans="1:33">
      <c r="B48" s="163" t="s">
        <v>464</v>
      </c>
      <c r="C48" s="117">
        <v>531470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  <c r="O48" s="120">
        <v>0</v>
      </c>
      <c r="P48" s="117">
        <f>O48</f>
        <v>0</v>
      </c>
      <c r="Q48" s="117">
        <f t="shared" ref="Q48:U48" si="25">P48</f>
        <v>0</v>
      </c>
      <c r="R48" s="117">
        <f t="shared" si="25"/>
        <v>0</v>
      </c>
      <c r="S48" s="117">
        <f t="shared" si="25"/>
        <v>0</v>
      </c>
      <c r="T48" s="117">
        <f t="shared" si="25"/>
        <v>0</v>
      </c>
      <c r="U48" s="117">
        <f t="shared" si="25"/>
        <v>0</v>
      </c>
      <c r="V48" s="164"/>
      <c r="X48" s="2" t="s">
        <v>421</v>
      </c>
      <c r="Y48" s="117">
        <f t="shared" si="6"/>
        <v>0</v>
      </c>
      <c r="Z48" s="117">
        <f t="shared" si="9"/>
        <v>0</v>
      </c>
      <c r="AA48" s="117">
        <f t="shared" si="10"/>
        <v>0</v>
      </c>
      <c r="AB48" s="117">
        <f t="shared" si="11"/>
        <v>0</v>
      </c>
      <c r="AC48" s="117">
        <f t="shared" si="12"/>
        <v>0</v>
      </c>
      <c r="AD48" s="117">
        <f t="shared" si="13"/>
        <v>0</v>
      </c>
      <c r="AE48" s="117">
        <f t="shared" si="14"/>
        <v>0</v>
      </c>
      <c r="AF48" s="117">
        <f t="shared" si="15"/>
        <v>0</v>
      </c>
    </row>
    <row r="49" spans="1:33" s="107" customFormat="1">
      <c r="A49">
        <v>230</v>
      </c>
      <c r="B49" s="160" t="s">
        <v>465</v>
      </c>
      <c r="C49" s="117">
        <f>BS!G45</f>
        <v>32921</v>
      </c>
      <c r="D49" s="117">
        <f>BS!H45</f>
        <v>30770</v>
      </c>
      <c r="E49" s="117">
        <f>BS!I45</f>
        <v>45648</v>
      </c>
      <c r="F49" s="117">
        <f>BS!J45</f>
        <v>66481</v>
      </c>
      <c r="G49" s="117">
        <f>BS!K45</f>
        <v>67658</v>
      </c>
      <c r="H49" s="117">
        <f>BS!L45</f>
        <v>54568</v>
      </c>
      <c r="I49" s="117">
        <f>BS!M45</f>
        <v>58433</v>
      </c>
      <c r="J49" s="117">
        <f>BS!N45</f>
        <v>65174</v>
      </c>
      <c r="K49" s="117">
        <f>BS!O45</f>
        <v>41270</v>
      </c>
      <c r="L49" s="117">
        <f>BS!P45</f>
        <v>153129</v>
      </c>
      <c r="M49" s="117">
        <f>BS!Q45</f>
        <v>279065</v>
      </c>
      <c r="N49" s="117">
        <f>BS!R45</f>
        <v>268305</v>
      </c>
      <c r="O49" s="120">
        <f>BS!S45</f>
        <v>238599</v>
      </c>
      <c r="P49" s="117">
        <f>SUM(P50:P51)</f>
        <v>228521.4242473256</v>
      </c>
      <c r="Q49" s="117">
        <f t="shared" ref="Q49:U49" si="26">SUM(Q50:Q51)</f>
        <v>218450.38363865123</v>
      </c>
      <c r="R49" s="117">
        <f t="shared" si="26"/>
        <v>208386.07422829693</v>
      </c>
      <c r="S49" s="117">
        <f t="shared" si="26"/>
        <v>198328.69795221215</v>
      </c>
      <c r="T49" s="117">
        <f t="shared" si="26"/>
        <v>188278.46280442504</v>
      </c>
      <c r="U49" s="117">
        <f t="shared" si="26"/>
        <v>178235.58301878456</v>
      </c>
      <c r="V49" s="158"/>
      <c r="X49" s="2" t="s">
        <v>421</v>
      </c>
      <c r="Y49" s="157">
        <f t="shared" si="6"/>
        <v>-10760</v>
      </c>
      <c r="Z49" s="157">
        <f t="shared" si="9"/>
        <v>-29706</v>
      </c>
      <c r="AA49" s="157">
        <f t="shared" si="10"/>
        <v>-10077.575752674398</v>
      </c>
      <c r="AB49" s="157">
        <f t="shared" si="11"/>
        <v>-10071.040608674375</v>
      </c>
      <c r="AC49" s="157">
        <f t="shared" si="12"/>
        <v>-10064.309410354297</v>
      </c>
      <c r="AD49" s="157">
        <f t="shared" si="13"/>
        <v>-10057.376276084775</v>
      </c>
      <c r="AE49" s="157">
        <f t="shared" si="14"/>
        <v>-10050.235147787113</v>
      </c>
      <c r="AF49" s="157">
        <f t="shared" si="15"/>
        <v>-10042.879785640485</v>
      </c>
    </row>
    <row r="50" spans="1:33">
      <c r="A50" s="107">
        <v>231</v>
      </c>
      <c r="B50" s="163" t="s">
        <v>466</v>
      </c>
      <c r="C50" s="117">
        <f>BS!G46</f>
        <v>43273</v>
      </c>
      <c r="D50" s="117">
        <f>BS!H46</f>
        <v>43273</v>
      </c>
      <c r="E50" s="117">
        <f>BS!I46</f>
        <v>70886</v>
      </c>
      <c r="F50" s="117">
        <f>BS!J46</f>
        <v>94694</v>
      </c>
      <c r="G50" s="117">
        <f>BS!K46</f>
        <v>83725</v>
      </c>
      <c r="H50" s="117">
        <f>BS!L46</f>
        <v>71444</v>
      </c>
      <c r="I50" s="117">
        <f>BS!M46</f>
        <v>80831</v>
      </c>
      <c r="J50" s="117">
        <f>BS!N46</f>
        <v>92669</v>
      </c>
      <c r="K50" s="117">
        <f>BS!O46</f>
        <v>67678</v>
      </c>
      <c r="L50" s="117">
        <f>BS!P46</f>
        <v>182936</v>
      </c>
      <c r="M50" s="117">
        <f>BS!Q46</f>
        <v>311099</v>
      </c>
      <c r="N50" s="117">
        <f>BS!R46</f>
        <v>311715</v>
      </c>
      <c r="O50" s="120">
        <f>BS!S46</f>
        <v>281827</v>
      </c>
      <c r="P50" s="117">
        <f>FA!O35</f>
        <v>282044.83813333331</v>
      </c>
      <c r="Q50" s="117">
        <f>FA!P35</f>
        <v>282269.21141066664</v>
      </c>
      <c r="R50" s="117">
        <f>FA!Q35</f>
        <v>282500.31588632002</v>
      </c>
      <c r="S50" s="117">
        <f>FA!R35</f>
        <v>282738.35349624295</v>
      </c>
      <c r="T50" s="117">
        <f>FA!S35</f>
        <v>282983.53223446355</v>
      </c>
      <c r="U50" s="117">
        <f>FA!T35</f>
        <v>283236.06633483077</v>
      </c>
      <c r="V50" s="164"/>
      <c r="X50" s="2">
        <v>21</v>
      </c>
      <c r="Y50" s="117">
        <f t="shared" si="6"/>
        <v>616</v>
      </c>
      <c r="Z50" s="117">
        <f t="shared" si="9"/>
        <v>-29888</v>
      </c>
      <c r="AA50" s="117">
        <f t="shared" si="10"/>
        <v>217.83813333330909</v>
      </c>
      <c r="AB50" s="117">
        <f t="shared" si="11"/>
        <v>224.37327733333223</v>
      </c>
      <c r="AC50" s="117">
        <f t="shared" si="12"/>
        <v>231.10447565338109</v>
      </c>
      <c r="AD50" s="117">
        <f t="shared" si="13"/>
        <v>238.03760992293246</v>
      </c>
      <c r="AE50" s="117">
        <f t="shared" si="14"/>
        <v>245.17873822059482</v>
      </c>
      <c r="AF50" s="117">
        <f t="shared" si="15"/>
        <v>252.53410036722198</v>
      </c>
    </row>
    <row r="51" spans="1:33">
      <c r="A51">
        <v>232</v>
      </c>
      <c r="B51" s="163" t="s">
        <v>467</v>
      </c>
      <c r="C51" s="117">
        <f>BS!G47</f>
        <v>-10352</v>
      </c>
      <c r="D51" s="117">
        <f>BS!H47</f>
        <v>-12504</v>
      </c>
      <c r="E51" s="117">
        <f>BS!I47</f>
        <v>-25237</v>
      </c>
      <c r="F51" s="117">
        <f>BS!J47</f>
        <v>-28213</v>
      </c>
      <c r="G51" s="117">
        <f>BS!K47</f>
        <v>-16068</v>
      </c>
      <c r="H51" s="117">
        <f>BS!L47</f>
        <v>-16876</v>
      </c>
      <c r="I51" s="117">
        <f>BS!M47</f>
        <v>-22397</v>
      </c>
      <c r="J51" s="117">
        <f>BS!N47</f>
        <v>-27495</v>
      </c>
      <c r="K51" s="117">
        <f>BS!O47</f>
        <v>-26408</v>
      </c>
      <c r="L51" s="117">
        <f>BS!P47</f>
        <v>-29807</v>
      </c>
      <c r="M51" s="117">
        <f>BS!Q47</f>
        <v>-32034</v>
      </c>
      <c r="N51" s="117">
        <f>BS!R47</f>
        <v>-43410</v>
      </c>
      <c r="O51" s="120">
        <f>BS!S47</f>
        <v>-43228</v>
      </c>
      <c r="P51" s="117">
        <f>FA!O36</f>
        <v>-53523.4138860077</v>
      </c>
      <c r="Q51" s="117">
        <f>FA!P36</f>
        <v>-63818.8277720154</v>
      </c>
      <c r="R51" s="117">
        <f>FA!Q36</f>
        <v>-74114.241658023093</v>
      </c>
      <c r="S51" s="117">
        <f>FA!R36</f>
        <v>-84409.6555440308</v>
      </c>
      <c r="T51" s="117">
        <f>FA!S36</f>
        <v>-94705.069430038508</v>
      </c>
      <c r="U51" s="117">
        <f>FA!T36</f>
        <v>-105000.48331604621</v>
      </c>
      <c r="V51" s="164"/>
      <c r="X51" s="2">
        <v>2</v>
      </c>
      <c r="Y51" s="117">
        <f t="shared" si="6"/>
        <v>-11376</v>
      </c>
      <c r="Z51" s="117">
        <f t="shared" si="9"/>
        <v>182</v>
      </c>
      <c r="AA51" s="117">
        <f t="shared" si="10"/>
        <v>-10295.4138860077</v>
      </c>
      <c r="AB51" s="117">
        <f t="shared" si="11"/>
        <v>-10295.4138860077</v>
      </c>
      <c r="AC51" s="117">
        <f t="shared" si="12"/>
        <v>-10295.413886007693</v>
      </c>
      <c r="AD51" s="117">
        <f t="shared" si="13"/>
        <v>-10295.413886007707</v>
      </c>
      <c r="AE51" s="117">
        <f t="shared" si="14"/>
        <v>-10295.413886007707</v>
      </c>
      <c r="AF51" s="117">
        <f t="shared" si="15"/>
        <v>-10295.413886007707</v>
      </c>
    </row>
    <row r="52" spans="1:33" s="107" customFormat="1">
      <c r="A52">
        <v>240</v>
      </c>
      <c r="B52" s="160" t="s">
        <v>468</v>
      </c>
      <c r="C52" s="117">
        <f>BS!G48</f>
        <v>530676</v>
      </c>
      <c r="D52" s="117">
        <f>BS!H48</f>
        <v>401815</v>
      </c>
      <c r="E52" s="117">
        <f>BS!I48</f>
        <v>80876</v>
      </c>
      <c r="F52" s="117">
        <f>BS!J48</f>
        <v>76867</v>
      </c>
      <c r="G52" s="117">
        <f>BS!K48</f>
        <v>111506</v>
      </c>
      <c r="H52" s="117">
        <f>BS!L48</f>
        <v>144378</v>
      </c>
      <c r="I52" s="117">
        <f>BS!M48</f>
        <v>307774</v>
      </c>
      <c r="J52" s="117">
        <f>BS!N48</f>
        <v>28139</v>
      </c>
      <c r="K52" s="117">
        <f>BS!O48</f>
        <v>551471</v>
      </c>
      <c r="L52" s="117">
        <f>BS!P48</f>
        <v>133548</v>
      </c>
      <c r="M52" s="117">
        <f>BS!Q48</f>
        <v>143919</v>
      </c>
      <c r="N52" s="117">
        <f>BS!R48</f>
        <v>122014</v>
      </c>
      <c r="O52" s="120">
        <f>BS!S48</f>
        <v>141443</v>
      </c>
      <c r="P52" s="117">
        <f t="shared" ref="P52:U52" si="27">SUM(P53:P54)</f>
        <v>114344.25</v>
      </c>
      <c r="Q52" s="117">
        <f t="shared" si="27"/>
        <v>151999.0625</v>
      </c>
      <c r="R52" s="117">
        <f t="shared" si="27"/>
        <v>160853.078125</v>
      </c>
      <c r="S52" s="117">
        <f t="shared" si="27"/>
        <v>173347.84765625</v>
      </c>
      <c r="T52" s="117">
        <f t="shared" si="27"/>
        <v>181323.8095703125</v>
      </c>
      <c r="U52" s="117">
        <f t="shared" si="27"/>
        <v>198068.44946289063</v>
      </c>
      <c r="V52" s="158" t="s">
        <v>421</v>
      </c>
      <c r="X52" s="2" t="s">
        <v>421</v>
      </c>
      <c r="Y52" s="157">
        <f t="shared" si="6"/>
        <v>-21905</v>
      </c>
      <c r="Z52" s="157">
        <f t="shared" si="9"/>
        <v>19429</v>
      </c>
      <c r="AA52" s="157">
        <f t="shared" si="10"/>
        <v>-27098.75</v>
      </c>
      <c r="AB52" s="157">
        <f t="shared" si="11"/>
        <v>37654.8125</v>
      </c>
      <c r="AC52" s="157">
        <f t="shared" si="12"/>
        <v>8854.015625</v>
      </c>
      <c r="AD52" s="157">
        <f t="shared" si="13"/>
        <v>12494.76953125</v>
      </c>
      <c r="AE52" s="157">
        <f t="shared" si="14"/>
        <v>7975.9619140625</v>
      </c>
      <c r="AF52" s="157">
        <f t="shared" si="15"/>
        <v>16744.639892578125</v>
      </c>
    </row>
    <row r="53" spans="1:33">
      <c r="A53" s="107">
        <v>241</v>
      </c>
      <c r="B53" s="163" t="s">
        <v>469</v>
      </c>
      <c r="C53" s="117">
        <f>BS!G49</f>
        <v>0</v>
      </c>
      <c r="D53" s="117">
        <f>BS!H49</f>
        <v>0</v>
      </c>
      <c r="E53" s="117">
        <f>BS!I49</f>
        <v>0</v>
      </c>
      <c r="F53" s="117">
        <f>BS!J49</f>
        <v>0</v>
      </c>
      <c r="G53" s="117">
        <f>BS!K49</f>
        <v>0</v>
      </c>
      <c r="H53" s="117">
        <f>BS!L49</f>
        <v>0</v>
      </c>
      <c r="I53" s="117">
        <f>BS!M49</f>
        <v>0</v>
      </c>
      <c r="J53" s="117">
        <f>BS!N49</f>
        <v>0</v>
      </c>
      <c r="K53" s="117">
        <f>BS!O49</f>
        <v>0</v>
      </c>
      <c r="L53" s="117">
        <f>BS!P49</f>
        <v>0</v>
      </c>
      <c r="M53" s="117">
        <f>BS!Q49</f>
        <v>0</v>
      </c>
      <c r="N53" s="117">
        <f>BS!R49</f>
        <v>0</v>
      </c>
      <c r="O53" s="120">
        <f>BS!S49</f>
        <v>0</v>
      </c>
      <c r="P53" s="899">
        <v>0</v>
      </c>
      <c r="Q53" s="899">
        <v>0</v>
      </c>
      <c r="R53" s="899">
        <v>0</v>
      </c>
      <c r="S53" s="899">
        <v>1</v>
      </c>
      <c r="T53" s="899">
        <v>1</v>
      </c>
      <c r="U53" s="899">
        <v>1</v>
      </c>
      <c r="V53" s="164"/>
      <c r="X53" s="2" t="s">
        <v>421</v>
      </c>
      <c r="Y53" s="117">
        <f t="shared" si="6"/>
        <v>0</v>
      </c>
      <c r="Z53" s="117">
        <f t="shared" si="9"/>
        <v>0</v>
      </c>
      <c r="AA53" s="117">
        <f t="shared" si="10"/>
        <v>0</v>
      </c>
      <c r="AB53" s="117">
        <f t="shared" si="11"/>
        <v>0</v>
      </c>
      <c r="AC53" s="117">
        <f t="shared" si="12"/>
        <v>0</v>
      </c>
      <c r="AD53" s="117">
        <f t="shared" si="13"/>
        <v>1</v>
      </c>
      <c r="AE53" s="117">
        <f t="shared" si="14"/>
        <v>0</v>
      </c>
      <c r="AF53" s="117">
        <f t="shared" si="15"/>
        <v>0</v>
      </c>
    </row>
    <row r="54" spans="1:33">
      <c r="A54">
        <v>242</v>
      </c>
      <c r="B54" s="163" t="s">
        <v>470</v>
      </c>
      <c r="C54" s="117">
        <f>BS!G50</f>
        <v>530676</v>
      </c>
      <c r="D54" s="117">
        <f>BS!H50</f>
        <v>401815</v>
      </c>
      <c r="E54" s="117">
        <f>BS!I50</f>
        <v>80876</v>
      </c>
      <c r="F54" s="117">
        <f>BS!J50</f>
        <v>76867</v>
      </c>
      <c r="G54" s="117">
        <f>BS!K50</f>
        <v>111506</v>
      </c>
      <c r="H54" s="117">
        <f>BS!L50</f>
        <v>144378</v>
      </c>
      <c r="I54" s="117">
        <f>BS!M50</f>
        <v>307774</v>
      </c>
      <c r="J54" s="117">
        <f>BS!N50</f>
        <v>28139</v>
      </c>
      <c r="K54" s="117">
        <f>BS!O50</f>
        <v>551471</v>
      </c>
      <c r="L54" s="117">
        <f>BS!P50</f>
        <v>133548</v>
      </c>
      <c r="M54" s="117">
        <f>BS!Q50</f>
        <v>143919</v>
      </c>
      <c r="N54" s="117">
        <f>BS!R50</f>
        <v>122014</v>
      </c>
      <c r="O54" s="120">
        <f>BS!S50</f>
        <v>141443</v>
      </c>
      <c r="P54" s="165">
        <f>FA!O158</f>
        <v>114344.25</v>
      </c>
      <c r="Q54" s="165">
        <f>FA!P158</f>
        <v>151999.0625</v>
      </c>
      <c r="R54" s="165">
        <f>FA!Q158</f>
        <v>160853.078125</v>
      </c>
      <c r="S54" s="165">
        <f>FA!R158</f>
        <v>173346.84765625</v>
      </c>
      <c r="T54" s="165">
        <f>FA!S158</f>
        <v>181322.8095703125</v>
      </c>
      <c r="U54" s="165">
        <f>FA!T158</f>
        <v>198067.44946289063</v>
      </c>
      <c r="V54" s="164"/>
      <c r="X54" s="2">
        <v>21</v>
      </c>
      <c r="Y54" s="117">
        <f t="shared" si="6"/>
        <v>-21905</v>
      </c>
      <c r="Z54" s="117">
        <f t="shared" si="9"/>
        <v>19429</v>
      </c>
      <c r="AA54" s="117">
        <f t="shared" si="10"/>
        <v>-27098.75</v>
      </c>
      <c r="AB54" s="117">
        <f t="shared" si="11"/>
        <v>37654.8125</v>
      </c>
      <c r="AC54" s="117">
        <f t="shared" si="12"/>
        <v>8854.015625</v>
      </c>
      <c r="AD54" s="117">
        <f t="shared" si="13"/>
        <v>12493.76953125</v>
      </c>
      <c r="AE54" s="117">
        <f t="shared" si="14"/>
        <v>7975.9619140625</v>
      </c>
      <c r="AF54" s="117">
        <f t="shared" si="15"/>
        <v>16744.639892578125</v>
      </c>
      <c r="AG54" t="s">
        <v>471</v>
      </c>
    </row>
    <row r="55" spans="1:33" s="107" customFormat="1">
      <c r="A55">
        <v>250</v>
      </c>
      <c r="B55" s="160" t="s">
        <v>472</v>
      </c>
      <c r="C55" s="117">
        <f>BS!G51</f>
        <v>2426601</v>
      </c>
      <c r="D55" s="117">
        <f>BS!H51</f>
        <v>2297407</v>
      </c>
      <c r="E55" s="117">
        <f>BS!I51</f>
        <v>2220151</v>
      </c>
      <c r="F55" s="117">
        <f>BS!J51</f>
        <v>1938641</v>
      </c>
      <c r="G55" s="117">
        <f>BS!K51</f>
        <v>2152328</v>
      </c>
      <c r="H55" s="117">
        <f>BS!L51</f>
        <v>2119042</v>
      </c>
      <c r="I55" s="117">
        <f>BS!M51</f>
        <v>2162739</v>
      </c>
      <c r="J55" s="117">
        <f>BS!N51</f>
        <v>2351286</v>
      </c>
      <c r="K55" s="117">
        <f>BS!O51</f>
        <v>2125163</v>
      </c>
      <c r="L55" s="117">
        <f>BS!P51</f>
        <v>2214115</v>
      </c>
      <c r="M55" s="117">
        <f>BS!Q51</f>
        <v>2287392</v>
      </c>
      <c r="N55" s="117">
        <f>BS!R51</f>
        <v>3672561</v>
      </c>
      <c r="O55" s="120">
        <f>BS!S51</f>
        <v>4194795</v>
      </c>
      <c r="P55" s="117">
        <f t="shared" ref="P55:U55" si="28">SUM(P56:P60)</f>
        <v>4194794</v>
      </c>
      <c r="Q55" s="117">
        <f t="shared" si="28"/>
        <v>4194794</v>
      </c>
      <c r="R55" s="117">
        <f t="shared" si="28"/>
        <v>4194794</v>
      </c>
      <c r="S55" s="117">
        <f t="shared" si="28"/>
        <v>4194794</v>
      </c>
      <c r="T55" s="117">
        <f t="shared" si="28"/>
        <v>4194794</v>
      </c>
      <c r="U55" s="117">
        <f t="shared" si="28"/>
        <v>4194794</v>
      </c>
      <c r="V55" s="158" t="s">
        <v>421</v>
      </c>
      <c r="X55" s="2" t="s">
        <v>421</v>
      </c>
      <c r="Y55" s="157">
        <f t="shared" si="6"/>
        <v>1385169</v>
      </c>
      <c r="Z55" s="157">
        <f t="shared" si="9"/>
        <v>522234</v>
      </c>
      <c r="AA55" s="157">
        <f t="shared" si="10"/>
        <v>-1</v>
      </c>
      <c r="AB55" s="157">
        <f t="shared" si="11"/>
        <v>0</v>
      </c>
      <c r="AC55" s="157">
        <f t="shared" si="12"/>
        <v>0</v>
      </c>
      <c r="AD55" s="157">
        <f t="shared" si="13"/>
        <v>0</v>
      </c>
      <c r="AE55" s="157">
        <f t="shared" si="14"/>
        <v>0</v>
      </c>
      <c r="AF55" s="157">
        <f t="shared" si="15"/>
        <v>0</v>
      </c>
    </row>
    <row r="56" spans="1:33">
      <c r="A56" s="107">
        <v>251</v>
      </c>
      <c r="B56" s="163" t="s">
        <v>473</v>
      </c>
      <c r="C56" s="117">
        <f>BS!G52</f>
        <v>0</v>
      </c>
      <c r="D56" s="117">
        <f>BS!H52</f>
        <v>0</v>
      </c>
      <c r="E56" s="117">
        <f>BS!I52</f>
        <v>0</v>
      </c>
      <c r="F56" s="117">
        <f>BS!J52</f>
        <v>0</v>
      </c>
      <c r="G56" s="117">
        <f>BS!K52</f>
        <v>0</v>
      </c>
      <c r="H56" s="117">
        <f>BS!L52</f>
        <v>0</v>
      </c>
      <c r="I56" s="117">
        <f>BS!M52</f>
        <v>0</v>
      </c>
      <c r="J56" s="117">
        <f>BS!N52</f>
        <v>0</v>
      </c>
      <c r="K56" s="117">
        <f>BS!O52</f>
        <v>0</v>
      </c>
      <c r="L56" s="117">
        <f>BS!P52</f>
        <v>0</v>
      </c>
      <c r="M56" s="117">
        <f>BS!Q52</f>
        <v>0</v>
      </c>
      <c r="N56" s="117">
        <f>BS!R52</f>
        <v>0</v>
      </c>
      <c r="O56" s="120">
        <f>BS!S52</f>
        <v>0</v>
      </c>
      <c r="P56" s="117">
        <f>O56</f>
        <v>0</v>
      </c>
      <c r="Q56" s="117">
        <f t="shared" ref="Q56:U61" si="29">P56</f>
        <v>0</v>
      </c>
      <c r="R56" s="117">
        <f t="shared" si="29"/>
        <v>0</v>
      </c>
      <c r="S56" s="117">
        <f t="shared" si="29"/>
        <v>0</v>
      </c>
      <c r="T56" s="117">
        <f t="shared" si="29"/>
        <v>0</v>
      </c>
      <c r="U56" s="117">
        <f t="shared" si="29"/>
        <v>0</v>
      </c>
      <c r="V56" s="164"/>
      <c r="X56" s="2">
        <v>25</v>
      </c>
      <c r="Y56" s="117">
        <f t="shared" si="6"/>
        <v>0</v>
      </c>
      <c r="Z56" s="117">
        <f t="shared" si="9"/>
        <v>0</v>
      </c>
      <c r="AA56" s="117">
        <f t="shared" si="10"/>
        <v>0</v>
      </c>
      <c r="AB56" s="117">
        <f t="shared" si="11"/>
        <v>0</v>
      </c>
      <c r="AC56" s="117">
        <f t="shared" si="12"/>
        <v>0</v>
      </c>
      <c r="AD56" s="117">
        <f t="shared" si="13"/>
        <v>0</v>
      </c>
      <c r="AE56" s="117">
        <f t="shared" si="14"/>
        <v>0</v>
      </c>
      <c r="AF56" s="117">
        <f t="shared" si="15"/>
        <v>0</v>
      </c>
    </row>
    <row r="57" spans="1:33">
      <c r="A57">
        <v>252</v>
      </c>
      <c r="B57" s="163" t="s">
        <v>474</v>
      </c>
      <c r="C57" s="117">
        <f>BS!G53</f>
        <v>1771504</v>
      </c>
      <c r="D57" s="117">
        <f>BS!H53</f>
        <v>1636021</v>
      </c>
      <c r="E57" s="117">
        <f>BS!I53</f>
        <v>1895601</v>
      </c>
      <c r="F57" s="117">
        <f>BS!J53</f>
        <v>1602030</v>
      </c>
      <c r="G57" s="117">
        <f>BS!K53</f>
        <v>1747121</v>
      </c>
      <c r="H57" s="117">
        <f>BS!L53</f>
        <v>1800203</v>
      </c>
      <c r="I57" s="117">
        <f>BS!M53</f>
        <v>1878458</v>
      </c>
      <c r="J57" s="117">
        <f>BS!N53</f>
        <v>2049029</v>
      </c>
      <c r="K57" s="117">
        <f>BS!O53</f>
        <v>2010072</v>
      </c>
      <c r="L57" s="117">
        <f>BS!P53</f>
        <v>2187830</v>
      </c>
      <c r="M57" s="117">
        <f>BS!Q53</f>
        <v>2230184</v>
      </c>
      <c r="N57" s="117">
        <f>BS!R53</f>
        <v>2304839</v>
      </c>
      <c r="O57" s="120">
        <f>BS!S53</f>
        <v>2220383</v>
      </c>
      <c r="P57" s="117">
        <f t="shared" ref="P57:P61" si="30">O57</f>
        <v>2220383</v>
      </c>
      <c r="Q57" s="117">
        <f t="shared" si="29"/>
        <v>2220383</v>
      </c>
      <c r="R57" s="117">
        <f t="shared" si="29"/>
        <v>2220383</v>
      </c>
      <c r="S57" s="117">
        <f t="shared" si="29"/>
        <v>2220383</v>
      </c>
      <c r="T57" s="117">
        <f t="shared" si="29"/>
        <v>2220383</v>
      </c>
      <c r="U57" s="117">
        <f t="shared" si="29"/>
        <v>2220383</v>
      </c>
      <c r="V57" s="164"/>
      <c r="X57" s="2">
        <v>25</v>
      </c>
      <c r="Y57" s="117">
        <f t="shared" si="6"/>
        <v>74655</v>
      </c>
      <c r="Z57" s="117">
        <f t="shared" si="9"/>
        <v>-84456</v>
      </c>
      <c r="AA57" s="117">
        <f t="shared" si="10"/>
        <v>0</v>
      </c>
      <c r="AB57" s="117">
        <f t="shared" si="11"/>
        <v>0</v>
      </c>
      <c r="AC57" s="117">
        <f t="shared" si="12"/>
        <v>0</v>
      </c>
      <c r="AD57" s="117">
        <f t="shared" si="13"/>
        <v>0</v>
      </c>
      <c r="AE57" s="117">
        <f t="shared" si="14"/>
        <v>0</v>
      </c>
      <c r="AF57" s="117">
        <f t="shared" si="15"/>
        <v>0</v>
      </c>
    </row>
    <row r="58" spans="1:33">
      <c r="A58">
        <v>253</v>
      </c>
      <c r="B58" s="163" t="s">
        <v>475</v>
      </c>
      <c r="C58" s="117">
        <f>BS!G54</f>
        <v>1143904</v>
      </c>
      <c r="D58" s="117">
        <f>BS!H54</f>
        <v>1111348</v>
      </c>
      <c r="E58" s="117">
        <f>BS!I54</f>
        <v>759465</v>
      </c>
      <c r="F58" s="117">
        <f>BS!J54</f>
        <v>763251</v>
      </c>
      <c r="G58" s="117">
        <f>BS!K54</f>
        <v>736653</v>
      </c>
      <c r="H58" s="117">
        <f>BS!L54</f>
        <v>688511</v>
      </c>
      <c r="I58" s="117">
        <f>BS!M54</f>
        <v>665886</v>
      </c>
      <c r="J58" s="117">
        <f>BS!N54</f>
        <v>665886</v>
      </c>
      <c r="K58" s="117">
        <f>BS!O54</f>
        <v>434314</v>
      </c>
      <c r="L58" s="117">
        <f>BS!P54</f>
        <v>434314</v>
      </c>
      <c r="M58" s="117">
        <f>BS!Q54</f>
        <v>434314</v>
      </c>
      <c r="N58" s="117">
        <f>BS!R54</f>
        <v>410929</v>
      </c>
      <c r="O58" s="120">
        <f>BS!S54</f>
        <v>362429</v>
      </c>
      <c r="P58" s="117">
        <f t="shared" si="30"/>
        <v>362429</v>
      </c>
      <c r="Q58" s="117">
        <f t="shared" si="29"/>
        <v>362429</v>
      </c>
      <c r="R58" s="117">
        <f t="shared" si="29"/>
        <v>362429</v>
      </c>
      <c r="S58" s="117">
        <f t="shared" si="29"/>
        <v>362429</v>
      </c>
      <c r="T58" s="117">
        <f t="shared" si="29"/>
        <v>362429</v>
      </c>
      <c r="U58" s="117">
        <f t="shared" si="29"/>
        <v>362429</v>
      </c>
      <c r="V58" s="164"/>
      <c r="X58" s="2">
        <v>21</v>
      </c>
      <c r="Y58" s="117">
        <f t="shared" si="6"/>
        <v>-23385</v>
      </c>
      <c r="Z58" s="117">
        <f t="shared" si="9"/>
        <v>-48500</v>
      </c>
      <c r="AA58" s="117">
        <f t="shared" si="10"/>
        <v>0</v>
      </c>
      <c r="AB58" s="117">
        <f t="shared" si="11"/>
        <v>0</v>
      </c>
      <c r="AC58" s="117">
        <f t="shared" si="12"/>
        <v>0</v>
      </c>
      <c r="AD58" s="117">
        <f t="shared" si="13"/>
        <v>0</v>
      </c>
      <c r="AE58" s="117">
        <f t="shared" si="14"/>
        <v>0</v>
      </c>
      <c r="AF58" s="117">
        <f t="shared" si="15"/>
        <v>0</v>
      </c>
    </row>
    <row r="59" spans="1:33">
      <c r="A59">
        <v>254</v>
      </c>
      <c r="B59" s="163" t="s">
        <v>476</v>
      </c>
      <c r="C59" s="117">
        <f>BS!G55</f>
        <v>-488807</v>
      </c>
      <c r="D59" s="117">
        <f>BS!H55</f>
        <v>-449962</v>
      </c>
      <c r="E59" s="117">
        <f>BS!I55</f>
        <v>-462784</v>
      </c>
      <c r="F59" s="117">
        <f>BS!J55</f>
        <v>-447509</v>
      </c>
      <c r="G59" s="117">
        <f>BS!K55</f>
        <v>-352315</v>
      </c>
      <c r="H59" s="117">
        <f>BS!L55</f>
        <v>-390541</v>
      </c>
      <c r="I59" s="117">
        <f>BS!M55</f>
        <v>-435474</v>
      </c>
      <c r="J59" s="117">
        <f>BS!N55</f>
        <v>-444497</v>
      </c>
      <c r="K59" s="117">
        <f>BS!O55</f>
        <v>-409692</v>
      </c>
      <c r="L59" s="117">
        <f>BS!P55</f>
        <v>-410129</v>
      </c>
      <c r="M59" s="117">
        <f>BS!Q55</f>
        <v>-416326</v>
      </c>
      <c r="N59" s="117">
        <f>BS!R55</f>
        <v>-378707</v>
      </c>
      <c r="O59" s="120">
        <f>BS!S55</f>
        <v>-361518</v>
      </c>
      <c r="P59" s="117">
        <f t="shared" si="30"/>
        <v>-361518</v>
      </c>
      <c r="Q59" s="117">
        <f t="shared" si="29"/>
        <v>-361518</v>
      </c>
      <c r="R59" s="117">
        <f t="shared" si="29"/>
        <v>-361518</v>
      </c>
      <c r="S59" s="117">
        <f t="shared" si="29"/>
        <v>-361518</v>
      </c>
      <c r="T59" s="117">
        <f t="shared" si="29"/>
        <v>-361518</v>
      </c>
      <c r="U59" s="117">
        <f t="shared" si="29"/>
        <v>-361518</v>
      </c>
      <c r="V59" s="164"/>
      <c r="X59" s="2">
        <v>3</v>
      </c>
      <c r="Y59" s="117">
        <f t="shared" si="6"/>
        <v>37619</v>
      </c>
      <c r="Z59" s="117">
        <f t="shared" si="9"/>
        <v>17189</v>
      </c>
      <c r="AA59" s="117">
        <f t="shared" si="10"/>
        <v>0</v>
      </c>
      <c r="AB59" s="117">
        <f t="shared" si="11"/>
        <v>0</v>
      </c>
      <c r="AC59" s="117">
        <f t="shared" si="12"/>
        <v>0</v>
      </c>
      <c r="AD59" s="117">
        <f t="shared" si="13"/>
        <v>0</v>
      </c>
      <c r="AE59" s="117">
        <f t="shared" si="14"/>
        <v>0</v>
      </c>
      <c r="AF59" s="117">
        <f t="shared" si="15"/>
        <v>0</v>
      </c>
    </row>
    <row r="60" spans="1:33">
      <c r="A60">
        <v>255</v>
      </c>
      <c r="B60" s="163" t="s">
        <v>428</v>
      </c>
      <c r="C60" s="117">
        <f>BS!G56</f>
        <v>0</v>
      </c>
      <c r="D60" s="117">
        <f>BS!H56</f>
        <v>0</v>
      </c>
      <c r="E60" s="117">
        <f>BS!I56</f>
        <v>27869</v>
      </c>
      <c r="F60" s="117">
        <f>BS!J56</f>
        <v>20869</v>
      </c>
      <c r="G60" s="117">
        <f>BS!K56</f>
        <v>20869</v>
      </c>
      <c r="H60" s="117">
        <f>BS!L56</f>
        <v>20869</v>
      </c>
      <c r="I60" s="117">
        <f>BS!M56</f>
        <v>53869</v>
      </c>
      <c r="J60" s="117">
        <f>BS!N56</f>
        <v>80869</v>
      </c>
      <c r="K60" s="117">
        <f>BS!O56</f>
        <v>90469</v>
      </c>
      <c r="L60" s="117">
        <f>BS!P56</f>
        <v>2100</v>
      </c>
      <c r="M60" s="117">
        <f>BS!Q56</f>
        <v>39220</v>
      </c>
      <c r="N60" s="117">
        <f>BS!R56</f>
        <v>1335500</v>
      </c>
      <c r="O60" s="120">
        <f>BS!S56</f>
        <v>1973500</v>
      </c>
      <c r="P60" s="117">
        <f t="shared" si="30"/>
        <v>1973500</v>
      </c>
      <c r="Q60" s="117">
        <f t="shared" si="29"/>
        <v>1973500</v>
      </c>
      <c r="R60" s="117">
        <f t="shared" si="29"/>
        <v>1973500</v>
      </c>
      <c r="S60" s="117">
        <f t="shared" si="29"/>
        <v>1973500</v>
      </c>
      <c r="T60" s="117">
        <f t="shared" si="29"/>
        <v>1973500</v>
      </c>
      <c r="U60" s="117">
        <f t="shared" si="29"/>
        <v>1973500</v>
      </c>
      <c r="V60" s="164"/>
      <c r="X60" s="2">
        <v>21</v>
      </c>
      <c r="Y60" s="117">
        <f t="shared" si="6"/>
        <v>1296280</v>
      </c>
      <c r="Z60" s="117">
        <f t="shared" si="9"/>
        <v>638000</v>
      </c>
      <c r="AA60" s="117">
        <f t="shared" si="10"/>
        <v>0</v>
      </c>
      <c r="AB60" s="117">
        <f t="shared" si="11"/>
        <v>0</v>
      </c>
      <c r="AC60" s="117">
        <f t="shared" si="12"/>
        <v>0</v>
      </c>
      <c r="AD60" s="117">
        <f t="shared" si="13"/>
        <v>0</v>
      </c>
      <c r="AE60" s="117">
        <f t="shared" si="14"/>
        <v>0</v>
      </c>
      <c r="AF60" s="117">
        <f t="shared" si="15"/>
        <v>0</v>
      </c>
    </row>
    <row r="61" spans="1:33" s="107" customFormat="1">
      <c r="B61" s="167" t="s">
        <v>477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  <c r="O61" s="120">
        <v>0</v>
      </c>
      <c r="P61" s="117">
        <f t="shared" si="30"/>
        <v>0</v>
      </c>
      <c r="Q61" s="157">
        <f>P61</f>
        <v>0</v>
      </c>
      <c r="R61" s="157">
        <f t="shared" si="29"/>
        <v>0</v>
      </c>
      <c r="S61" s="157">
        <f t="shared" si="29"/>
        <v>0</v>
      </c>
      <c r="T61" s="157">
        <f t="shared" si="29"/>
        <v>0</v>
      </c>
      <c r="U61" s="157">
        <f t="shared" si="29"/>
        <v>0</v>
      </c>
      <c r="V61" s="158"/>
      <c r="X61" s="2" t="s">
        <v>421</v>
      </c>
      <c r="Y61" s="157">
        <f t="shared" si="6"/>
        <v>0</v>
      </c>
      <c r="Z61" s="157">
        <f t="shared" si="9"/>
        <v>0</v>
      </c>
      <c r="AA61" s="157">
        <f t="shared" si="10"/>
        <v>0</v>
      </c>
      <c r="AB61" s="157">
        <f t="shared" si="11"/>
        <v>0</v>
      </c>
      <c r="AC61" s="157">
        <f t="shared" si="12"/>
        <v>0</v>
      </c>
      <c r="AD61" s="157">
        <f t="shared" si="13"/>
        <v>0</v>
      </c>
      <c r="AE61" s="157">
        <f t="shared" si="14"/>
        <v>0</v>
      </c>
      <c r="AF61" s="157">
        <f t="shared" si="15"/>
        <v>0</v>
      </c>
    </row>
    <row r="62" spans="1:33" s="107" customFormat="1">
      <c r="A62">
        <v>260</v>
      </c>
      <c r="B62" s="160" t="s">
        <v>478</v>
      </c>
      <c r="C62" s="117">
        <f>BS!G57</f>
        <v>1243375</v>
      </c>
      <c r="D62" s="117">
        <f>BS!H57</f>
        <v>1355438</v>
      </c>
      <c r="E62" s="117">
        <f>BS!I57</f>
        <v>1141597</v>
      </c>
      <c r="F62" s="117">
        <f>BS!J57</f>
        <v>895665</v>
      </c>
      <c r="G62" s="117">
        <f>BS!K57</f>
        <v>967676</v>
      </c>
      <c r="H62" s="117">
        <f>BS!L57</f>
        <v>785635</v>
      </c>
      <c r="I62" s="117">
        <f>BS!M57</f>
        <v>574377</v>
      </c>
      <c r="J62" s="117">
        <f>BS!N57</f>
        <v>530531</v>
      </c>
      <c r="K62" s="117">
        <f>BS!O57</f>
        <v>477646</v>
      </c>
      <c r="L62" s="117">
        <f>BS!P57</f>
        <v>611356</v>
      </c>
      <c r="M62" s="117">
        <f>BS!Q57</f>
        <v>788417</v>
      </c>
      <c r="N62" s="117">
        <f>BS!R57</f>
        <v>682575</v>
      </c>
      <c r="O62" s="120">
        <f>BS!S57</f>
        <v>778330</v>
      </c>
      <c r="P62" s="117">
        <f t="shared" ref="P62:U62" si="31">SUM(P63:P67)</f>
        <v>659341.50264375343</v>
      </c>
      <c r="Q62" s="117">
        <f t="shared" si="31"/>
        <v>674531.31502388197</v>
      </c>
      <c r="R62" s="117">
        <f t="shared" si="31"/>
        <v>705386.90961139894</v>
      </c>
      <c r="S62" s="117">
        <f t="shared" si="31"/>
        <v>722802.16259649163</v>
      </c>
      <c r="T62" s="117">
        <f t="shared" si="31"/>
        <v>751631.90354470117</v>
      </c>
      <c r="U62" s="117">
        <f t="shared" si="31"/>
        <v>770280.83289947652</v>
      </c>
      <c r="V62" s="158" t="s">
        <v>421</v>
      </c>
      <c r="X62" s="2" t="s">
        <v>421</v>
      </c>
      <c r="Y62" s="157">
        <f t="shared" si="6"/>
        <v>-105842</v>
      </c>
      <c r="Z62" s="157">
        <f t="shared" si="9"/>
        <v>95755</v>
      </c>
      <c r="AA62" s="157">
        <f t="shared" si="10"/>
        <v>-118988.49735624657</v>
      </c>
      <c r="AB62" s="157">
        <f t="shared" si="11"/>
        <v>15189.81238012854</v>
      </c>
      <c r="AC62" s="157">
        <f t="shared" si="12"/>
        <v>30855.594587516971</v>
      </c>
      <c r="AD62" s="157">
        <f t="shared" si="13"/>
        <v>17415.252985092695</v>
      </c>
      <c r="AE62" s="157">
        <f t="shared" si="14"/>
        <v>28829.740948209539</v>
      </c>
      <c r="AF62" s="157">
        <f t="shared" si="15"/>
        <v>18648.929354775348</v>
      </c>
    </row>
    <row r="63" spans="1:33">
      <c r="A63" s="107">
        <v>261</v>
      </c>
      <c r="B63" s="163" t="s">
        <v>479</v>
      </c>
      <c r="C63" s="117">
        <f>BS!G58</f>
        <v>1160881</v>
      </c>
      <c r="D63" s="117">
        <f>BS!H58</f>
        <v>1109120</v>
      </c>
      <c r="E63" s="117">
        <f>BS!I58</f>
        <v>626305</v>
      </c>
      <c r="F63" s="117">
        <f>BS!J58</f>
        <v>756356</v>
      </c>
      <c r="G63" s="117">
        <f>BS!K58</f>
        <v>816991</v>
      </c>
      <c r="H63" s="117">
        <f>BS!L58</f>
        <v>551795</v>
      </c>
      <c r="I63" s="117">
        <f>BS!M58</f>
        <v>328605</v>
      </c>
      <c r="J63" s="117">
        <f>BS!N58</f>
        <v>330639</v>
      </c>
      <c r="K63" s="117">
        <f>BS!O58</f>
        <v>263131</v>
      </c>
      <c r="L63" s="117">
        <f>BS!P58</f>
        <v>383451</v>
      </c>
      <c r="M63" s="117">
        <f>BS!Q58</f>
        <v>550304</v>
      </c>
      <c r="N63" s="117">
        <f>BS!R58</f>
        <v>455035</v>
      </c>
      <c r="O63" s="120">
        <f>BS!S58</f>
        <v>552323</v>
      </c>
      <c r="P63" s="117">
        <f>WC!O84</f>
        <v>483336.42189414479</v>
      </c>
      <c r="Q63" s="117">
        <f>WC!P84</f>
        <v>494044.56472207262</v>
      </c>
      <c r="R63" s="117">
        <f>WC!Q84</f>
        <v>516644.01779074274</v>
      </c>
      <c r="S63" s="117">
        <f>WC!R84</f>
        <v>529399.40940697968</v>
      </c>
      <c r="T63" s="117">
        <f>WC!S84</f>
        <v>550515.07372169581</v>
      </c>
      <c r="U63" s="117">
        <f>WC!T84</f>
        <v>564174.04252032959</v>
      </c>
      <c r="V63" s="164"/>
      <c r="X63" s="2">
        <v>21</v>
      </c>
      <c r="Y63" s="117">
        <f t="shared" si="6"/>
        <v>-95269</v>
      </c>
      <c r="Z63" s="117">
        <f t="shared" si="9"/>
        <v>97288</v>
      </c>
      <c r="AA63" s="117">
        <f t="shared" si="10"/>
        <v>-68986.578105855209</v>
      </c>
      <c r="AB63" s="117">
        <f t="shared" si="11"/>
        <v>10708.142827927833</v>
      </c>
      <c r="AC63" s="117">
        <f t="shared" si="12"/>
        <v>22599.453068670118</v>
      </c>
      <c r="AD63" s="117">
        <f t="shared" si="13"/>
        <v>12755.391616236942</v>
      </c>
      <c r="AE63" s="117">
        <f t="shared" si="14"/>
        <v>21115.664314716123</v>
      </c>
      <c r="AF63" s="117">
        <f t="shared" si="15"/>
        <v>13658.968798633781</v>
      </c>
    </row>
    <row r="64" spans="1:33">
      <c r="A64" s="107">
        <v>262</v>
      </c>
      <c r="B64" s="163" t="s">
        <v>480</v>
      </c>
      <c r="C64" s="117">
        <f>BS!G59</f>
        <v>58862</v>
      </c>
      <c r="D64" s="117">
        <f>BS!H59</f>
        <v>217944</v>
      </c>
      <c r="E64" s="117">
        <f>BS!I59</f>
        <v>486985</v>
      </c>
      <c r="F64" s="117">
        <f>BS!J59</f>
        <v>121283</v>
      </c>
      <c r="G64" s="117">
        <f>BS!K59</f>
        <v>136822</v>
      </c>
      <c r="H64" s="117">
        <f>BS!L59</f>
        <v>184534</v>
      </c>
      <c r="I64" s="117">
        <f>BS!M59</f>
        <v>214736</v>
      </c>
      <c r="J64" s="117">
        <f>BS!N59</f>
        <v>170770</v>
      </c>
      <c r="K64" s="117">
        <f>BS!O59</f>
        <v>194842</v>
      </c>
      <c r="L64" s="117">
        <f>BS!P59</f>
        <v>208459</v>
      </c>
      <c r="M64" s="117">
        <f>BS!Q59</f>
        <v>206420</v>
      </c>
      <c r="N64" s="117">
        <f>BS!R59</f>
        <v>198507</v>
      </c>
      <c r="O64" s="120">
        <f>BS!S59</f>
        <v>191956</v>
      </c>
      <c r="P64" s="117">
        <f>WC!O85</f>
        <v>160987.44269753923</v>
      </c>
      <c r="Q64" s="117">
        <f>WC!P85</f>
        <v>165086.71367966855</v>
      </c>
      <c r="R64" s="117">
        <f>WC!Q85</f>
        <v>172638.39971059063</v>
      </c>
      <c r="S64" s="117">
        <f>WC!R85</f>
        <v>176900.65828802556</v>
      </c>
      <c r="T64" s="117">
        <f>WC!S85</f>
        <v>183956.53113391055</v>
      </c>
      <c r="U64" s="117">
        <f>WC!T85</f>
        <v>188520.7231769666</v>
      </c>
      <c r="V64" s="164"/>
      <c r="X64" s="2">
        <v>21</v>
      </c>
      <c r="Y64" s="117">
        <f t="shared" si="6"/>
        <v>-7913</v>
      </c>
      <c r="Z64" s="117">
        <f t="shared" si="9"/>
        <v>-6551</v>
      </c>
      <c r="AA64" s="117">
        <f t="shared" si="10"/>
        <v>-30968.557302460773</v>
      </c>
      <c r="AB64" s="117">
        <f t="shared" si="11"/>
        <v>4099.2709821293247</v>
      </c>
      <c r="AC64" s="117">
        <f t="shared" si="12"/>
        <v>7551.6860309220792</v>
      </c>
      <c r="AD64" s="117">
        <f t="shared" si="13"/>
        <v>4262.2585774349282</v>
      </c>
      <c r="AE64" s="117">
        <f t="shared" si="14"/>
        <v>7055.8728458849946</v>
      </c>
      <c r="AF64" s="117">
        <f t="shared" si="15"/>
        <v>4564.1920430560422</v>
      </c>
    </row>
    <row r="65" spans="1:32" ht="15.75" customHeight="1">
      <c r="A65">
        <v>263</v>
      </c>
      <c r="B65" s="163" t="s">
        <v>481</v>
      </c>
      <c r="C65" s="117">
        <v>0</v>
      </c>
      <c r="D65" s="117">
        <v>0</v>
      </c>
      <c r="E65" s="117">
        <f>BS!I60</f>
        <v>28307</v>
      </c>
      <c r="F65" s="117">
        <f>BS!J60</f>
        <v>18027</v>
      </c>
      <c r="G65" s="117">
        <f>BS!K60</f>
        <v>13862</v>
      </c>
      <c r="H65" s="117">
        <f>BS!L60</f>
        <v>49306</v>
      </c>
      <c r="I65" s="117">
        <f>BS!M60</f>
        <v>31036</v>
      </c>
      <c r="J65" s="117">
        <f>BS!N60</f>
        <v>29122</v>
      </c>
      <c r="K65" s="117">
        <f>BS!O60</f>
        <v>19673</v>
      </c>
      <c r="L65" s="117">
        <f>BS!P60</f>
        <v>19446</v>
      </c>
      <c r="M65" s="117">
        <f>BS!Q60</f>
        <v>31693</v>
      </c>
      <c r="N65" s="117">
        <f>BS!R60</f>
        <v>29033</v>
      </c>
      <c r="O65" s="120">
        <f>BS!S60</f>
        <v>34050</v>
      </c>
      <c r="P65" s="117">
        <f>WC!O86</f>
        <v>15017.638052069462</v>
      </c>
      <c r="Q65" s="117">
        <f>WC!P86</f>
        <v>15400.036622140733</v>
      </c>
      <c r="R65" s="117">
        <f>WC!Q86</f>
        <v>16104.492110065508</v>
      </c>
      <c r="S65" s="117">
        <f>WC!R86</f>
        <v>16502.094901486358</v>
      </c>
      <c r="T65" s="117">
        <f>WC!S86</f>
        <v>17160.298689094856</v>
      </c>
      <c r="U65" s="117">
        <f>WC!T86</f>
        <v>17586.067202180249</v>
      </c>
      <c r="V65" s="164"/>
      <c r="X65" s="2">
        <v>21</v>
      </c>
      <c r="Y65" s="117">
        <f t="shared" si="6"/>
        <v>-2660</v>
      </c>
      <c r="Z65" s="117">
        <f t="shared" si="9"/>
        <v>5017</v>
      </c>
      <c r="AA65" s="117">
        <f t="shared" si="10"/>
        <v>-19032.361947930538</v>
      </c>
      <c r="AB65" s="117">
        <f t="shared" si="11"/>
        <v>382.39857007127102</v>
      </c>
      <c r="AC65" s="117">
        <f t="shared" si="12"/>
        <v>704.4554879247753</v>
      </c>
      <c r="AD65" s="117">
        <f t="shared" si="13"/>
        <v>397.60279142084983</v>
      </c>
      <c r="AE65" s="117">
        <f t="shared" si="14"/>
        <v>658.20378760849781</v>
      </c>
      <c r="AF65" s="117">
        <f t="shared" si="15"/>
        <v>425.76851308539335</v>
      </c>
    </row>
    <row r="66" spans="1:32">
      <c r="A66">
        <v>268</v>
      </c>
      <c r="B66" s="163" t="s">
        <v>482</v>
      </c>
      <c r="C66" s="117">
        <f>BS!G60</f>
        <v>23632</v>
      </c>
      <c r="D66" s="117">
        <f>BS!H60</f>
        <v>28374</v>
      </c>
      <c r="E66">
        <v>8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20">
        <v>0</v>
      </c>
      <c r="P66" s="117">
        <f>WC!O87</f>
        <v>0</v>
      </c>
      <c r="Q66" s="117">
        <f>WC!P87</f>
        <v>0</v>
      </c>
      <c r="R66" s="117">
        <f>WC!Q87</f>
        <v>0</v>
      </c>
      <c r="S66" s="117">
        <f>WC!R87</f>
        <v>0</v>
      </c>
      <c r="T66" s="117">
        <f>WC!S87</f>
        <v>0</v>
      </c>
      <c r="U66" s="117">
        <f>WC!T87</f>
        <v>0</v>
      </c>
      <c r="V66" s="164"/>
      <c r="X66" s="2">
        <v>21</v>
      </c>
      <c r="Y66" s="117">
        <f t="shared" si="6"/>
        <v>0</v>
      </c>
      <c r="Z66" s="117">
        <f t="shared" si="9"/>
        <v>0</v>
      </c>
      <c r="AA66" s="117">
        <f t="shared" si="10"/>
        <v>0</v>
      </c>
      <c r="AB66" s="117">
        <f t="shared" si="11"/>
        <v>0</v>
      </c>
      <c r="AC66" s="117">
        <f t="shared" si="12"/>
        <v>0</v>
      </c>
      <c r="AD66" s="117">
        <f t="shared" si="13"/>
        <v>0</v>
      </c>
      <c r="AE66" s="117">
        <f t="shared" si="14"/>
        <v>0</v>
      </c>
      <c r="AF66" s="117">
        <f t="shared" si="15"/>
        <v>0</v>
      </c>
    </row>
    <row r="67" spans="1:32">
      <c r="A67">
        <v>269</v>
      </c>
      <c r="B67" s="163" t="s">
        <v>483</v>
      </c>
      <c r="C67" s="117">
        <v>0</v>
      </c>
      <c r="D67" s="117">
        <v>0</v>
      </c>
      <c r="E67" s="117">
        <v>0</v>
      </c>
      <c r="F67" s="117">
        <v>0</v>
      </c>
      <c r="G67" s="117">
        <v>0</v>
      </c>
      <c r="H67" s="117">
        <v>0</v>
      </c>
      <c r="I67" s="117">
        <v>0</v>
      </c>
      <c r="J67" s="117">
        <v>0</v>
      </c>
      <c r="K67" s="117">
        <v>0</v>
      </c>
      <c r="L67" s="117">
        <v>0</v>
      </c>
      <c r="M67" s="117">
        <v>0</v>
      </c>
      <c r="N67" s="117">
        <v>0</v>
      </c>
      <c r="O67" s="120">
        <v>0</v>
      </c>
      <c r="P67" s="117">
        <f>O67</f>
        <v>0</v>
      </c>
      <c r="Q67" s="117">
        <f t="shared" ref="Q67:R67" si="32">P67</f>
        <v>0</v>
      </c>
      <c r="R67" s="117">
        <f t="shared" si="32"/>
        <v>0</v>
      </c>
      <c r="S67" s="117">
        <f>R67</f>
        <v>0</v>
      </c>
      <c r="T67" s="117">
        <f>S67</f>
        <v>0</v>
      </c>
      <c r="U67" s="117">
        <f>T67</f>
        <v>0</v>
      </c>
      <c r="V67" s="164"/>
      <c r="X67" s="2">
        <v>21</v>
      </c>
      <c r="Y67" s="117">
        <f t="shared" si="6"/>
        <v>0</v>
      </c>
      <c r="Z67" s="117">
        <f t="shared" si="9"/>
        <v>0</v>
      </c>
      <c r="AA67" s="117">
        <f t="shared" si="10"/>
        <v>0</v>
      </c>
      <c r="AB67" s="117">
        <f t="shared" si="11"/>
        <v>0</v>
      </c>
      <c r="AC67" s="117">
        <f t="shared" si="12"/>
        <v>0</v>
      </c>
      <c r="AD67" s="117">
        <f t="shared" si="13"/>
        <v>0</v>
      </c>
      <c r="AE67" s="117">
        <f t="shared" si="14"/>
        <v>0</v>
      </c>
      <c r="AF67" s="117">
        <f t="shared" si="15"/>
        <v>0</v>
      </c>
    </row>
    <row r="68" spans="1:32" s="107" customFormat="1">
      <c r="A68">
        <v>270</v>
      </c>
      <c r="B68" s="168" t="s">
        <v>484</v>
      </c>
      <c r="C68" s="157">
        <f>BS!G62</f>
        <v>18814767</v>
      </c>
      <c r="D68" s="157">
        <f>BS!H62</f>
        <v>21674037</v>
      </c>
      <c r="E68" s="157">
        <f>BS!I62</f>
        <v>21571926</v>
      </c>
      <c r="F68" s="157">
        <f>BS!J62</f>
        <v>19192865</v>
      </c>
      <c r="G68" s="157">
        <f>BS!K62</f>
        <v>22013689</v>
      </c>
      <c r="H68" s="157">
        <f>BS!L62</f>
        <v>22366743</v>
      </c>
      <c r="I68" s="157">
        <f>BS!M62</f>
        <v>26962476</v>
      </c>
      <c r="J68" s="157">
        <f>BS!N62</f>
        <v>27374973</v>
      </c>
      <c r="K68" s="157">
        <f>BS!O62</f>
        <v>30487024</v>
      </c>
      <c r="L68" s="157">
        <f>BS!P62</f>
        <v>34465076</v>
      </c>
      <c r="M68" s="157">
        <f>BS!Q62</f>
        <v>34056625</v>
      </c>
      <c r="N68" s="157">
        <f>BS!R62</f>
        <v>33439406</v>
      </c>
      <c r="O68" s="183">
        <f>BS!S62</f>
        <v>32597354</v>
      </c>
      <c r="P68" s="157">
        <f>SUM(P3,P29)</f>
        <v>31392669.762843996</v>
      </c>
      <c r="Q68" s="157">
        <f t="shared" ref="Q68:T68" si="33">SUM(Q3,Q29)</f>
        <v>31025232.754139159</v>
      </c>
      <c r="R68" s="157">
        <f t="shared" si="33"/>
        <v>31831626.902020615</v>
      </c>
      <c r="S68" s="157">
        <f t="shared" si="33"/>
        <v>32298619.832074814</v>
      </c>
      <c r="T68" s="157">
        <f t="shared" si="33"/>
        <v>33326358.476759426</v>
      </c>
      <c r="U68" s="157">
        <f>SUM(U3,U29)</f>
        <v>34482459.416320793</v>
      </c>
      <c r="V68" s="158"/>
      <c r="X68" s="2" t="s">
        <v>421</v>
      </c>
      <c r="Y68" s="157">
        <f t="shared" ref="Y68:Y124" si="34">N68-M68</f>
        <v>-617219</v>
      </c>
      <c r="Z68" s="157">
        <f>O68-N68</f>
        <v>-842052</v>
      </c>
      <c r="AA68" s="157">
        <f t="shared" si="10"/>
        <v>-1204684.2371560037</v>
      </c>
      <c r="AB68" s="157">
        <f t="shared" si="11"/>
        <v>-367437.00870483741</v>
      </c>
      <c r="AC68" s="157">
        <f t="shared" si="12"/>
        <v>806394.14788145572</v>
      </c>
      <c r="AD68" s="157">
        <f t="shared" si="13"/>
        <v>466992.93005419895</v>
      </c>
      <c r="AE68" s="157">
        <f t="shared" si="14"/>
        <v>1027738.6446846128</v>
      </c>
      <c r="AF68" s="157">
        <f t="shared" si="15"/>
        <v>1156100.939561367</v>
      </c>
    </row>
    <row r="69" spans="1:32" s="107" customFormat="1">
      <c r="A69" s="107">
        <v>300</v>
      </c>
      <c r="B69" s="156" t="s">
        <v>485</v>
      </c>
      <c r="C69" s="117">
        <f>BS!G64</f>
        <v>7713292</v>
      </c>
      <c r="D69" s="117">
        <f>BS!H64</f>
        <v>8690568</v>
      </c>
      <c r="E69" s="117">
        <f>BS!I64</f>
        <v>7507222</v>
      </c>
      <c r="F69" s="117">
        <f>BS!J64</f>
        <v>6759685</v>
      </c>
      <c r="G69" s="117">
        <f>BS!K64</f>
        <v>7593163</v>
      </c>
      <c r="H69" s="117">
        <f>BS!L64</f>
        <v>6254837</v>
      </c>
      <c r="I69" s="117">
        <f>BS!M64</f>
        <v>6886229</v>
      </c>
      <c r="J69" s="117">
        <f>BS!N64</f>
        <v>6159696</v>
      </c>
      <c r="K69" s="117">
        <f>BS!O64</f>
        <v>7892239</v>
      </c>
      <c r="L69" s="117">
        <f>BS!P64</f>
        <v>9874230</v>
      </c>
      <c r="M69" s="117">
        <f>BS!Q64</f>
        <v>8571467</v>
      </c>
      <c r="N69" s="117">
        <f>BS!R64</f>
        <v>9002313</v>
      </c>
      <c r="O69" s="120">
        <f>BS!S64</f>
        <v>9597539</v>
      </c>
      <c r="P69" s="117">
        <f>SUM(P70,P85)</f>
        <v>8782869.742186524</v>
      </c>
      <c r="Q69" s="117">
        <f t="shared" ref="Q69:U69" si="35">SUM(Q70,Q85)</f>
        <v>8627404.7709285207</v>
      </c>
      <c r="R69" s="117">
        <f t="shared" si="35"/>
        <v>9184072.1479703058</v>
      </c>
      <c r="S69" s="117">
        <f t="shared" si="35"/>
        <v>9280130.2542673126</v>
      </c>
      <c r="T69" s="117">
        <f t="shared" si="35"/>
        <v>9671543.3624962866</v>
      </c>
      <c r="U69" s="117">
        <f t="shared" si="35"/>
        <v>9951327.1060122866</v>
      </c>
      <c r="V69" s="158"/>
      <c r="X69" s="2" t="s">
        <v>421</v>
      </c>
      <c r="Y69" s="157">
        <f t="shared" si="34"/>
        <v>430846</v>
      </c>
      <c r="Z69" s="157">
        <f t="shared" si="9"/>
        <v>595226</v>
      </c>
      <c r="AA69" s="157">
        <f t="shared" si="10"/>
        <v>-814669.25781347603</v>
      </c>
      <c r="AB69" s="157">
        <f t="shared" si="11"/>
        <v>-155464.97125800326</v>
      </c>
      <c r="AC69" s="157">
        <f t="shared" si="12"/>
        <v>556667.37704178505</v>
      </c>
      <c r="AD69" s="157">
        <f t="shared" si="13"/>
        <v>96058.106297006831</v>
      </c>
      <c r="AE69" s="157">
        <f t="shared" si="14"/>
        <v>391413.10822897404</v>
      </c>
      <c r="AF69" s="157">
        <f t="shared" si="15"/>
        <v>279783.74351599999</v>
      </c>
    </row>
    <row r="70" spans="1:32" s="107" customFormat="1">
      <c r="A70" s="107">
        <v>310</v>
      </c>
      <c r="B70" s="160" t="s">
        <v>486</v>
      </c>
      <c r="C70" s="117">
        <f>BS!G65</f>
        <v>6146682</v>
      </c>
      <c r="D70" s="117">
        <f>BS!H65</f>
        <v>7559893</v>
      </c>
      <c r="E70" s="117">
        <f>BS!I65</f>
        <v>6759695</v>
      </c>
      <c r="F70" s="117">
        <f>BS!J65</f>
        <v>6473889</v>
      </c>
      <c r="G70" s="117">
        <f>BS!K65</f>
        <v>7401585</v>
      </c>
      <c r="H70" s="117">
        <f>BS!L65</f>
        <v>5925697</v>
      </c>
      <c r="I70" s="117">
        <f>BS!M65</f>
        <v>6087830</v>
      </c>
      <c r="J70" s="117">
        <f>BS!N65</f>
        <v>5173043</v>
      </c>
      <c r="K70" s="117">
        <f>BS!O65</f>
        <v>7258021</v>
      </c>
      <c r="L70" s="117">
        <f>BS!P65</f>
        <v>9213862</v>
      </c>
      <c r="M70" s="117">
        <f>BS!Q65</f>
        <v>8224608</v>
      </c>
      <c r="N70" s="117">
        <f>BS!R65</f>
        <v>8657141</v>
      </c>
      <c r="O70" s="120">
        <f>BS!S65</f>
        <v>8880281</v>
      </c>
      <c r="P70" s="117">
        <f>SUM(P71:P84)</f>
        <v>8068629.7421865249</v>
      </c>
      <c r="Q70" s="117">
        <f t="shared" ref="Q70:R70" si="36">SUM(Q71:Q84)</f>
        <v>7916180.7709285198</v>
      </c>
      <c r="R70" s="117">
        <f t="shared" si="36"/>
        <v>8475864.1479703058</v>
      </c>
      <c r="S70" s="117">
        <f t="shared" ref="S70:U70" si="37">SUM(S71:S84)</f>
        <v>8574938.2542673126</v>
      </c>
      <c r="T70" s="117">
        <f t="shared" si="37"/>
        <v>8969367.3624962866</v>
      </c>
      <c r="U70" s="117">
        <f t="shared" si="37"/>
        <v>9252167.1060122866</v>
      </c>
      <c r="V70" s="158"/>
      <c r="X70" s="2" t="s">
        <v>421</v>
      </c>
      <c r="Y70" s="157">
        <f t="shared" si="34"/>
        <v>432533</v>
      </c>
      <c r="Z70" s="157">
        <f t="shared" si="9"/>
        <v>223140</v>
      </c>
      <c r="AA70" s="157">
        <f t="shared" si="10"/>
        <v>-811651.25781347509</v>
      </c>
      <c r="AB70" s="157">
        <f t="shared" si="11"/>
        <v>-152448.97125800513</v>
      </c>
      <c r="AC70" s="157">
        <f t="shared" si="12"/>
        <v>559683.37704178598</v>
      </c>
      <c r="AD70" s="157">
        <f t="shared" si="13"/>
        <v>99074.106297006831</v>
      </c>
      <c r="AE70" s="157">
        <f t="shared" si="14"/>
        <v>394429.10822897404</v>
      </c>
      <c r="AF70" s="157">
        <f t="shared" si="15"/>
        <v>282799.74351599999</v>
      </c>
    </row>
    <row r="71" spans="1:32">
      <c r="A71">
        <v>311</v>
      </c>
      <c r="B71" s="163" t="s">
        <v>487</v>
      </c>
      <c r="C71" s="117">
        <f>BS!G68</f>
        <v>1854719</v>
      </c>
      <c r="D71" s="117">
        <f>BS!H68</f>
        <v>1792271</v>
      </c>
      <c r="E71" s="117">
        <f>BS!I68</f>
        <v>1558016</v>
      </c>
      <c r="F71" s="117">
        <f>BS!J68</f>
        <v>1876186</v>
      </c>
      <c r="G71" s="117">
        <f>BS!K68</f>
        <v>2020400</v>
      </c>
      <c r="H71" s="117">
        <f>BS!L68</f>
        <v>2027262</v>
      </c>
      <c r="I71" s="117">
        <f>BS!M68</f>
        <v>2427068</v>
      </c>
      <c r="J71" s="117">
        <f>BS!N68</f>
        <v>1652907</v>
      </c>
      <c r="K71" s="117">
        <f>BS!O68</f>
        <v>2400248</v>
      </c>
      <c r="L71" s="117">
        <f>BS!P68</f>
        <v>2766280</v>
      </c>
      <c r="M71" s="117">
        <f>BS!Q68</f>
        <v>2476373</v>
      </c>
      <c r="N71" s="117">
        <f>BS!R68</f>
        <v>2642248</v>
      </c>
      <c r="O71" s="120">
        <f>BS!S68</f>
        <v>2403618</v>
      </c>
      <c r="P71" s="165">
        <f>WC!O26</f>
        <v>2314532.7209856268</v>
      </c>
      <c r="Q71" s="165">
        <f>WC!P26</f>
        <v>2413960.9344009906</v>
      </c>
      <c r="R71" s="165">
        <f>WC!Q26</f>
        <v>2565343.9327755305</v>
      </c>
      <c r="S71" s="165">
        <f>WC!R26</f>
        <v>2586235.7058208715</v>
      </c>
      <c r="T71" s="165">
        <f>WC!S26</f>
        <v>2704266.7863548324</v>
      </c>
      <c r="U71" s="165">
        <f>WC!T26</f>
        <v>2776276.723488695</v>
      </c>
      <c r="V71" s="164" t="s">
        <v>421</v>
      </c>
      <c r="X71" s="2">
        <v>11</v>
      </c>
      <c r="Y71" s="117">
        <f t="shared" si="34"/>
        <v>165875</v>
      </c>
      <c r="Z71" s="117">
        <f t="shared" si="9"/>
        <v>-238630</v>
      </c>
      <c r="AA71" s="117">
        <f>P71-O71</f>
        <v>-89085.279014373198</v>
      </c>
      <c r="AB71" s="117">
        <f t="shared" si="11"/>
        <v>99428.213415363804</v>
      </c>
      <c r="AC71" s="117">
        <f t="shared" si="12"/>
        <v>151382.99837453989</v>
      </c>
      <c r="AD71" s="117">
        <f t="shared" si="13"/>
        <v>20891.773045341019</v>
      </c>
      <c r="AE71" s="117">
        <f t="shared" si="14"/>
        <v>118031.08053396083</v>
      </c>
      <c r="AF71" s="117">
        <f t="shared" si="15"/>
        <v>72009.937133862637</v>
      </c>
    </row>
    <row r="72" spans="1:32">
      <c r="A72">
        <v>312</v>
      </c>
      <c r="B72" s="163" t="s">
        <v>488</v>
      </c>
      <c r="C72" s="117">
        <f>BS!G69</f>
        <v>40059</v>
      </c>
      <c r="D72" s="117">
        <f>BS!H69</f>
        <v>77000</v>
      </c>
      <c r="E72" s="117">
        <f>BS!I69</f>
        <v>381636</v>
      </c>
      <c r="F72" s="117">
        <f>BS!J69</f>
        <v>490296</v>
      </c>
      <c r="G72" s="117">
        <f>BS!K69</f>
        <v>89251</v>
      </c>
      <c r="H72" s="117">
        <f>BS!L69</f>
        <v>110463</v>
      </c>
      <c r="I72" s="117">
        <f>BS!M69</f>
        <v>42587</v>
      </c>
      <c r="J72" s="117">
        <f>BS!N69</f>
        <v>64715</v>
      </c>
      <c r="K72" s="117">
        <f>BS!O69</f>
        <v>63253</v>
      </c>
      <c r="L72" s="117">
        <f>BS!P69</f>
        <v>36931</v>
      </c>
      <c r="M72" s="117">
        <f>BS!Q69</f>
        <v>44801</v>
      </c>
      <c r="N72" s="117">
        <f>BS!R69</f>
        <v>94511</v>
      </c>
      <c r="O72" s="120">
        <f>BS!S69</f>
        <v>84401</v>
      </c>
      <c r="P72" s="165">
        <f>WC!O27</f>
        <v>84086.111570500085</v>
      </c>
      <c r="Q72" s="165">
        <f>WC!P27</f>
        <v>86227.221158833883</v>
      </c>
      <c r="R72" s="165">
        <f>WC!Q27</f>
        <v>91595.478178528341</v>
      </c>
      <c r="S72" s="165">
        <f>WC!R27</f>
        <v>92884.169968015849</v>
      </c>
      <c r="T72" s="165">
        <f>WC!S27</f>
        <v>96757.538315794111</v>
      </c>
      <c r="U72" s="165">
        <f>WC!T27</f>
        <v>99388.568996221904</v>
      </c>
      <c r="V72" s="164" t="s">
        <v>421</v>
      </c>
      <c r="X72" s="2">
        <v>11</v>
      </c>
      <c r="Y72" s="117">
        <f t="shared" si="34"/>
        <v>49710</v>
      </c>
      <c r="Z72" s="117">
        <f t="shared" si="9"/>
        <v>-10110</v>
      </c>
      <c r="AA72" s="117">
        <f t="shared" si="10"/>
        <v>-314.88842949991522</v>
      </c>
      <c r="AB72" s="117">
        <f t="shared" si="11"/>
        <v>2141.1095883337985</v>
      </c>
      <c r="AC72" s="117">
        <f t="shared" si="12"/>
        <v>5368.257019694458</v>
      </c>
      <c r="AD72" s="117">
        <f t="shared" si="13"/>
        <v>1288.6917894875078</v>
      </c>
      <c r="AE72" s="117">
        <f t="shared" si="14"/>
        <v>3873.3683477782615</v>
      </c>
      <c r="AF72" s="117">
        <f t="shared" si="15"/>
        <v>2631.0306804277934</v>
      </c>
    </row>
    <row r="73" spans="1:32">
      <c r="A73">
        <v>313</v>
      </c>
      <c r="B73" s="163" t="s">
        <v>489</v>
      </c>
      <c r="C73" s="117">
        <f>BS!G70</f>
        <v>985612</v>
      </c>
      <c r="D73" s="117">
        <f>BS!H70</f>
        <v>2359357</v>
      </c>
      <c r="E73" s="117">
        <f>BS!I70</f>
        <v>857038</v>
      </c>
      <c r="F73" s="117">
        <f>BS!J70</f>
        <v>803769</v>
      </c>
      <c r="G73" s="117">
        <f>BS!K70</f>
        <v>1209757</v>
      </c>
      <c r="H73" s="117">
        <f>BS!L70</f>
        <v>1100614</v>
      </c>
      <c r="I73" s="117">
        <f>BS!M70</f>
        <v>855960</v>
      </c>
      <c r="J73" s="117">
        <f>BS!N70</f>
        <v>1257298</v>
      </c>
      <c r="K73" s="117">
        <f>BS!O70</f>
        <v>1416975</v>
      </c>
      <c r="L73" s="117">
        <f>BS!P70</f>
        <v>1621018</v>
      </c>
      <c r="M73" s="117">
        <f>BS!Q70</f>
        <v>1358516</v>
      </c>
      <c r="N73" s="117">
        <f>BS!R70</f>
        <v>1320861</v>
      </c>
      <c r="O73" s="120">
        <f>BS!S70</f>
        <v>1625986</v>
      </c>
      <c r="P73" s="165">
        <f>WC!O28</f>
        <v>1408077.2558608991</v>
      </c>
      <c r="Q73" s="165">
        <f>WC!P28</f>
        <v>1443931.5444863257</v>
      </c>
      <c r="R73" s="165">
        <f>WC!Q28</f>
        <v>1613138.4576579449</v>
      </c>
      <c r="S73" s="165">
        <f>WC!R28</f>
        <v>1582496.5465976014</v>
      </c>
      <c r="T73" s="165">
        <f>WC!S28</f>
        <v>1657829.3385222007</v>
      </c>
      <c r="U73" s="165">
        <f>WC!T28</f>
        <v>1715650.4842617211</v>
      </c>
      <c r="V73" s="164" t="s">
        <v>421</v>
      </c>
      <c r="X73" s="2">
        <v>11</v>
      </c>
      <c r="Y73" s="117">
        <f t="shared" si="34"/>
        <v>-37655</v>
      </c>
      <c r="Z73" s="117">
        <f t="shared" si="9"/>
        <v>305125</v>
      </c>
      <c r="AA73" s="117">
        <f>P73-O73</f>
        <v>-217908.74413910089</v>
      </c>
      <c r="AB73" s="117">
        <f t="shared" si="11"/>
        <v>35854.28862542659</v>
      </c>
      <c r="AC73" s="117">
        <f t="shared" si="12"/>
        <v>169206.91317161918</v>
      </c>
      <c r="AD73" s="117">
        <f t="shared" si="13"/>
        <v>-30641.911060343497</v>
      </c>
      <c r="AE73" s="117">
        <f t="shared" si="14"/>
        <v>75332.791924599325</v>
      </c>
      <c r="AF73" s="117">
        <f t="shared" si="15"/>
        <v>57821.145739520434</v>
      </c>
    </row>
    <row r="74" spans="1:32">
      <c r="A74">
        <v>314</v>
      </c>
      <c r="B74" s="163" t="s">
        <v>490</v>
      </c>
      <c r="C74" s="117">
        <f>BS!G71</f>
        <v>185668</v>
      </c>
      <c r="D74" s="117">
        <f>BS!H71</f>
        <v>263921</v>
      </c>
      <c r="E74" s="117">
        <f>BS!I71</f>
        <v>217026</v>
      </c>
      <c r="F74" s="117">
        <f>BS!J71</f>
        <v>265149</v>
      </c>
      <c r="G74" s="117">
        <f>BS!K71</f>
        <v>222226</v>
      </c>
      <c r="H74" s="117">
        <f>BS!L71</f>
        <v>308694</v>
      </c>
      <c r="I74" s="117">
        <f>BS!M71</f>
        <v>389619</v>
      </c>
      <c r="J74" s="117">
        <f>BS!N71</f>
        <v>360588</v>
      </c>
      <c r="K74" s="117">
        <f>BS!O71</f>
        <v>218498</v>
      </c>
      <c r="L74" s="117">
        <f>BS!P71</f>
        <v>190034</v>
      </c>
      <c r="M74" s="117">
        <f>BS!Q71</f>
        <v>235426</v>
      </c>
      <c r="N74" s="117">
        <f>BS!R71</f>
        <v>128685</v>
      </c>
      <c r="O74" s="120">
        <f>BS!S71</f>
        <v>130883</v>
      </c>
      <c r="P74" s="165">
        <f>WC!O29</f>
        <v>151472.25389806769</v>
      </c>
      <c r="Q74" s="165">
        <f>WC!P29</f>
        <v>135740.90961236149</v>
      </c>
      <c r="R74" s="165">
        <f>WC!Q29</f>
        <v>150280.21032559345</v>
      </c>
      <c r="S74" s="165">
        <f>WC!R29</f>
        <v>155296.73114618668</v>
      </c>
      <c r="T74" s="165">
        <f>WC!S29</f>
        <v>157626.62730679064</v>
      </c>
      <c r="U74" s="165">
        <f>WC!T29</f>
        <v>163713.62491678572</v>
      </c>
      <c r="V74" s="164" t="s">
        <v>421</v>
      </c>
      <c r="X74" s="2">
        <v>11</v>
      </c>
      <c r="Y74" s="117">
        <f t="shared" si="34"/>
        <v>-106741</v>
      </c>
      <c r="Z74" s="117">
        <f t="shared" si="9"/>
        <v>2198</v>
      </c>
      <c r="AA74" s="117">
        <f t="shared" si="10"/>
        <v>20589.253898067691</v>
      </c>
      <c r="AB74" s="117">
        <f t="shared" si="11"/>
        <v>-15731.344285706204</v>
      </c>
      <c r="AC74" s="117">
        <f t="shared" si="12"/>
        <v>14539.300713231962</v>
      </c>
      <c r="AD74" s="117">
        <f t="shared" si="13"/>
        <v>5016.5208205932286</v>
      </c>
      <c r="AE74" s="117">
        <f t="shared" si="14"/>
        <v>2329.8961606039666</v>
      </c>
      <c r="AF74" s="117">
        <f t="shared" si="15"/>
        <v>6086.9976099950727</v>
      </c>
    </row>
    <row r="75" spans="1:32">
      <c r="A75">
        <v>315</v>
      </c>
      <c r="B75" s="163" t="s">
        <v>491</v>
      </c>
      <c r="C75" s="117">
        <f>BS!G72</f>
        <v>455032</v>
      </c>
      <c r="D75" s="117">
        <f>BS!H72</f>
        <v>470125</v>
      </c>
      <c r="E75" s="117">
        <f>BS!I72</f>
        <v>358289</v>
      </c>
      <c r="F75" s="117">
        <f>BS!J72</f>
        <v>375962</v>
      </c>
      <c r="G75" s="117">
        <f>BS!K72</f>
        <v>196526</v>
      </c>
      <c r="H75" s="117">
        <f>BS!L72</f>
        <v>473169</v>
      </c>
      <c r="I75" s="117">
        <f>BS!M72</f>
        <v>433171</v>
      </c>
      <c r="J75" s="117">
        <f>BS!N72</f>
        <v>237321</v>
      </c>
      <c r="K75" s="117">
        <f>BS!O72</f>
        <v>370692</v>
      </c>
      <c r="L75" s="117">
        <f>BS!P72</f>
        <v>514267</v>
      </c>
      <c r="M75" s="117">
        <f>BS!Q72</f>
        <v>486177</v>
      </c>
      <c r="N75" s="117">
        <f>BS!R72</f>
        <v>515857</v>
      </c>
      <c r="O75" s="120">
        <f>BS!S72</f>
        <v>580272</v>
      </c>
      <c r="P75" s="165">
        <f>WC!O30</f>
        <v>491284.75401829981</v>
      </c>
      <c r="Q75" s="165">
        <f>WC!P30</f>
        <v>524351.02799046878</v>
      </c>
      <c r="R75" s="165">
        <f>WC!Q30</f>
        <v>574830.40396815585</v>
      </c>
      <c r="S75" s="165">
        <f>WC!R30</f>
        <v>563581.35778908047</v>
      </c>
      <c r="T75" s="165">
        <f>WC!S30</f>
        <v>594287.39711180865</v>
      </c>
      <c r="U75" s="165">
        <f>WC!T30</f>
        <v>612449.04974960932</v>
      </c>
      <c r="V75" s="164" t="s">
        <v>421</v>
      </c>
      <c r="X75" s="2">
        <v>11</v>
      </c>
      <c r="Y75" s="117">
        <f t="shared" si="34"/>
        <v>29680</v>
      </c>
      <c r="Z75" s="117">
        <f t="shared" si="9"/>
        <v>64415</v>
      </c>
      <c r="AA75" s="117">
        <f t="shared" si="10"/>
        <v>-88987.245981700195</v>
      </c>
      <c r="AB75" s="117">
        <f>Q75-P75</f>
        <v>33066.273972168972</v>
      </c>
      <c r="AC75" s="117">
        <f t="shared" si="12"/>
        <v>50479.375977687072</v>
      </c>
      <c r="AD75" s="117">
        <f t="shared" si="13"/>
        <v>-11249.046179075376</v>
      </c>
      <c r="AE75" s="117">
        <f t="shared" si="14"/>
        <v>30706.039322728175</v>
      </c>
      <c r="AF75" s="117">
        <f t="shared" si="15"/>
        <v>18161.652637800667</v>
      </c>
    </row>
    <row r="76" spans="1:32">
      <c r="A76">
        <v>316</v>
      </c>
      <c r="B76" s="163" t="s">
        <v>492</v>
      </c>
      <c r="C76" s="117">
        <f>BS!G73</f>
        <v>0</v>
      </c>
      <c r="D76" s="117">
        <f>BS!H73</f>
        <v>0</v>
      </c>
      <c r="E76" s="117">
        <f>BS!I73</f>
        <v>0</v>
      </c>
      <c r="F76" s="117">
        <f>BS!J73</f>
        <v>0</v>
      </c>
      <c r="G76" s="117">
        <f>BS!K73</f>
        <v>0</v>
      </c>
      <c r="H76" s="117">
        <f>BS!L73</f>
        <v>0</v>
      </c>
      <c r="I76" s="117">
        <f>BS!M73</f>
        <v>0</v>
      </c>
      <c r="J76" s="117">
        <f>BS!N73</f>
        <v>0</v>
      </c>
      <c r="K76" s="117">
        <f>BS!O73</f>
        <v>0</v>
      </c>
      <c r="L76" s="117">
        <f>BS!P73</f>
        <v>0</v>
      </c>
      <c r="M76" s="117">
        <f>BS!Q73</f>
        <v>0</v>
      </c>
      <c r="N76" s="117">
        <f>BS!R73</f>
        <v>0</v>
      </c>
      <c r="O76" s="120">
        <f>BS!S73</f>
        <v>0</v>
      </c>
      <c r="P76" s="165">
        <f>WC!O31</f>
        <v>0</v>
      </c>
      <c r="Q76" s="165">
        <f>WC!P31</f>
        <v>0</v>
      </c>
      <c r="R76" s="165">
        <f>WC!Q31</f>
        <v>0</v>
      </c>
      <c r="S76" s="165">
        <f>WC!R31</f>
        <v>0</v>
      </c>
      <c r="T76" s="165">
        <f>WC!S31</f>
        <v>0</v>
      </c>
      <c r="U76" s="165">
        <f>WC!T31</f>
        <v>0</v>
      </c>
      <c r="V76" s="164" t="s">
        <v>421</v>
      </c>
      <c r="X76" s="2">
        <v>0</v>
      </c>
      <c r="Y76" s="117">
        <f t="shared" si="34"/>
        <v>0</v>
      </c>
      <c r="Z76" s="117">
        <f t="shared" si="9"/>
        <v>0</v>
      </c>
      <c r="AA76" s="117">
        <f t="shared" si="10"/>
        <v>0</v>
      </c>
      <c r="AB76" s="117">
        <f t="shared" si="11"/>
        <v>0</v>
      </c>
      <c r="AC76" s="117">
        <f t="shared" si="12"/>
        <v>0</v>
      </c>
      <c r="AD76" s="117">
        <f t="shared" si="13"/>
        <v>0</v>
      </c>
      <c r="AE76" s="117">
        <f t="shared" si="14"/>
        <v>0</v>
      </c>
      <c r="AF76" s="117">
        <f t="shared" si="15"/>
        <v>0</v>
      </c>
    </row>
    <row r="77" spans="1:32">
      <c r="A77">
        <v>317</v>
      </c>
      <c r="B77" s="163" t="s">
        <v>493</v>
      </c>
      <c r="C77" s="117">
        <f>BS!G74</f>
        <v>0</v>
      </c>
      <c r="D77" s="117">
        <f>BS!H74</f>
        <v>0</v>
      </c>
      <c r="E77" s="117">
        <f>BS!I74</f>
        <v>0</v>
      </c>
      <c r="F77" s="117">
        <f>BS!J74</f>
        <v>0</v>
      </c>
      <c r="G77" s="117">
        <f>BS!K74</f>
        <v>0</v>
      </c>
      <c r="H77" s="117">
        <f>BS!L74</f>
        <v>0</v>
      </c>
      <c r="I77" s="117">
        <f>BS!M74</f>
        <v>0</v>
      </c>
      <c r="J77" s="117">
        <f>BS!N74</f>
        <v>0</v>
      </c>
      <c r="K77" s="117">
        <f>BS!O74</f>
        <v>0</v>
      </c>
      <c r="L77" s="117">
        <f>BS!P74</f>
        <v>0</v>
      </c>
      <c r="M77" s="117">
        <f>BS!Q74</f>
        <v>0</v>
      </c>
      <c r="N77" s="117">
        <f>BS!R74</f>
        <v>0</v>
      </c>
      <c r="O77" s="120">
        <f>BS!S74</f>
        <v>0</v>
      </c>
      <c r="P77" s="165">
        <f>WC!O32</f>
        <v>0</v>
      </c>
      <c r="Q77" s="165">
        <f>WC!P32</f>
        <v>0</v>
      </c>
      <c r="R77" s="165">
        <f>WC!Q32</f>
        <v>0</v>
      </c>
      <c r="S77" s="165">
        <f>WC!R32</f>
        <v>0</v>
      </c>
      <c r="T77" s="165">
        <f>WC!S32</f>
        <v>0</v>
      </c>
      <c r="U77" s="165">
        <f>WC!T32</f>
        <v>0</v>
      </c>
      <c r="V77" s="164" t="s">
        <v>421</v>
      </c>
      <c r="X77" s="2">
        <v>0</v>
      </c>
      <c r="Y77" s="117">
        <f t="shared" si="34"/>
        <v>0</v>
      </c>
      <c r="Z77" s="117">
        <f t="shared" si="9"/>
        <v>0</v>
      </c>
      <c r="AA77" s="117">
        <f t="shared" si="10"/>
        <v>0</v>
      </c>
      <c r="AB77" s="117">
        <f t="shared" si="11"/>
        <v>0</v>
      </c>
      <c r="AC77" s="117">
        <f t="shared" si="12"/>
        <v>0</v>
      </c>
      <c r="AD77" s="117">
        <f t="shared" si="13"/>
        <v>0</v>
      </c>
      <c r="AE77" s="117">
        <f t="shared" si="14"/>
        <v>0</v>
      </c>
      <c r="AF77" s="117">
        <f t="shared" si="15"/>
        <v>0</v>
      </c>
    </row>
    <row r="78" spans="1:32">
      <c r="A78">
        <v>318</v>
      </c>
      <c r="B78" s="163" t="s">
        <v>494</v>
      </c>
      <c r="C78" s="117">
        <f>BS!G75</f>
        <v>0</v>
      </c>
      <c r="D78" s="117">
        <f>BS!H75</f>
        <v>0</v>
      </c>
      <c r="E78" s="117">
        <f>BS!I75</f>
        <v>1721</v>
      </c>
      <c r="F78" s="117">
        <f>BS!J75</f>
        <v>800</v>
      </c>
      <c r="G78" s="117">
        <f>BS!K75</f>
        <v>606</v>
      </c>
      <c r="H78" s="117">
        <f>BS!L75</f>
        <v>1739</v>
      </c>
      <c r="I78" s="117">
        <f>BS!M75</f>
        <v>930</v>
      </c>
      <c r="J78" s="117">
        <f>BS!N75</f>
        <v>782</v>
      </c>
      <c r="K78" s="117">
        <f>BS!O75</f>
        <v>517</v>
      </c>
      <c r="L78" s="117">
        <f>BS!P75</f>
        <v>230</v>
      </c>
      <c r="M78" s="117">
        <f>BS!Q75</f>
        <v>0</v>
      </c>
      <c r="N78" s="117">
        <f>BS!R75</f>
        <v>228</v>
      </c>
      <c r="O78" s="120">
        <f>BS!S75</f>
        <v>546</v>
      </c>
      <c r="P78" s="165">
        <f>WC!O33</f>
        <v>254.32442664432043</v>
      </c>
      <c r="Q78" s="165">
        <f>WC!P33</f>
        <v>347.73381989433528</v>
      </c>
      <c r="R78" s="165">
        <f>WC!Q33</f>
        <v>415.77850164067161</v>
      </c>
      <c r="S78" s="165">
        <f>WC!R33</f>
        <v>359.375257652507</v>
      </c>
      <c r="T78" s="165">
        <f>WC!S33</f>
        <v>401.40893858201605</v>
      </c>
      <c r="U78" s="165">
        <f>WC!T33</f>
        <v>416.12635266074932</v>
      </c>
      <c r="V78" s="164" t="s">
        <v>421</v>
      </c>
      <c r="X78" s="2">
        <v>11</v>
      </c>
      <c r="Y78" s="117">
        <f t="shared" si="34"/>
        <v>228</v>
      </c>
      <c r="Z78" s="117">
        <f t="shared" si="9"/>
        <v>318</v>
      </c>
      <c r="AA78" s="117">
        <f t="shared" si="10"/>
        <v>-291.6755733556796</v>
      </c>
      <c r="AB78" s="117">
        <f t="shared" si="11"/>
        <v>93.409393250014858</v>
      </c>
      <c r="AC78" s="117">
        <f t="shared" si="12"/>
        <v>68.044681746336323</v>
      </c>
      <c r="AD78" s="117">
        <f t="shared" si="13"/>
        <v>-56.403243988164604</v>
      </c>
      <c r="AE78" s="117">
        <f t="shared" si="14"/>
        <v>42.033680929509046</v>
      </c>
      <c r="AF78" s="117">
        <f t="shared" si="15"/>
        <v>14.71741407873327</v>
      </c>
    </row>
    <row r="79" spans="1:32">
      <c r="A79">
        <v>319</v>
      </c>
      <c r="B79" s="163" t="s">
        <v>495</v>
      </c>
      <c r="C79" s="117">
        <f>BS!G76</f>
        <v>1901822</v>
      </c>
      <c r="D79" s="117">
        <f>BS!H76</f>
        <v>1028237</v>
      </c>
      <c r="E79" s="117">
        <f>BS!I76</f>
        <v>1042998</v>
      </c>
      <c r="F79" s="117">
        <f>BS!J76</f>
        <v>1288893</v>
      </c>
      <c r="G79" s="117">
        <f>BS!K76</f>
        <v>2630181</v>
      </c>
      <c r="H79" s="117">
        <f>BS!L76</f>
        <v>1079539</v>
      </c>
      <c r="I79" s="117">
        <f>BS!M76</f>
        <v>1079348</v>
      </c>
      <c r="J79" s="117">
        <f>BS!N76</f>
        <v>966920</v>
      </c>
      <c r="K79" s="117">
        <f>BS!O76</f>
        <v>2227840</v>
      </c>
      <c r="L79" s="117">
        <f>BS!P76</f>
        <v>3204086</v>
      </c>
      <c r="M79" s="117">
        <f>BS!Q76</f>
        <v>2898696</v>
      </c>
      <c r="N79" s="117">
        <f>BS!R76</f>
        <v>3509694</v>
      </c>
      <c r="O79" s="120">
        <f>BS!S76</f>
        <v>3555404</v>
      </c>
      <c r="P79" s="165">
        <f>WC!O34</f>
        <v>3085056.6887857504</v>
      </c>
      <c r="Q79" s="165">
        <f>WC!P34</f>
        <v>2742427.1462658006</v>
      </c>
      <c r="R79" s="165">
        <f>WC!Q34</f>
        <v>2867876.0592017146</v>
      </c>
      <c r="S79" s="165">
        <f>WC!R34</f>
        <v>2938680.8706043013</v>
      </c>
      <c r="T79" s="165">
        <f>WC!S34</f>
        <v>3055893.3149122158</v>
      </c>
      <c r="U79" s="165">
        <f>WC!T34</f>
        <v>3131713.8572239066</v>
      </c>
      <c r="V79" s="164" t="s">
        <v>421</v>
      </c>
      <c r="X79" s="2">
        <v>11</v>
      </c>
      <c r="Y79" s="117">
        <f t="shared" si="34"/>
        <v>610998</v>
      </c>
      <c r="Z79" s="117">
        <f t="shared" si="9"/>
        <v>45710</v>
      </c>
      <c r="AA79" s="117">
        <f t="shared" si="10"/>
        <v>-470347.31121424958</v>
      </c>
      <c r="AB79" s="117">
        <f t="shared" si="11"/>
        <v>-342629.54251994984</v>
      </c>
      <c r="AC79" s="117">
        <f t="shared" si="12"/>
        <v>125448.91293591401</v>
      </c>
      <c r="AD79" s="117">
        <f t="shared" si="13"/>
        <v>70804.811402586754</v>
      </c>
      <c r="AE79" s="117">
        <f t="shared" si="14"/>
        <v>117212.44430791447</v>
      </c>
      <c r="AF79" s="117">
        <f t="shared" si="15"/>
        <v>75820.542311690748</v>
      </c>
    </row>
    <row r="80" spans="1:32">
      <c r="A80">
        <v>320</v>
      </c>
      <c r="B80" s="166" t="s">
        <v>496</v>
      </c>
      <c r="C80" s="180">
        <f>BS!G66</f>
        <v>466463</v>
      </c>
      <c r="D80" s="180">
        <f>BS!H66</f>
        <v>437368</v>
      </c>
      <c r="E80" s="180">
        <f>BS!I66</f>
        <v>1051665</v>
      </c>
      <c r="F80" s="180">
        <f>BS!J66</f>
        <v>1042310</v>
      </c>
      <c r="G80" s="180">
        <f>BS!K66</f>
        <v>722904</v>
      </c>
      <c r="H80" s="180">
        <f>BS!L66</f>
        <v>594243</v>
      </c>
      <c r="I80" s="180">
        <f>BS!M66</f>
        <v>560511</v>
      </c>
      <c r="J80" s="180">
        <f>BS!N66</f>
        <v>448792</v>
      </c>
      <c r="K80" s="180">
        <f>BS!O66</f>
        <v>321746</v>
      </c>
      <c r="L80" s="180">
        <f>BS!P66</f>
        <v>658626</v>
      </c>
      <c r="M80" s="180">
        <f>BS!Q66</f>
        <v>530129</v>
      </c>
      <c r="N80" s="180">
        <f>BS!R66</f>
        <v>245384</v>
      </c>
      <c r="O80" s="185">
        <f>BS!S66</f>
        <v>267584</v>
      </c>
      <c r="P80" s="165">
        <f>Debt!O5</f>
        <v>293301.6330389636</v>
      </c>
      <c r="Q80" s="165">
        <f>Debt!P5</f>
        <v>319701.62997069088</v>
      </c>
      <c r="R80" s="165">
        <f>Debt!Q5</f>
        <v>348490.16372803884</v>
      </c>
      <c r="S80" s="165">
        <f>Debt!R5</f>
        <v>379883.33691821987</v>
      </c>
      <c r="T80" s="165">
        <f>Debt!S5</f>
        <v>414116.80400812178</v>
      </c>
      <c r="U80" s="165">
        <f>Debt!T5</f>
        <v>451447.54027666652</v>
      </c>
      <c r="V80" s="164"/>
      <c r="X80" s="2">
        <v>33</v>
      </c>
      <c r="Y80" s="117">
        <f t="shared" si="34"/>
        <v>-284745</v>
      </c>
      <c r="Z80" s="117">
        <f t="shared" si="9"/>
        <v>22200</v>
      </c>
      <c r="AA80" s="117">
        <f t="shared" si="10"/>
        <v>25717.633038963599</v>
      </c>
      <c r="AB80" s="117">
        <f t="shared" si="11"/>
        <v>26399.996931727277</v>
      </c>
      <c r="AC80" s="117">
        <f t="shared" si="12"/>
        <v>28788.533757347963</v>
      </c>
      <c r="AD80" s="117">
        <f t="shared" si="13"/>
        <v>31393.173190181027</v>
      </c>
      <c r="AE80" s="117">
        <f t="shared" si="14"/>
        <v>34233.467089901911</v>
      </c>
      <c r="AF80" s="117">
        <f t="shared" si="15"/>
        <v>37330.736268544744</v>
      </c>
    </row>
    <row r="81" spans="1:32">
      <c r="A81">
        <v>321</v>
      </c>
      <c r="B81" s="163" t="s">
        <v>497</v>
      </c>
      <c r="C81" s="117">
        <f>BS!G77</f>
        <v>5547</v>
      </c>
      <c r="D81" s="117">
        <f>BS!H77</f>
        <v>905144</v>
      </c>
      <c r="E81" s="117">
        <f>BS!I77</f>
        <v>992214</v>
      </c>
      <c r="F81" s="117">
        <f>BS!J77</f>
        <v>0</v>
      </c>
      <c r="G81" s="117">
        <f>BS!K77</f>
        <v>12991</v>
      </c>
      <c r="H81" s="117">
        <f>BS!L77</f>
        <v>7668</v>
      </c>
      <c r="I81" s="117">
        <f>BS!M77</f>
        <v>3711</v>
      </c>
      <c r="J81" s="117">
        <f>BS!N77</f>
        <v>200</v>
      </c>
      <c r="K81" s="117">
        <f>BS!O77</f>
        <v>0</v>
      </c>
      <c r="L81" s="117">
        <f>BS!P77</f>
        <v>0</v>
      </c>
      <c r="M81" s="117">
        <f>BS!Q77</f>
        <v>119</v>
      </c>
      <c r="N81" s="117">
        <f>BS!R77</f>
        <v>251</v>
      </c>
      <c r="O81" s="120">
        <f>BS!S77</f>
        <v>269</v>
      </c>
      <c r="P81" s="165">
        <f>WC!O36</f>
        <v>199.65244255140666</v>
      </c>
      <c r="Q81" s="165">
        <f>WC!P36</f>
        <v>236.909170835754</v>
      </c>
      <c r="R81" s="165">
        <f>WC!Q36</f>
        <v>254.28478386583899</v>
      </c>
      <c r="S81" s="165">
        <f>WC!R36</f>
        <v>244.60442732235919</v>
      </c>
      <c r="T81" s="165">
        <f>WC!S36</f>
        <v>263.10161396726915</v>
      </c>
      <c r="U81" s="165">
        <f>WC!T36</f>
        <v>269.326540721323</v>
      </c>
      <c r="V81" s="164" t="s">
        <v>421</v>
      </c>
      <c r="X81" s="2">
        <v>3</v>
      </c>
      <c r="Y81" s="117">
        <f t="shared" si="34"/>
        <v>132</v>
      </c>
      <c r="Z81" s="117">
        <f t="shared" si="9"/>
        <v>18</v>
      </c>
      <c r="AA81" s="117">
        <f t="shared" si="10"/>
        <v>-69.347557448593335</v>
      </c>
      <c r="AB81" s="117">
        <f t="shared" si="11"/>
        <v>37.256728284347332</v>
      </c>
      <c r="AC81" s="117">
        <f t="shared" si="12"/>
        <v>17.375613030084992</v>
      </c>
      <c r="AD81" s="117">
        <f t="shared" si="13"/>
        <v>-9.6803565434798031</v>
      </c>
      <c r="AE81" s="117">
        <f t="shared" si="14"/>
        <v>18.497186644909959</v>
      </c>
      <c r="AF81" s="117">
        <f t="shared" si="15"/>
        <v>6.224926754053854</v>
      </c>
    </row>
    <row r="82" spans="1:32">
      <c r="A82">
        <v>322</v>
      </c>
      <c r="B82" s="163" t="s">
        <v>498</v>
      </c>
      <c r="C82" s="117">
        <f>BS!G78</f>
        <v>251759</v>
      </c>
      <c r="D82" s="117">
        <f>BS!H78</f>
        <v>226469</v>
      </c>
      <c r="E82" s="117">
        <f>BS!I78</f>
        <v>299092</v>
      </c>
      <c r="F82" s="117">
        <f>BS!J78</f>
        <v>330525</v>
      </c>
      <c r="G82" s="117">
        <f>BS!K78</f>
        <v>296743</v>
      </c>
      <c r="H82" s="117">
        <f>BS!L78</f>
        <v>222305</v>
      </c>
      <c r="I82" s="117">
        <f>BS!M78</f>
        <v>294925</v>
      </c>
      <c r="J82" s="117">
        <f>BS!N78</f>
        <v>183521</v>
      </c>
      <c r="K82" s="117">
        <f>BS!O78</f>
        <v>238251</v>
      </c>
      <c r="L82" s="117">
        <f>BS!P78</f>
        <v>222390</v>
      </c>
      <c r="M82" s="117">
        <f>BS!Q78</f>
        <v>194370</v>
      </c>
      <c r="N82" s="117">
        <f>BS!R78</f>
        <v>199419</v>
      </c>
      <c r="O82" s="120">
        <f>BS!S78</f>
        <v>231318</v>
      </c>
      <c r="P82" s="165">
        <f>Equity!P107</f>
        <v>240364.34715922136</v>
      </c>
      <c r="Q82" s="165">
        <f>Equity!Q107</f>
        <v>249255.71405231801</v>
      </c>
      <c r="R82" s="165">
        <f>Equity!R107</f>
        <v>263639.37884929159</v>
      </c>
      <c r="S82" s="165">
        <f>Equity!S107</f>
        <v>275275.55573806062</v>
      </c>
      <c r="T82" s="165">
        <f>Equity!T107</f>
        <v>287925.04541197157</v>
      </c>
      <c r="U82" s="165">
        <f>Equity!U107</f>
        <v>300841.80420529819</v>
      </c>
      <c r="V82" s="164" t="s">
        <v>421</v>
      </c>
      <c r="W82" s="169" t="s">
        <v>499</v>
      </c>
      <c r="X82" s="2">
        <v>0</v>
      </c>
      <c r="Y82" s="117">
        <f t="shared" si="34"/>
        <v>5049</v>
      </c>
      <c r="Z82" s="117">
        <f t="shared" si="9"/>
        <v>31899</v>
      </c>
      <c r="AA82" s="117">
        <f t="shared" si="10"/>
        <v>9046.3471592213609</v>
      </c>
      <c r="AB82" s="117">
        <f t="shared" si="11"/>
        <v>8891.3668930966523</v>
      </c>
      <c r="AC82" s="117">
        <f t="shared" si="12"/>
        <v>14383.664796973579</v>
      </c>
      <c r="AD82" s="117">
        <f t="shared" si="13"/>
        <v>11636.176888769027</v>
      </c>
      <c r="AE82" s="117">
        <f t="shared" si="14"/>
        <v>12649.489673910954</v>
      </c>
      <c r="AF82" s="117">
        <f t="shared" si="15"/>
        <v>12916.758793326619</v>
      </c>
    </row>
    <row r="83" spans="1:32">
      <c r="A83">
        <v>323</v>
      </c>
      <c r="B83" s="163" t="s">
        <v>500</v>
      </c>
      <c r="C83" s="117">
        <f>BS!G79</f>
        <v>0</v>
      </c>
      <c r="D83" s="117">
        <f>BS!H79</f>
        <v>0</v>
      </c>
      <c r="E83" s="117">
        <f>BS!I79</f>
        <v>0</v>
      </c>
      <c r="F83" s="117">
        <f>BS!J79</f>
        <v>0</v>
      </c>
      <c r="G83" s="117">
        <f>BS!K79</f>
        <v>0</v>
      </c>
      <c r="H83" s="117">
        <f>BS!L79</f>
        <v>0</v>
      </c>
      <c r="I83" s="117">
        <f>BS!M79</f>
        <v>0</v>
      </c>
      <c r="J83" s="117">
        <f>BS!N79</f>
        <v>0</v>
      </c>
      <c r="K83" s="117">
        <f>BS!O79</f>
        <v>0</v>
      </c>
      <c r="L83" s="117">
        <f>BS!P79</f>
        <v>0</v>
      </c>
      <c r="M83" s="117">
        <f>BS!Q79</f>
        <v>0</v>
      </c>
      <c r="N83" s="117">
        <f>BS!R79</f>
        <v>0</v>
      </c>
      <c r="O83" s="120">
        <f>BS!S79</f>
        <v>0</v>
      </c>
      <c r="P83" s="165">
        <f>WC!O38</f>
        <v>0</v>
      </c>
      <c r="Q83" s="165">
        <f>WC!P38</f>
        <v>0</v>
      </c>
      <c r="R83" s="165">
        <f>WC!Q38</f>
        <v>0</v>
      </c>
      <c r="S83" s="165">
        <f>WC!R38</f>
        <v>0</v>
      </c>
      <c r="T83" s="165">
        <f>WC!S38</f>
        <v>0</v>
      </c>
      <c r="U83" s="165">
        <f>WC!T38</f>
        <v>0</v>
      </c>
      <c r="V83" s="164" t="s">
        <v>421</v>
      </c>
      <c r="X83" s="2">
        <v>0</v>
      </c>
      <c r="Y83" s="117">
        <f t="shared" si="34"/>
        <v>0</v>
      </c>
      <c r="Z83" s="117">
        <f t="shared" ref="Z83:Z124" si="38">O83-N83</f>
        <v>0</v>
      </c>
      <c r="AA83" s="117">
        <f t="shared" ref="AA83:AA124" si="39">P83-O83</f>
        <v>0</v>
      </c>
      <c r="AB83" s="117">
        <f t="shared" ref="AB83:AB124" si="40">Q83-P83</f>
        <v>0</v>
      </c>
      <c r="AC83" s="117">
        <f t="shared" ref="AC83:AC124" si="41">R83-Q83</f>
        <v>0</v>
      </c>
      <c r="AD83" s="117">
        <f t="shared" ref="AD83:AD124" si="42">S83-R83</f>
        <v>0</v>
      </c>
      <c r="AE83" s="117">
        <f t="shared" ref="AE83:AE124" si="43">T83-S83</f>
        <v>0</v>
      </c>
      <c r="AF83" s="117">
        <f t="shared" ref="AF83:AF124" si="44">U83-T83</f>
        <v>0</v>
      </c>
    </row>
    <row r="84" spans="1:32">
      <c r="A84">
        <v>234</v>
      </c>
      <c r="B84" s="163" t="s">
        <v>445</v>
      </c>
      <c r="C84" s="117">
        <f>BS!G80</f>
        <v>0</v>
      </c>
      <c r="D84" s="117">
        <f>BS!H80</f>
        <v>0</v>
      </c>
      <c r="E84" s="117">
        <f>BS!I80</f>
        <v>0</v>
      </c>
      <c r="F84" s="117">
        <f>BS!J80</f>
        <v>0</v>
      </c>
      <c r="G84" s="117">
        <f>BS!K80</f>
        <v>0</v>
      </c>
      <c r="H84" s="117">
        <f>BS!L80</f>
        <v>0</v>
      </c>
      <c r="I84" s="117">
        <f>BS!M80</f>
        <v>0</v>
      </c>
      <c r="J84" s="117">
        <f>BS!N80</f>
        <v>0</v>
      </c>
      <c r="K84" s="117">
        <f>BS!O80</f>
        <v>0</v>
      </c>
      <c r="L84" s="117">
        <f>BS!P80</f>
        <v>0</v>
      </c>
      <c r="M84" s="117">
        <f>BS!Q80</f>
        <v>0</v>
      </c>
      <c r="N84" s="117">
        <f>BS!R80</f>
        <v>0</v>
      </c>
      <c r="O84" s="120">
        <f>BS!S80</f>
        <v>0</v>
      </c>
      <c r="P84" s="165">
        <f>WC!O39</f>
        <v>0</v>
      </c>
      <c r="Q84" s="165">
        <f>WC!P39</f>
        <v>0</v>
      </c>
      <c r="R84" s="165">
        <f>WC!Q39</f>
        <v>0</v>
      </c>
      <c r="S84" s="165">
        <f>WC!R39</f>
        <v>0</v>
      </c>
      <c r="T84" s="165">
        <f>WC!S39</f>
        <v>0</v>
      </c>
      <c r="U84" s="165">
        <f>WC!T39</f>
        <v>0</v>
      </c>
      <c r="V84" s="164" t="s">
        <v>421</v>
      </c>
      <c r="X84" s="2">
        <v>0</v>
      </c>
      <c r="Y84" s="117">
        <f t="shared" si="34"/>
        <v>0</v>
      </c>
      <c r="Z84" s="117">
        <f t="shared" si="38"/>
        <v>0</v>
      </c>
      <c r="AA84" s="117">
        <f t="shared" si="39"/>
        <v>0</v>
      </c>
      <c r="AB84" s="117">
        <f t="shared" si="40"/>
        <v>0</v>
      </c>
      <c r="AC84" s="117">
        <f t="shared" si="41"/>
        <v>0</v>
      </c>
      <c r="AD84" s="117">
        <f t="shared" si="42"/>
        <v>0</v>
      </c>
      <c r="AE84" s="117">
        <f t="shared" si="43"/>
        <v>0</v>
      </c>
      <c r="AF84" s="117">
        <f t="shared" si="44"/>
        <v>0</v>
      </c>
    </row>
    <row r="85" spans="1:32" s="107" customFormat="1">
      <c r="A85" s="107">
        <v>330</v>
      </c>
      <c r="B85" s="160" t="s">
        <v>501</v>
      </c>
      <c r="C85" s="117">
        <f>BS!G81</f>
        <v>1566610</v>
      </c>
      <c r="D85" s="117">
        <f>BS!H81</f>
        <v>1130675</v>
      </c>
      <c r="E85" s="117">
        <f>BS!I81</f>
        <v>747527</v>
      </c>
      <c r="F85" s="117">
        <f>BS!J81</f>
        <v>285797</v>
      </c>
      <c r="G85" s="117">
        <f>BS!K81</f>
        <v>191578</v>
      </c>
      <c r="H85" s="117">
        <f>BS!L81</f>
        <v>329140</v>
      </c>
      <c r="I85" s="117">
        <f>BS!M81</f>
        <v>798399</v>
      </c>
      <c r="J85" s="117">
        <f>BS!N81</f>
        <v>986653</v>
      </c>
      <c r="K85" s="117">
        <f>BS!O81</f>
        <v>634218</v>
      </c>
      <c r="L85" s="117">
        <f>BS!P81</f>
        <v>660367</v>
      </c>
      <c r="M85" s="117">
        <f>BS!Q81</f>
        <v>346858</v>
      </c>
      <c r="N85" s="117">
        <f>BS!R81</f>
        <v>345173</v>
      </c>
      <c r="O85" s="120">
        <f>BS!S81</f>
        <v>717257</v>
      </c>
      <c r="P85" s="117">
        <f>SUM(P86:P99)</f>
        <v>714240</v>
      </c>
      <c r="Q85" s="117">
        <f t="shared" ref="Q85:U85" si="45">SUM(Q86:Q99)</f>
        <v>711224</v>
      </c>
      <c r="R85" s="117">
        <f t="shared" si="45"/>
        <v>708208</v>
      </c>
      <c r="S85" s="117">
        <f t="shared" si="45"/>
        <v>705192</v>
      </c>
      <c r="T85" s="117">
        <f t="shared" si="45"/>
        <v>702176</v>
      </c>
      <c r="U85" s="117">
        <f t="shared" si="45"/>
        <v>699160</v>
      </c>
      <c r="V85" s="158"/>
      <c r="X85" s="2" t="s">
        <v>421</v>
      </c>
      <c r="Y85" s="157">
        <f t="shared" si="34"/>
        <v>-1685</v>
      </c>
      <c r="Z85" s="157">
        <f t="shared" si="38"/>
        <v>372084</v>
      </c>
      <c r="AA85" s="157">
        <f t="shared" si="39"/>
        <v>-3017</v>
      </c>
      <c r="AB85" s="157">
        <f t="shared" si="40"/>
        <v>-3016</v>
      </c>
      <c r="AC85" s="157">
        <f t="shared" si="41"/>
        <v>-3016</v>
      </c>
      <c r="AD85" s="157">
        <f t="shared" si="42"/>
        <v>-3016</v>
      </c>
      <c r="AE85" s="157">
        <f t="shared" si="43"/>
        <v>-3016</v>
      </c>
      <c r="AF85" s="157">
        <f t="shared" si="44"/>
        <v>-3016</v>
      </c>
    </row>
    <row r="86" spans="1:32">
      <c r="A86">
        <v>331</v>
      </c>
      <c r="B86" s="163" t="s">
        <v>502</v>
      </c>
      <c r="C86" s="117">
        <f>BS!G82</f>
        <v>0</v>
      </c>
      <c r="D86" s="117">
        <f>BS!H82</f>
        <v>0</v>
      </c>
      <c r="E86" s="117">
        <f>BS!I82</f>
        <v>0</v>
      </c>
      <c r="F86" s="117">
        <f>BS!J82</f>
        <v>0</v>
      </c>
      <c r="G86" s="117">
        <f>BS!K82</f>
        <v>0</v>
      </c>
      <c r="H86" s="117">
        <f>BS!L82</f>
        <v>0</v>
      </c>
      <c r="I86" s="117">
        <f>BS!M82</f>
        <v>100</v>
      </c>
      <c r="J86" s="117">
        <f>BS!N82</f>
        <v>167227</v>
      </c>
      <c r="K86" s="117">
        <f>BS!O82</f>
        <v>123521</v>
      </c>
      <c r="L86" s="117">
        <f>BS!P82</f>
        <v>120061</v>
      </c>
      <c r="M86" s="117">
        <f>BS!Q82</f>
        <v>100</v>
      </c>
      <c r="N86" s="117">
        <f>BS!R82</f>
        <v>100</v>
      </c>
      <c r="O86" s="120">
        <f>BS!S82</f>
        <v>100</v>
      </c>
      <c r="P86" s="117">
        <f t="shared" ref="P86:U91" si="46">O86</f>
        <v>100</v>
      </c>
      <c r="Q86" s="117">
        <f t="shared" si="46"/>
        <v>100</v>
      </c>
      <c r="R86" s="117">
        <f t="shared" si="46"/>
        <v>100</v>
      </c>
      <c r="S86" s="117">
        <f t="shared" si="46"/>
        <v>100</v>
      </c>
      <c r="T86" s="117">
        <f t="shared" si="46"/>
        <v>100</v>
      </c>
      <c r="U86" s="117">
        <f t="shared" si="46"/>
        <v>100</v>
      </c>
      <c r="V86" s="164"/>
      <c r="W86" s="117"/>
      <c r="X86" s="2">
        <v>0</v>
      </c>
      <c r="Y86" s="117">
        <f t="shared" si="34"/>
        <v>0</v>
      </c>
      <c r="Z86" s="117">
        <f t="shared" si="38"/>
        <v>0</v>
      </c>
      <c r="AA86" s="117">
        <f t="shared" si="39"/>
        <v>0</v>
      </c>
      <c r="AB86" s="117">
        <f t="shared" si="40"/>
        <v>0</v>
      </c>
      <c r="AC86" s="117">
        <f t="shared" si="41"/>
        <v>0</v>
      </c>
      <c r="AD86" s="117">
        <f t="shared" si="42"/>
        <v>0</v>
      </c>
      <c r="AE86" s="117">
        <f t="shared" si="43"/>
        <v>0</v>
      </c>
      <c r="AF86" s="117">
        <f t="shared" si="44"/>
        <v>0</v>
      </c>
    </row>
    <row r="87" spans="1:32">
      <c r="A87">
        <v>332</v>
      </c>
      <c r="B87" s="163" t="s">
        <v>503</v>
      </c>
      <c r="C87" s="117">
        <v>0</v>
      </c>
      <c r="D87" s="117">
        <v>0</v>
      </c>
      <c r="E87" s="117">
        <v>0</v>
      </c>
      <c r="F87" s="117">
        <v>2</v>
      </c>
      <c r="G87" s="117">
        <v>2</v>
      </c>
      <c r="H87" s="117">
        <v>2</v>
      </c>
      <c r="I87" s="117">
        <v>2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  <c r="O87" s="120">
        <v>0</v>
      </c>
      <c r="P87" s="117">
        <f t="shared" si="46"/>
        <v>0</v>
      </c>
      <c r="Q87" s="117">
        <f t="shared" si="46"/>
        <v>0</v>
      </c>
      <c r="R87" s="117">
        <f t="shared" si="46"/>
        <v>0</v>
      </c>
      <c r="S87" s="117">
        <f t="shared" si="46"/>
        <v>0</v>
      </c>
      <c r="T87" s="117">
        <f t="shared" si="46"/>
        <v>0</v>
      </c>
      <c r="U87" s="117">
        <f t="shared" si="46"/>
        <v>0</v>
      </c>
      <c r="V87" s="164"/>
      <c r="X87" s="2">
        <v>0</v>
      </c>
      <c r="Y87" s="117">
        <f t="shared" si="34"/>
        <v>0</v>
      </c>
      <c r="Z87" s="117">
        <f t="shared" si="38"/>
        <v>0</v>
      </c>
      <c r="AA87" s="117">
        <f t="shared" si="39"/>
        <v>0</v>
      </c>
      <c r="AB87" s="117">
        <f t="shared" si="40"/>
        <v>0</v>
      </c>
      <c r="AC87" s="117">
        <f t="shared" si="41"/>
        <v>0</v>
      </c>
      <c r="AD87" s="117">
        <f t="shared" si="42"/>
        <v>0</v>
      </c>
      <c r="AE87" s="117">
        <f t="shared" si="43"/>
        <v>0</v>
      </c>
      <c r="AF87" s="117">
        <f t="shared" si="44"/>
        <v>0</v>
      </c>
    </row>
    <row r="88" spans="1:32">
      <c r="A88">
        <v>333</v>
      </c>
      <c r="B88" s="163" t="s">
        <v>504</v>
      </c>
      <c r="C88" s="117">
        <f>BS!G83</f>
        <v>0</v>
      </c>
      <c r="D88" s="117">
        <f>BS!H83</f>
        <v>0</v>
      </c>
      <c r="E88" s="117">
        <f>BS!I83</f>
        <v>0</v>
      </c>
      <c r="F88" s="117">
        <f>BS!J83</f>
        <v>0</v>
      </c>
      <c r="G88" s="117">
        <f>BS!K83</f>
        <v>0</v>
      </c>
      <c r="H88" s="117">
        <f>BS!L83</f>
        <v>0</v>
      </c>
      <c r="I88" s="117">
        <f>BS!M83</f>
        <v>0</v>
      </c>
      <c r="J88" s="117">
        <f>BS!N83</f>
        <v>0</v>
      </c>
      <c r="K88" s="117">
        <f>BS!O83</f>
        <v>0</v>
      </c>
      <c r="L88" s="117">
        <f>BS!P83</f>
        <v>0</v>
      </c>
      <c r="M88" s="117">
        <f>BS!Q83</f>
        <v>0</v>
      </c>
      <c r="N88" s="117">
        <f>BS!R83</f>
        <v>0</v>
      </c>
      <c r="O88" s="120">
        <f>BS!S83</f>
        <v>0</v>
      </c>
      <c r="P88" s="117">
        <f t="shared" si="46"/>
        <v>0</v>
      </c>
      <c r="Q88" s="117">
        <f t="shared" si="46"/>
        <v>0</v>
      </c>
      <c r="R88" s="117">
        <f t="shared" si="46"/>
        <v>0</v>
      </c>
      <c r="S88" s="117">
        <f t="shared" si="46"/>
        <v>0</v>
      </c>
      <c r="T88" s="117">
        <f t="shared" si="46"/>
        <v>0</v>
      </c>
      <c r="U88" s="117">
        <f t="shared" si="46"/>
        <v>0</v>
      </c>
      <c r="V88" s="164"/>
      <c r="X88" s="2">
        <v>0</v>
      </c>
      <c r="Y88" s="117">
        <f t="shared" si="34"/>
        <v>0</v>
      </c>
      <c r="Z88" s="117">
        <f t="shared" si="38"/>
        <v>0</v>
      </c>
      <c r="AA88" s="117">
        <f t="shared" si="39"/>
        <v>0</v>
      </c>
      <c r="AB88" s="117">
        <f t="shared" si="40"/>
        <v>0</v>
      </c>
      <c r="AC88" s="117">
        <f t="shared" si="41"/>
        <v>0</v>
      </c>
      <c r="AD88" s="117">
        <f t="shared" si="42"/>
        <v>0</v>
      </c>
      <c r="AE88" s="117">
        <f t="shared" si="43"/>
        <v>0</v>
      </c>
      <c r="AF88" s="117">
        <f t="shared" si="44"/>
        <v>0</v>
      </c>
    </row>
    <row r="89" spans="1:32">
      <c r="A89">
        <v>334</v>
      </c>
      <c r="B89" s="163" t="s">
        <v>505</v>
      </c>
      <c r="C89" s="117">
        <f>BS!G84</f>
        <v>0</v>
      </c>
      <c r="D89" s="117">
        <f>BS!H84</f>
        <v>0</v>
      </c>
      <c r="E89" s="117">
        <f>BS!I84</f>
        <v>0</v>
      </c>
      <c r="F89" s="117">
        <f>BS!J84</f>
        <v>0</v>
      </c>
      <c r="G89" s="117">
        <f>BS!K84</f>
        <v>0</v>
      </c>
      <c r="H89" s="117">
        <f>BS!L84</f>
        <v>0</v>
      </c>
      <c r="I89" s="117">
        <f>BS!M84</f>
        <v>0</v>
      </c>
      <c r="J89" s="117">
        <f>BS!N84</f>
        <v>0</v>
      </c>
      <c r="K89" s="117">
        <f>BS!O84</f>
        <v>0</v>
      </c>
      <c r="L89" s="117">
        <f>BS!P84</f>
        <v>0</v>
      </c>
      <c r="M89" s="117">
        <f>BS!Q84</f>
        <v>0</v>
      </c>
      <c r="N89" s="117">
        <f>BS!R84</f>
        <v>0</v>
      </c>
      <c r="O89" s="120">
        <f>BS!S84</f>
        <v>0</v>
      </c>
      <c r="P89" s="117">
        <f t="shared" si="46"/>
        <v>0</v>
      </c>
      <c r="Q89" s="117">
        <f t="shared" si="46"/>
        <v>0</v>
      </c>
      <c r="R89" s="117">
        <f t="shared" si="46"/>
        <v>0</v>
      </c>
      <c r="S89" s="117">
        <f t="shared" si="46"/>
        <v>0</v>
      </c>
      <c r="T89" s="117">
        <f t="shared" si="46"/>
        <v>0</v>
      </c>
      <c r="U89" s="117">
        <f t="shared" si="46"/>
        <v>0</v>
      </c>
      <c r="V89" s="164"/>
      <c r="X89" s="2">
        <v>0</v>
      </c>
      <c r="Y89" s="117">
        <f t="shared" si="34"/>
        <v>0</v>
      </c>
      <c r="Z89" s="117">
        <f t="shared" si="38"/>
        <v>0</v>
      </c>
      <c r="AA89" s="117">
        <f t="shared" si="39"/>
        <v>0</v>
      </c>
      <c r="AB89" s="117">
        <f t="shared" si="40"/>
        <v>0</v>
      </c>
      <c r="AC89" s="117">
        <f t="shared" si="41"/>
        <v>0</v>
      </c>
      <c r="AD89" s="117">
        <f t="shared" si="42"/>
        <v>0</v>
      </c>
      <c r="AE89" s="117">
        <f t="shared" si="43"/>
        <v>0</v>
      </c>
      <c r="AF89" s="117">
        <f t="shared" si="44"/>
        <v>0</v>
      </c>
    </row>
    <row r="90" spans="1:32">
      <c r="A90">
        <v>335</v>
      </c>
      <c r="B90" s="163" t="s">
        <v>506</v>
      </c>
      <c r="C90" s="117">
        <f>BS!G85</f>
        <v>0</v>
      </c>
      <c r="D90" s="117">
        <f>BS!H85</f>
        <v>0</v>
      </c>
      <c r="E90" s="117">
        <f>BS!I85</f>
        <v>0</v>
      </c>
      <c r="F90" s="117">
        <f>BS!J85</f>
        <v>0</v>
      </c>
      <c r="G90" s="117">
        <f>BS!K85</f>
        <v>0</v>
      </c>
      <c r="H90" s="117">
        <f>BS!L85</f>
        <v>0</v>
      </c>
      <c r="I90" s="117">
        <f>BS!M85</f>
        <v>0</v>
      </c>
      <c r="J90" s="117">
        <f>BS!N85</f>
        <v>0</v>
      </c>
      <c r="K90" s="117">
        <f>BS!O85</f>
        <v>0</v>
      </c>
      <c r="L90" s="117">
        <f>BS!P85</f>
        <v>0</v>
      </c>
      <c r="M90" s="117">
        <f>BS!Q85</f>
        <v>0</v>
      </c>
      <c r="N90" s="117">
        <f>BS!R85</f>
        <v>0</v>
      </c>
      <c r="O90" s="120">
        <f>BS!S85</f>
        <v>0</v>
      </c>
      <c r="P90" s="117">
        <f t="shared" si="46"/>
        <v>0</v>
      </c>
      <c r="Q90" s="117">
        <f t="shared" si="46"/>
        <v>0</v>
      </c>
      <c r="R90" s="117">
        <f t="shared" si="46"/>
        <v>0</v>
      </c>
      <c r="S90" s="117">
        <f t="shared" si="46"/>
        <v>0</v>
      </c>
      <c r="T90" s="117">
        <f t="shared" si="46"/>
        <v>0</v>
      </c>
      <c r="U90" s="117">
        <f t="shared" si="46"/>
        <v>0</v>
      </c>
      <c r="V90" s="164"/>
      <c r="X90" s="2">
        <v>0</v>
      </c>
      <c r="Y90" s="117">
        <f t="shared" si="34"/>
        <v>0</v>
      </c>
      <c r="Z90" s="117">
        <f t="shared" si="38"/>
        <v>0</v>
      </c>
      <c r="AA90" s="117">
        <f t="shared" si="39"/>
        <v>0</v>
      </c>
      <c r="AB90" s="117">
        <f t="shared" si="40"/>
        <v>0</v>
      </c>
      <c r="AC90" s="117">
        <f t="shared" si="41"/>
        <v>0</v>
      </c>
      <c r="AD90" s="117">
        <f t="shared" si="42"/>
        <v>0</v>
      </c>
      <c r="AE90" s="117">
        <f t="shared" si="43"/>
        <v>0</v>
      </c>
      <c r="AF90" s="117">
        <f t="shared" si="44"/>
        <v>0</v>
      </c>
    </row>
    <row r="91" spans="1:32">
      <c r="A91">
        <v>336</v>
      </c>
      <c r="B91" s="163" t="s">
        <v>507</v>
      </c>
      <c r="C91" s="117">
        <f>BS!G92</f>
        <v>3378</v>
      </c>
      <c r="D91" s="117">
        <f>BS!H92</f>
        <v>0</v>
      </c>
      <c r="E91" s="117">
        <f>BS!I92</f>
        <v>800</v>
      </c>
      <c r="F91" s="117">
        <f>BS!J92</f>
        <v>0</v>
      </c>
      <c r="G91" s="117">
        <f>BS!K92</f>
        <v>0</v>
      </c>
      <c r="H91" s="117">
        <f>BS!L92</f>
        <v>0</v>
      </c>
      <c r="I91" s="117">
        <f>BS!M92</f>
        <v>0</v>
      </c>
      <c r="J91" s="117">
        <f>BS!N92</f>
        <v>0</v>
      </c>
      <c r="K91" s="117">
        <f>BS!O92</f>
        <v>0</v>
      </c>
      <c r="L91" s="117">
        <f>BS!P92</f>
        <v>0</v>
      </c>
      <c r="M91" s="117">
        <f>BS!Q92</f>
        <v>0</v>
      </c>
      <c r="N91" s="117">
        <f>BS!R92</f>
        <v>0</v>
      </c>
      <c r="O91" s="120">
        <f>BS!S92</f>
        <v>0</v>
      </c>
      <c r="P91" s="117">
        <f t="shared" si="46"/>
        <v>0</v>
      </c>
      <c r="Q91" s="117">
        <f t="shared" si="46"/>
        <v>0</v>
      </c>
      <c r="R91" s="117">
        <f t="shared" si="46"/>
        <v>0</v>
      </c>
      <c r="S91" s="117">
        <f t="shared" si="46"/>
        <v>0</v>
      </c>
      <c r="T91" s="117">
        <f t="shared" si="46"/>
        <v>0</v>
      </c>
      <c r="U91" s="117">
        <f t="shared" si="46"/>
        <v>0</v>
      </c>
      <c r="V91" s="164"/>
      <c r="X91" s="2">
        <v>0</v>
      </c>
      <c r="Y91" s="117">
        <f t="shared" si="34"/>
        <v>0</v>
      </c>
      <c r="Z91" s="117">
        <f t="shared" si="38"/>
        <v>0</v>
      </c>
      <c r="AA91" s="117">
        <f t="shared" si="39"/>
        <v>0</v>
      </c>
      <c r="AB91" s="117">
        <f t="shared" si="40"/>
        <v>0</v>
      </c>
      <c r="AC91" s="117">
        <f t="shared" si="41"/>
        <v>0</v>
      </c>
      <c r="AD91" s="117">
        <f t="shared" si="42"/>
        <v>0</v>
      </c>
      <c r="AE91" s="117">
        <f t="shared" si="43"/>
        <v>0</v>
      </c>
      <c r="AF91" s="117">
        <f t="shared" si="44"/>
        <v>0</v>
      </c>
    </row>
    <row r="92" spans="1:32">
      <c r="A92">
        <v>337</v>
      </c>
      <c r="B92" s="166" t="s">
        <v>508</v>
      </c>
      <c r="C92" s="117">
        <f>BS!G86</f>
        <v>138948</v>
      </c>
      <c r="D92" s="117">
        <f>BS!H86</f>
        <v>62000</v>
      </c>
      <c r="E92" s="117">
        <f>BS!I86</f>
        <v>65183</v>
      </c>
      <c r="F92" s="117">
        <f>BS!J86</f>
        <v>52798</v>
      </c>
      <c r="G92" s="117">
        <f>BS!K86</f>
        <v>53655</v>
      </c>
      <c r="H92" s="117">
        <f>BS!L86</f>
        <v>53172</v>
      </c>
      <c r="I92" s="117">
        <f>BS!M86</f>
        <v>54095</v>
      </c>
      <c r="J92" s="117">
        <f>BS!N86</f>
        <v>54554</v>
      </c>
      <c r="K92" s="117">
        <f>BS!O86</f>
        <v>54810</v>
      </c>
      <c r="L92" s="117">
        <f>BS!P86</f>
        <v>55422</v>
      </c>
      <c r="M92" s="117">
        <f>BS!Q86</f>
        <v>55725</v>
      </c>
      <c r="N92" s="117">
        <f>BS!R86</f>
        <v>57113</v>
      </c>
      <c r="O92" s="120">
        <f>BS!S86</f>
        <v>77161</v>
      </c>
      <c r="P92" s="117">
        <f>O92</f>
        <v>77161</v>
      </c>
      <c r="Q92" s="117">
        <f t="shared" ref="Q92:U92" si="47">P92</f>
        <v>77161</v>
      </c>
      <c r="R92" s="117">
        <f t="shared" si="47"/>
        <v>77161</v>
      </c>
      <c r="S92" s="117">
        <f t="shared" si="47"/>
        <v>77161</v>
      </c>
      <c r="T92" s="117">
        <f t="shared" si="47"/>
        <v>77161</v>
      </c>
      <c r="U92" s="117">
        <f t="shared" si="47"/>
        <v>77161</v>
      </c>
      <c r="V92" s="164" t="s">
        <v>421</v>
      </c>
      <c r="X92" s="2">
        <v>33</v>
      </c>
      <c r="Y92" s="117">
        <f t="shared" si="34"/>
        <v>1388</v>
      </c>
      <c r="Z92" s="117">
        <f t="shared" si="38"/>
        <v>20048</v>
      </c>
      <c r="AA92" s="117">
        <f t="shared" si="39"/>
        <v>0</v>
      </c>
      <c r="AB92" s="117">
        <f t="shared" si="40"/>
        <v>0</v>
      </c>
      <c r="AC92" s="117">
        <f t="shared" si="41"/>
        <v>0</v>
      </c>
      <c r="AD92" s="117">
        <f t="shared" si="42"/>
        <v>0</v>
      </c>
      <c r="AE92" s="117">
        <f t="shared" si="43"/>
        <v>0</v>
      </c>
      <c r="AF92" s="117">
        <f t="shared" si="44"/>
        <v>0</v>
      </c>
    </row>
    <row r="93" spans="1:32">
      <c r="A93">
        <v>338</v>
      </c>
      <c r="B93" s="166" t="s">
        <v>509</v>
      </c>
      <c r="C93" s="117">
        <f>BS!G87</f>
        <v>1203543</v>
      </c>
      <c r="D93" s="117">
        <f>BS!H87</f>
        <v>912244</v>
      </c>
      <c r="E93" s="117">
        <f>BS!I87</f>
        <v>610451</v>
      </c>
      <c r="F93" s="117">
        <f>BS!J87</f>
        <v>164412</v>
      </c>
      <c r="G93" s="117">
        <f>BS!K87</f>
        <v>1942</v>
      </c>
      <c r="H93" s="117">
        <f>BS!L87</f>
        <v>14618</v>
      </c>
      <c r="I93" s="117">
        <f>BS!M87</f>
        <v>494245</v>
      </c>
      <c r="J93" s="117">
        <f>BS!N87</f>
        <v>526264</v>
      </c>
      <c r="K93" s="117">
        <f>BS!O87</f>
        <v>341226</v>
      </c>
      <c r="L93" s="117">
        <f>BS!P87</f>
        <v>374433</v>
      </c>
      <c r="M93" s="117">
        <f>BS!Q87</f>
        <v>170828</v>
      </c>
      <c r="N93" s="117">
        <f>BS!R87</f>
        <v>169444</v>
      </c>
      <c r="O93" s="120">
        <f>BS!S87</f>
        <v>167936</v>
      </c>
      <c r="P93" s="165">
        <f>Debt!O13</f>
        <v>164919</v>
      </c>
      <c r="Q93" s="165">
        <f>Debt!P13</f>
        <v>161903</v>
      </c>
      <c r="R93" s="165">
        <f>Debt!Q13</f>
        <v>158887</v>
      </c>
      <c r="S93" s="165">
        <f>Debt!R13</f>
        <v>155871</v>
      </c>
      <c r="T93" s="165">
        <f>Debt!S13</f>
        <v>152855</v>
      </c>
      <c r="U93" s="165">
        <f>Debt!T13</f>
        <v>149839</v>
      </c>
      <c r="V93" s="164"/>
      <c r="X93" s="2">
        <v>33</v>
      </c>
      <c r="Y93" s="117">
        <f t="shared" si="34"/>
        <v>-1384</v>
      </c>
      <c r="Z93" s="117">
        <f t="shared" si="38"/>
        <v>-1508</v>
      </c>
      <c r="AA93" s="117">
        <f t="shared" si="39"/>
        <v>-3017</v>
      </c>
      <c r="AB93" s="117">
        <f t="shared" si="40"/>
        <v>-3016</v>
      </c>
      <c r="AC93" s="117">
        <f t="shared" si="41"/>
        <v>-3016</v>
      </c>
      <c r="AD93" s="117">
        <f t="shared" si="42"/>
        <v>-3016</v>
      </c>
      <c r="AE93" s="117">
        <f t="shared" si="43"/>
        <v>-3016</v>
      </c>
      <c r="AF93" s="117">
        <f t="shared" si="44"/>
        <v>-3016</v>
      </c>
    </row>
    <row r="94" spans="1:32">
      <c r="A94">
        <v>339</v>
      </c>
      <c r="B94" s="163" t="s">
        <v>510</v>
      </c>
      <c r="C94" s="117">
        <f>BS!G88</f>
        <v>0</v>
      </c>
      <c r="D94" s="117">
        <f>BS!H88</f>
        <v>0</v>
      </c>
      <c r="E94" s="117">
        <f>BS!I88</f>
        <v>0</v>
      </c>
      <c r="F94" s="117">
        <f>BS!J88</f>
        <v>0</v>
      </c>
      <c r="G94" s="117">
        <f>BS!K88</f>
        <v>0</v>
      </c>
      <c r="H94" s="117">
        <f>BS!L88</f>
        <v>0</v>
      </c>
      <c r="I94" s="117">
        <f>BS!M88</f>
        <v>0</v>
      </c>
      <c r="J94" s="117">
        <f>BS!N88</f>
        <v>0</v>
      </c>
      <c r="K94" s="117">
        <f>BS!O88</f>
        <v>0</v>
      </c>
      <c r="L94" s="117">
        <f>BS!P88</f>
        <v>0</v>
      </c>
      <c r="M94" s="117">
        <f>BS!Q88</f>
        <v>0</v>
      </c>
      <c r="N94" s="117">
        <f>BS!R88</f>
        <v>0</v>
      </c>
      <c r="O94" s="120">
        <f>BS!S88</f>
        <v>0</v>
      </c>
      <c r="P94" s="117">
        <f t="shared" ref="P94:P99" si="48">O94</f>
        <v>0</v>
      </c>
      <c r="Q94" s="117">
        <f t="shared" ref="Q94:U99" si="49">P94</f>
        <v>0</v>
      </c>
      <c r="R94" s="117">
        <f t="shared" si="49"/>
        <v>0</v>
      </c>
      <c r="S94" s="117">
        <f t="shared" si="49"/>
        <v>0</v>
      </c>
      <c r="T94" s="117">
        <f t="shared" si="49"/>
        <v>0</v>
      </c>
      <c r="U94" s="117">
        <f t="shared" si="49"/>
        <v>0</v>
      </c>
      <c r="V94" s="164"/>
      <c r="X94" s="2">
        <v>0</v>
      </c>
      <c r="Y94" s="117">
        <f t="shared" si="34"/>
        <v>0</v>
      </c>
      <c r="Z94" s="117">
        <f t="shared" si="38"/>
        <v>0</v>
      </c>
      <c r="AA94" s="117">
        <f t="shared" si="39"/>
        <v>0</v>
      </c>
      <c r="AB94" s="117">
        <f t="shared" si="40"/>
        <v>0</v>
      </c>
      <c r="AC94" s="117">
        <f t="shared" si="41"/>
        <v>0</v>
      </c>
      <c r="AD94" s="117">
        <f t="shared" si="42"/>
        <v>0</v>
      </c>
      <c r="AE94" s="117">
        <f t="shared" si="43"/>
        <v>0</v>
      </c>
      <c r="AF94" s="117">
        <f t="shared" si="44"/>
        <v>0</v>
      </c>
    </row>
    <row r="95" spans="1:32">
      <c r="A95">
        <v>340</v>
      </c>
      <c r="B95" s="163" t="s">
        <v>511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  <c r="O95" s="120">
        <v>0</v>
      </c>
      <c r="P95" s="117">
        <f t="shared" si="48"/>
        <v>0</v>
      </c>
      <c r="Q95" s="117">
        <f t="shared" si="49"/>
        <v>0</v>
      </c>
      <c r="R95" s="117">
        <f t="shared" si="49"/>
        <v>0</v>
      </c>
      <c r="S95" s="117">
        <f t="shared" si="49"/>
        <v>0</v>
      </c>
      <c r="T95" s="117">
        <f t="shared" si="49"/>
        <v>0</v>
      </c>
      <c r="U95" s="117">
        <f t="shared" si="49"/>
        <v>0</v>
      </c>
      <c r="V95" s="164"/>
      <c r="X95" s="2">
        <v>0</v>
      </c>
      <c r="Y95" s="117">
        <f t="shared" si="34"/>
        <v>0</v>
      </c>
      <c r="Z95" s="117">
        <f t="shared" si="38"/>
        <v>0</v>
      </c>
      <c r="AA95" s="117">
        <f t="shared" si="39"/>
        <v>0</v>
      </c>
      <c r="AB95" s="117">
        <f t="shared" si="40"/>
        <v>0</v>
      </c>
      <c r="AC95" s="117">
        <f t="shared" si="41"/>
        <v>0</v>
      </c>
      <c r="AD95" s="117">
        <f t="shared" si="42"/>
        <v>0</v>
      </c>
      <c r="AE95" s="117">
        <f t="shared" si="43"/>
        <v>0</v>
      </c>
      <c r="AF95" s="117">
        <f t="shared" si="44"/>
        <v>0</v>
      </c>
    </row>
    <row r="96" spans="1:32">
      <c r="A96">
        <v>341</v>
      </c>
      <c r="B96" s="163" t="s">
        <v>512</v>
      </c>
      <c r="C96" s="117">
        <f>BS!G89</f>
        <v>54710</v>
      </c>
      <c r="D96" s="117">
        <f>BS!H89</f>
        <v>43190</v>
      </c>
      <c r="E96" s="117">
        <f>BS!I89</f>
        <v>15183</v>
      </c>
      <c r="F96" s="117">
        <f>BS!J89</f>
        <v>13747</v>
      </c>
      <c r="G96" s="117">
        <f>BS!K89</f>
        <v>17217</v>
      </c>
      <c r="H96" s="117">
        <f>BS!L89</f>
        <v>31484</v>
      </c>
      <c r="I96" s="117">
        <f>BS!M89</f>
        <v>30544</v>
      </c>
      <c r="J96" s="117">
        <f>BS!N89</f>
        <v>36606</v>
      </c>
      <c r="K96" s="117">
        <f>BS!O89</f>
        <v>33303</v>
      </c>
      <c r="L96" s="117">
        <f>BS!P89</f>
        <v>36557</v>
      </c>
      <c r="M96" s="117">
        <f>BS!Q89</f>
        <v>50793</v>
      </c>
      <c r="N96" s="117">
        <f>BS!R89</f>
        <v>49208</v>
      </c>
      <c r="O96" s="120">
        <f>BS!S89</f>
        <v>406364</v>
      </c>
      <c r="P96" s="117">
        <f>O96</f>
        <v>406364</v>
      </c>
      <c r="Q96" s="117">
        <f t="shared" si="49"/>
        <v>406364</v>
      </c>
      <c r="R96" s="117">
        <f t="shared" si="49"/>
        <v>406364</v>
      </c>
      <c r="S96" s="117">
        <f t="shared" si="49"/>
        <v>406364</v>
      </c>
      <c r="T96" s="117">
        <f t="shared" si="49"/>
        <v>406364</v>
      </c>
      <c r="U96" s="117">
        <f t="shared" si="49"/>
        <v>406364</v>
      </c>
      <c r="V96" s="164"/>
      <c r="X96" s="2">
        <v>21</v>
      </c>
      <c r="Y96" s="117">
        <f t="shared" si="34"/>
        <v>-1585</v>
      </c>
      <c r="Z96" s="117">
        <f t="shared" si="38"/>
        <v>357156</v>
      </c>
      <c r="AA96" s="117">
        <f t="shared" si="39"/>
        <v>0</v>
      </c>
      <c r="AB96" s="117">
        <f t="shared" si="40"/>
        <v>0</v>
      </c>
      <c r="AC96" s="117">
        <f t="shared" si="41"/>
        <v>0</v>
      </c>
      <c r="AD96" s="117">
        <f t="shared" si="42"/>
        <v>0</v>
      </c>
      <c r="AE96" s="117">
        <f t="shared" si="43"/>
        <v>0</v>
      </c>
      <c r="AF96" s="117">
        <f t="shared" si="44"/>
        <v>0</v>
      </c>
    </row>
    <row r="97" spans="1:32">
      <c r="B97" s="163" t="s">
        <v>513</v>
      </c>
      <c r="C97" s="117">
        <f>BS!G90</f>
        <v>52790</v>
      </c>
      <c r="D97" s="117">
        <f>BS!H90</f>
        <v>0</v>
      </c>
      <c r="E97" s="117">
        <f>BS!I90</f>
        <v>0</v>
      </c>
      <c r="F97" s="117">
        <f>BS!J90</f>
        <v>0</v>
      </c>
      <c r="G97" s="117">
        <f>BS!K90</f>
        <v>0</v>
      </c>
      <c r="H97" s="117">
        <f>BS!L90</f>
        <v>0</v>
      </c>
      <c r="I97" s="117">
        <f>BS!M90</f>
        <v>0</v>
      </c>
      <c r="J97" s="117">
        <f>BS!N90</f>
        <v>0</v>
      </c>
      <c r="K97" s="117">
        <f>BS!O90</f>
        <v>0</v>
      </c>
      <c r="L97" s="117">
        <f>BS!P90</f>
        <v>0</v>
      </c>
      <c r="M97" s="117">
        <f>BS!Q90</f>
        <v>0</v>
      </c>
      <c r="N97" s="117">
        <f>BS!R90</f>
        <v>0</v>
      </c>
      <c r="O97" s="120">
        <f>BS!S90</f>
        <v>0</v>
      </c>
      <c r="P97" s="117">
        <f t="shared" si="48"/>
        <v>0</v>
      </c>
      <c r="Q97" s="117">
        <f t="shared" si="49"/>
        <v>0</v>
      </c>
      <c r="R97" s="117">
        <f t="shared" si="49"/>
        <v>0</v>
      </c>
      <c r="S97" s="117">
        <f t="shared" si="49"/>
        <v>0</v>
      </c>
      <c r="T97" s="117">
        <f t="shared" si="49"/>
        <v>0</v>
      </c>
      <c r="U97" s="117">
        <f t="shared" si="49"/>
        <v>0</v>
      </c>
      <c r="V97" s="164"/>
      <c r="X97" s="2">
        <v>3</v>
      </c>
      <c r="Y97" s="117">
        <f t="shared" si="34"/>
        <v>0</v>
      </c>
      <c r="Z97" s="117">
        <f t="shared" si="38"/>
        <v>0</v>
      </c>
      <c r="AA97" s="117">
        <f t="shared" si="39"/>
        <v>0</v>
      </c>
      <c r="AB97" s="117">
        <f t="shared" si="40"/>
        <v>0</v>
      </c>
      <c r="AC97" s="117">
        <f t="shared" si="41"/>
        <v>0</v>
      </c>
      <c r="AD97" s="117">
        <f t="shared" si="42"/>
        <v>0</v>
      </c>
      <c r="AE97" s="117">
        <f t="shared" si="43"/>
        <v>0</v>
      </c>
      <c r="AF97" s="117">
        <f t="shared" si="44"/>
        <v>0</v>
      </c>
    </row>
    <row r="98" spans="1:32">
      <c r="A98">
        <v>342</v>
      </c>
      <c r="B98" s="163" t="s">
        <v>514</v>
      </c>
      <c r="C98" s="117">
        <f>BS!G91</f>
        <v>55656</v>
      </c>
      <c r="D98" s="117">
        <f>BS!H91</f>
        <v>55656</v>
      </c>
      <c r="E98" s="117">
        <f>BS!I91</f>
        <v>629</v>
      </c>
      <c r="F98" s="117">
        <f>BS!J91</f>
        <v>568</v>
      </c>
      <c r="G98" s="117">
        <f>BS!K91</f>
        <v>64494</v>
      </c>
      <c r="H98" s="117">
        <f>BS!L91</f>
        <v>145868</v>
      </c>
      <c r="I98" s="117">
        <f>BS!M91</f>
        <v>135417</v>
      </c>
      <c r="J98" s="117">
        <f>BS!N91</f>
        <v>126213</v>
      </c>
      <c r="K98" s="117">
        <f>BS!O91</f>
        <v>81358</v>
      </c>
      <c r="L98" s="117">
        <f>BS!P91</f>
        <v>73895</v>
      </c>
      <c r="M98" s="117">
        <f>BS!Q91</f>
        <v>69412</v>
      </c>
      <c r="N98" s="117">
        <f>BS!R91</f>
        <v>69307</v>
      </c>
      <c r="O98" s="120">
        <f>BS!S91</f>
        <v>65696</v>
      </c>
      <c r="P98" s="117">
        <f t="shared" si="48"/>
        <v>65696</v>
      </c>
      <c r="Q98" s="117">
        <f t="shared" si="49"/>
        <v>65696</v>
      </c>
      <c r="R98" s="117">
        <f t="shared" si="49"/>
        <v>65696</v>
      </c>
      <c r="S98" s="117">
        <f t="shared" si="49"/>
        <v>65696</v>
      </c>
      <c r="T98" s="117">
        <f t="shared" si="49"/>
        <v>65696</v>
      </c>
      <c r="U98" s="117">
        <f t="shared" si="49"/>
        <v>65696</v>
      </c>
      <c r="V98" s="164"/>
      <c r="X98" s="2">
        <v>3</v>
      </c>
      <c r="Y98" s="117">
        <f t="shared" si="34"/>
        <v>-105</v>
      </c>
      <c r="Z98" s="117">
        <f t="shared" si="38"/>
        <v>-3611</v>
      </c>
      <c r="AA98" s="117">
        <f t="shared" si="39"/>
        <v>0</v>
      </c>
      <c r="AB98" s="117">
        <f t="shared" si="40"/>
        <v>0</v>
      </c>
      <c r="AC98" s="117">
        <f t="shared" si="41"/>
        <v>0</v>
      </c>
      <c r="AD98" s="117">
        <f t="shared" si="42"/>
        <v>0</v>
      </c>
      <c r="AE98" s="117">
        <f t="shared" si="43"/>
        <v>0</v>
      </c>
      <c r="AF98" s="117">
        <f t="shared" si="44"/>
        <v>0</v>
      </c>
    </row>
    <row r="99" spans="1:32">
      <c r="A99">
        <v>343</v>
      </c>
      <c r="B99" s="163" t="s">
        <v>515</v>
      </c>
      <c r="C99" s="117">
        <f>BS!G93</f>
        <v>57586</v>
      </c>
      <c r="D99" s="117">
        <f>BS!H93</f>
        <v>57586</v>
      </c>
      <c r="E99" s="117">
        <f>BS!I93</f>
        <v>55280</v>
      </c>
      <c r="F99" s="117">
        <f>BS!J93</f>
        <v>54271</v>
      </c>
      <c r="G99" s="117">
        <f>BS!K93</f>
        <v>54271</v>
      </c>
      <c r="H99" s="117">
        <f>BS!L93</f>
        <v>83998</v>
      </c>
      <c r="I99" s="117">
        <f>BS!M93</f>
        <v>83998</v>
      </c>
      <c r="J99" s="117">
        <f>BS!N93</f>
        <v>75789</v>
      </c>
      <c r="K99" s="117">
        <f>BS!O93</f>
        <v>0</v>
      </c>
      <c r="L99" s="117">
        <f>BS!P93</f>
        <v>0</v>
      </c>
      <c r="M99" s="117">
        <f>BS!Q93</f>
        <v>0</v>
      </c>
      <c r="N99" s="117">
        <f>BS!R93</f>
        <v>0</v>
      </c>
      <c r="O99" s="120">
        <f>BS!S93</f>
        <v>0</v>
      </c>
      <c r="P99" s="117">
        <f t="shared" si="48"/>
        <v>0</v>
      </c>
      <c r="Q99" s="117">
        <f t="shared" si="49"/>
        <v>0</v>
      </c>
      <c r="R99" s="117">
        <f t="shared" si="49"/>
        <v>0</v>
      </c>
      <c r="S99" s="117">
        <f t="shared" si="49"/>
        <v>0</v>
      </c>
      <c r="T99" s="117">
        <f t="shared" si="49"/>
        <v>0</v>
      </c>
      <c r="U99" s="117">
        <f t="shared" si="49"/>
        <v>0</v>
      </c>
      <c r="V99" s="164"/>
      <c r="X99" s="2">
        <v>0</v>
      </c>
      <c r="Y99" s="117">
        <f t="shared" si="34"/>
        <v>0</v>
      </c>
      <c r="Z99" s="117">
        <f t="shared" si="38"/>
        <v>0</v>
      </c>
      <c r="AA99" s="117">
        <f t="shared" si="39"/>
        <v>0</v>
      </c>
      <c r="AB99" s="117">
        <f t="shared" si="40"/>
        <v>0</v>
      </c>
      <c r="AC99" s="117">
        <f t="shared" si="41"/>
        <v>0</v>
      </c>
      <c r="AD99" s="117">
        <f t="shared" si="42"/>
        <v>0</v>
      </c>
      <c r="AE99" s="117">
        <f t="shared" si="43"/>
        <v>0</v>
      </c>
      <c r="AF99" s="117">
        <f t="shared" si="44"/>
        <v>0</v>
      </c>
    </row>
    <row r="100" spans="1:32" s="107" customFormat="1">
      <c r="A100">
        <v>400</v>
      </c>
      <c r="B100" s="156" t="s">
        <v>516</v>
      </c>
      <c r="C100" s="157">
        <f>BS!G94</f>
        <v>11101475</v>
      </c>
      <c r="D100" s="157">
        <f>BS!H94</f>
        <v>12983469</v>
      </c>
      <c r="E100" s="157">
        <f>BS!I94</f>
        <v>14064704</v>
      </c>
      <c r="F100" s="157">
        <f>BS!J94</f>
        <v>12433180</v>
      </c>
      <c r="G100" s="157">
        <f>BS!K94</f>
        <v>14420526</v>
      </c>
      <c r="H100" s="157">
        <f>BS!L94</f>
        <v>16111906</v>
      </c>
      <c r="I100" s="157">
        <f>BS!M94</f>
        <v>20076247</v>
      </c>
      <c r="J100" s="157">
        <f>BS!N94</f>
        <v>21215276</v>
      </c>
      <c r="K100" s="157">
        <f>BS!O94</f>
        <v>22594786</v>
      </c>
      <c r="L100" s="157">
        <f>BS!P94</f>
        <v>24590846</v>
      </c>
      <c r="M100" s="157">
        <f>BS!Q94</f>
        <v>25485158</v>
      </c>
      <c r="N100" s="157">
        <f>BS!R94</f>
        <v>24437093</v>
      </c>
      <c r="O100" s="183">
        <f>BS!S94</f>
        <v>22999815</v>
      </c>
      <c r="P100" s="157">
        <f ca="1">SUM(P101,P119,P123)</f>
        <v>22609802.020657476</v>
      </c>
      <c r="Q100" s="157">
        <f t="shared" ref="Q100:U100" ca="1" si="50">SUM(Q101,Q119,Q123)</f>
        <v>22397829.983210638</v>
      </c>
      <c r="R100" s="157">
        <f t="shared" ca="1" si="50"/>
        <v>22647556.754050314</v>
      </c>
      <c r="S100" s="157">
        <f t="shared" ca="1" si="50"/>
        <v>23018491.577807501</v>
      </c>
      <c r="T100" s="157">
        <f t="shared" ca="1" si="50"/>
        <v>23654817.11426314</v>
      </c>
      <c r="U100" s="157">
        <f t="shared" ca="1" si="50"/>
        <v>24531134.310308509</v>
      </c>
      <c r="V100" s="158"/>
      <c r="X100" s="2">
        <v>0</v>
      </c>
      <c r="Y100" s="157">
        <f t="shared" si="34"/>
        <v>-1048065</v>
      </c>
      <c r="Z100" s="157">
        <f t="shared" si="38"/>
        <v>-1437278</v>
      </c>
      <c r="AA100" s="157">
        <f t="shared" ca="1" si="39"/>
        <v>-390012.97934252396</v>
      </c>
      <c r="AB100" s="157">
        <f t="shared" ca="1" si="40"/>
        <v>-211972.03744683787</v>
      </c>
      <c r="AC100" s="157">
        <f t="shared" ca="1" si="41"/>
        <v>249726.77083967626</v>
      </c>
      <c r="AD100" s="157">
        <f t="shared" ca="1" si="42"/>
        <v>370934.82375718653</v>
      </c>
      <c r="AE100" s="157">
        <f t="shared" ca="1" si="43"/>
        <v>636325.53645563871</v>
      </c>
      <c r="AF100" s="157">
        <f t="shared" ca="1" si="44"/>
        <v>876317.19604536891</v>
      </c>
    </row>
    <row r="101" spans="1:32" s="107" customFormat="1">
      <c r="A101" s="107">
        <v>410</v>
      </c>
      <c r="B101" s="160" t="s">
        <v>517</v>
      </c>
      <c r="C101" s="157">
        <f>BS!G95</f>
        <v>11101437</v>
      </c>
      <c r="D101" s="157">
        <f>BS!H95</f>
        <v>12983432</v>
      </c>
      <c r="E101" s="157">
        <f>BS!I95</f>
        <v>14064666</v>
      </c>
      <c r="F101" s="157">
        <f>BS!J95</f>
        <v>12433143</v>
      </c>
      <c r="G101" s="157">
        <f>BS!K95</f>
        <v>14420489</v>
      </c>
      <c r="H101" s="157">
        <f>BS!L95</f>
        <v>16111868</v>
      </c>
      <c r="I101" s="157">
        <f>BS!M95</f>
        <v>20076247</v>
      </c>
      <c r="J101" s="157">
        <f>BS!N95</f>
        <v>21215276</v>
      </c>
      <c r="K101" s="157">
        <f>BS!O95</f>
        <v>22594786</v>
      </c>
      <c r="L101" s="157">
        <f>BS!P95</f>
        <v>24590846</v>
      </c>
      <c r="M101" s="157">
        <f>BS!Q95</f>
        <v>25485158</v>
      </c>
      <c r="N101" s="157">
        <f>BS!R95</f>
        <v>24437093</v>
      </c>
      <c r="O101" s="183">
        <f>BS!S95</f>
        <v>22999815</v>
      </c>
      <c r="P101" s="157">
        <f ca="1">P102+SUM(P105:P115,P118)</f>
        <v>22609802.020657476</v>
      </c>
      <c r="Q101" s="157">
        <f t="shared" ref="Q101:T101" ca="1" si="51">Q102+SUM(Q105:Q115,Q118)</f>
        <v>22397829.983210638</v>
      </c>
      <c r="R101" s="157">
        <f t="shared" ca="1" si="51"/>
        <v>22647556.754050314</v>
      </c>
      <c r="S101" s="157">
        <f t="shared" ca="1" si="51"/>
        <v>23018491.577807501</v>
      </c>
      <c r="T101" s="157">
        <f t="shared" ca="1" si="51"/>
        <v>23654817.11426314</v>
      </c>
      <c r="U101" s="157">
        <f ca="1">U102+SUM(U105:U115,U118)</f>
        <v>24531134.310308509</v>
      </c>
      <c r="V101" s="158"/>
      <c r="X101" s="2">
        <v>0</v>
      </c>
      <c r="Y101" s="157">
        <f t="shared" si="34"/>
        <v>-1048065</v>
      </c>
      <c r="Z101" s="157">
        <f t="shared" si="38"/>
        <v>-1437278</v>
      </c>
      <c r="AA101" s="157">
        <f t="shared" ca="1" si="39"/>
        <v>-390012.97934252396</v>
      </c>
      <c r="AB101" s="157">
        <f t="shared" ca="1" si="40"/>
        <v>-211972.03744683787</v>
      </c>
      <c r="AC101" s="157">
        <f t="shared" ca="1" si="41"/>
        <v>249726.77083967626</v>
      </c>
      <c r="AD101" s="157">
        <f t="shared" ca="1" si="42"/>
        <v>370934.82375718653</v>
      </c>
      <c r="AE101" s="157">
        <f t="shared" ca="1" si="43"/>
        <v>636325.53645563871</v>
      </c>
      <c r="AF101" s="157">
        <f t="shared" ca="1" si="44"/>
        <v>876317.19604536891</v>
      </c>
    </row>
    <row r="102" spans="1:32">
      <c r="A102" s="107">
        <v>411</v>
      </c>
      <c r="B102" s="163" t="s">
        <v>518</v>
      </c>
      <c r="C102" s="117">
        <f>BS!G96</f>
        <v>6412812</v>
      </c>
      <c r="D102" s="117">
        <f>BS!H96</f>
        <v>6412812</v>
      </c>
      <c r="E102" s="117">
        <f>BS!I96</f>
        <v>6412812</v>
      </c>
      <c r="F102" s="117">
        <f>BS!J96</f>
        <v>6412812</v>
      </c>
      <c r="G102" s="117">
        <f>BS!K96</f>
        <v>6412812</v>
      </c>
      <c r="H102" s="117">
        <f>BS!L96</f>
        <v>6412812</v>
      </c>
      <c r="I102" s="117">
        <f>BS!M96</f>
        <v>6412812</v>
      </c>
      <c r="J102" s="117">
        <f>BS!N96</f>
        <v>6412812</v>
      </c>
      <c r="K102" s="117">
        <f>BS!O96</f>
        <v>6412812</v>
      </c>
      <c r="L102" s="117">
        <f>BS!P96</f>
        <v>6412812</v>
      </c>
      <c r="M102" s="117">
        <f>BS!Q96</f>
        <v>12825624</v>
      </c>
      <c r="N102" s="117">
        <f>BS!R96</f>
        <v>12825624</v>
      </c>
      <c r="O102" s="120">
        <f>BS!S96</f>
        <v>12825624</v>
      </c>
      <c r="P102" s="117">
        <f t="shared" ref="P102:R102" si="52">SUM(P103:P104)</f>
        <v>12825624</v>
      </c>
      <c r="Q102" s="117">
        <f t="shared" si="52"/>
        <v>12825624</v>
      </c>
      <c r="R102" s="117">
        <f t="shared" si="52"/>
        <v>12825624</v>
      </c>
      <c r="S102" s="117">
        <f t="shared" ref="S102:U102" si="53">SUM(S103:S104)</f>
        <v>12825624</v>
      </c>
      <c r="T102" s="117">
        <f t="shared" si="53"/>
        <v>12825624</v>
      </c>
      <c r="U102" s="117">
        <f t="shared" si="53"/>
        <v>12825624</v>
      </c>
      <c r="V102" s="40"/>
      <c r="X102" s="2">
        <v>31</v>
      </c>
      <c r="Y102" s="117">
        <f t="shared" si="34"/>
        <v>0</v>
      </c>
      <c r="Z102" s="117">
        <f t="shared" si="38"/>
        <v>0</v>
      </c>
      <c r="AA102" s="117">
        <f t="shared" si="39"/>
        <v>0</v>
      </c>
      <c r="AB102" s="117">
        <f t="shared" si="40"/>
        <v>0</v>
      </c>
      <c r="AC102" s="117">
        <f t="shared" si="41"/>
        <v>0</v>
      </c>
      <c r="AD102" s="117">
        <f t="shared" si="42"/>
        <v>0</v>
      </c>
      <c r="AE102" s="117">
        <f t="shared" si="43"/>
        <v>0</v>
      </c>
      <c r="AF102" s="117">
        <f t="shared" si="44"/>
        <v>0</v>
      </c>
    </row>
    <row r="103" spans="1:32">
      <c r="A103" t="s">
        <v>519</v>
      </c>
      <c r="B103" s="163" t="s">
        <v>520</v>
      </c>
      <c r="C103" s="117">
        <f>BS!G96</f>
        <v>6412812</v>
      </c>
      <c r="D103" s="117">
        <f>BS!H96</f>
        <v>6412812</v>
      </c>
      <c r="E103" s="117">
        <f>BS!I96</f>
        <v>6412812</v>
      </c>
      <c r="F103" s="117">
        <f>BS!J96</f>
        <v>6412812</v>
      </c>
      <c r="G103" s="117">
        <f>BS!K96</f>
        <v>6412812</v>
      </c>
      <c r="H103" s="117">
        <f>BS!L96</f>
        <v>6412812</v>
      </c>
      <c r="I103" s="117">
        <f>BS!M96</f>
        <v>6412812</v>
      </c>
      <c r="J103" s="117">
        <f>BS!N96</f>
        <v>6412812</v>
      </c>
      <c r="K103" s="117">
        <f>BS!O96</f>
        <v>6412812</v>
      </c>
      <c r="L103" s="117">
        <f>BS!P96</f>
        <v>6412812</v>
      </c>
      <c r="M103" s="117">
        <f>BS!Q96</f>
        <v>12825624</v>
      </c>
      <c r="N103" s="117">
        <f>BS!R96</f>
        <v>12825624</v>
      </c>
      <c r="O103" s="120">
        <f>BS!S96</f>
        <v>12825624</v>
      </c>
      <c r="P103" s="165">
        <f>Equity!P5</f>
        <v>12825624</v>
      </c>
      <c r="Q103" s="165">
        <f>Equity!Q5</f>
        <v>12825624</v>
      </c>
      <c r="R103" s="165">
        <f>Equity!R5</f>
        <v>12825624</v>
      </c>
      <c r="S103" s="165">
        <f>Equity!S5</f>
        <v>12825624</v>
      </c>
      <c r="T103" s="165">
        <f>Equity!T5</f>
        <v>12825624</v>
      </c>
      <c r="U103" s="165">
        <f>Equity!U5</f>
        <v>12825624</v>
      </c>
      <c r="V103" s="40"/>
      <c r="X103" s="2">
        <v>0</v>
      </c>
      <c r="Y103" s="117">
        <f t="shared" si="34"/>
        <v>0</v>
      </c>
      <c r="Z103" s="117">
        <f t="shared" si="38"/>
        <v>0</v>
      </c>
      <c r="AA103" s="117">
        <f t="shared" si="39"/>
        <v>0</v>
      </c>
      <c r="AB103" s="117">
        <f t="shared" si="40"/>
        <v>0</v>
      </c>
      <c r="AC103" s="117">
        <f t="shared" si="41"/>
        <v>0</v>
      </c>
      <c r="AD103" s="117">
        <f t="shared" si="42"/>
        <v>0</v>
      </c>
      <c r="AE103" s="117">
        <f t="shared" si="43"/>
        <v>0</v>
      </c>
      <c r="AF103" s="117">
        <f t="shared" si="44"/>
        <v>0</v>
      </c>
    </row>
    <row r="104" spans="1:32">
      <c r="A104" t="s">
        <v>521</v>
      </c>
      <c r="B104" s="163" t="s">
        <v>522</v>
      </c>
      <c r="C104" s="117">
        <v>0</v>
      </c>
      <c r="D104" s="117">
        <v>0</v>
      </c>
      <c r="E104" s="117">
        <v>0</v>
      </c>
      <c r="F104" s="117">
        <v>0</v>
      </c>
      <c r="G104" s="117">
        <v>0</v>
      </c>
      <c r="H104" s="117">
        <v>0</v>
      </c>
      <c r="I104" s="117">
        <v>0</v>
      </c>
      <c r="J104" s="117">
        <v>0</v>
      </c>
      <c r="K104" s="117">
        <v>0</v>
      </c>
      <c r="L104" s="117">
        <v>0</v>
      </c>
      <c r="M104" s="117">
        <v>0</v>
      </c>
      <c r="N104" s="117">
        <v>0</v>
      </c>
      <c r="O104" s="120">
        <v>0</v>
      </c>
      <c r="P104" s="165">
        <v>0</v>
      </c>
      <c r="Q104" s="165">
        <v>0</v>
      </c>
      <c r="R104" s="165">
        <v>0</v>
      </c>
      <c r="S104" s="165">
        <v>0</v>
      </c>
      <c r="T104" s="165">
        <v>0</v>
      </c>
      <c r="U104" s="165">
        <v>0</v>
      </c>
      <c r="V104" s="40"/>
      <c r="X104" s="2">
        <v>0</v>
      </c>
      <c r="Y104" s="117">
        <f t="shared" si="34"/>
        <v>0</v>
      </c>
      <c r="Z104" s="117">
        <f t="shared" si="38"/>
        <v>0</v>
      </c>
      <c r="AA104" s="117">
        <f t="shared" si="39"/>
        <v>0</v>
      </c>
      <c r="AB104" s="117">
        <f t="shared" si="40"/>
        <v>0</v>
      </c>
      <c r="AC104" s="117">
        <f t="shared" si="41"/>
        <v>0</v>
      </c>
      <c r="AD104" s="117">
        <f t="shared" si="42"/>
        <v>0</v>
      </c>
      <c r="AE104" s="117">
        <f t="shared" si="43"/>
        <v>0</v>
      </c>
      <c r="AF104" s="117">
        <f t="shared" si="44"/>
        <v>0</v>
      </c>
    </row>
    <row r="105" spans="1:32">
      <c r="A105">
        <v>412</v>
      </c>
      <c r="B105" s="163" t="s">
        <v>523</v>
      </c>
      <c r="C105" s="117">
        <f>BS!G97</f>
        <v>0</v>
      </c>
      <c r="D105" s="117">
        <f>BS!H97</f>
        <v>0</v>
      </c>
      <c r="E105" s="117">
        <f>BS!I97</f>
        <v>0</v>
      </c>
      <c r="F105" s="117">
        <f>BS!J97</f>
        <v>0</v>
      </c>
      <c r="G105" s="117">
        <f>BS!K97</f>
        <v>0</v>
      </c>
      <c r="H105" s="117">
        <f>BS!L97</f>
        <v>0</v>
      </c>
      <c r="I105" s="117">
        <f>BS!M97</f>
        <v>0</v>
      </c>
      <c r="J105" s="117">
        <f>BS!N97</f>
        <v>0</v>
      </c>
      <c r="K105" s="117">
        <f>BS!O97</f>
        <v>0</v>
      </c>
      <c r="L105" s="117">
        <f>BS!P97</f>
        <v>0</v>
      </c>
      <c r="M105" s="117">
        <f>BS!Q97</f>
        <v>0</v>
      </c>
      <c r="N105" s="117">
        <f>BS!R97</f>
        <v>0</v>
      </c>
      <c r="O105" s="120">
        <f>BS!S97</f>
        <v>0</v>
      </c>
      <c r="P105" s="165">
        <f ca="1">Equity!P6</f>
        <v>0</v>
      </c>
      <c r="Q105" s="165">
        <f ca="1">Equity!Q6</f>
        <v>0</v>
      </c>
      <c r="R105" s="165">
        <f ca="1">Equity!R6</f>
        <v>0</v>
      </c>
      <c r="S105" s="165">
        <f ca="1">Equity!S6</f>
        <v>0</v>
      </c>
      <c r="T105" s="165">
        <f ca="1">Equity!T6</f>
        <v>0</v>
      </c>
      <c r="U105" s="165">
        <f ca="1">Equity!U6</f>
        <v>0</v>
      </c>
      <c r="V105" s="40"/>
      <c r="X105" s="2">
        <v>0</v>
      </c>
      <c r="Y105" s="117">
        <f t="shared" si="34"/>
        <v>0</v>
      </c>
      <c r="Z105" s="117">
        <f t="shared" si="38"/>
        <v>0</v>
      </c>
      <c r="AA105" s="117">
        <f t="shared" ca="1" si="39"/>
        <v>0</v>
      </c>
      <c r="AB105" s="117">
        <f t="shared" ca="1" si="40"/>
        <v>0</v>
      </c>
      <c r="AC105" s="117">
        <f t="shared" ca="1" si="41"/>
        <v>0</v>
      </c>
      <c r="AD105" s="117">
        <f t="shared" ca="1" si="42"/>
        <v>0</v>
      </c>
      <c r="AE105" s="117">
        <f t="shared" ca="1" si="43"/>
        <v>0</v>
      </c>
      <c r="AF105" s="117">
        <f t="shared" ca="1" si="44"/>
        <v>0</v>
      </c>
    </row>
    <row r="106" spans="1:32">
      <c r="A106">
        <v>413</v>
      </c>
      <c r="B106" s="163" t="s">
        <v>524</v>
      </c>
      <c r="C106" s="117">
        <f>BS!G98</f>
        <v>0</v>
      </c>
      <c r="D106" s="117">
        <f>BS!H98</f>
        <v>0</v>
      </c>
      <c r="E106" s="117">
        <f>BS!I98</f>
        <v>0</v>
      </c>
      <c r="F106" s="117">
        <f>BS!J98</f>
        <v>0</v>
      </c>
      <c r="G106" s="117">
        <f>BS!K98</f>
        <v>0</v>
      </c>
      <c r="H106" s="117">
        <f>BS!L98</f>
        <v>0</v>
      </c>
      <c r="I106" s="117">
        <f>BS!M98</f>
        <v>0</v>
      </c>
      <c r="J106" s="117">
        <f>BS!N98</f>
        <v>0</v>
      </c>
      <c r="K106" s="117">
        <f>BS!O98</f>
        <v>0</v>
      </c>
      <c r="L106" s="117">
        <f>BS!P98</f>
        <v>0</v>
      </c>
      <c r="M106" s="117">
        <f>BS!Q98</f>
        <v>0</v>
      </c>
      <c r="N106" s="117">
        <f>BS!R98</f>
        <v>0</v>
      </c>
      <c r="O106" s="120">
        <f>BS!S98</f>
        <v>0</v>
      </c>
      <c r="P106" s="165">
        <v>0</v>
      </c>
      <c r="Q106" s="165">
        <v>0</v>
      </c>
      <c r="R106" s="165">
        <v>0</v>
      </c>
      <c r="S106" s="165">
        <v>0</v>
      </c>
      <c r="T106" s="165">
        <v>0</v>
      </c>
      <c r="U106" s="165">
        <v>0</v>
      </c>
      <c r="V106" s="40"/>
      <c r="X106" s="2">
        <v>0</v>
      </c>
      <c r="Y106" s="117">
        <f t="shared" si="34"/>
        <v>0</v>
      </c>
      <c r="Z106" s="117">
        <f t="shared" si="38"/>
        <v>0</v>
      </c>
      <c r="AA106" s="117">
        <f t="shared" si="39"/>
        <v>0</v>
      </c>
      <c r="AB106" s="117">
        <f t="shared" si="40"/>
        <v>0</v>
      </c>
      <c r="AC106" s="117">
        <f t="shared" si="41"/>
        <v>0</v>
      </c>
      <c r="AD106" s="117">
        <f t="shared" si="42"/>
        <v>0</v>
      </c>
      <c r="AE106" s="117">
        <f t="shared" si="43"/>
        <v>0</v>
      </c>
      <c r="AF106" s="117">
        <f t="shared" si="44"/>
        <v>0</v>
      </c>
    </row>
    <row r="107" spans="1:32">
      <c r="A107">
        <v>414</v>
      </c>
      <c r="B107" s="163" t="s">
        <v>525</v>
      </c>
      <c r="C107" s="117">
        <f>BS!G99</f>
        <v>1516</v>
      </c>
      <c r="D107" s="117">
        <f>BS!H99</f>
        <v>3209</v>
      </c>
      <c r="E107" s="117">
        <f>BS!I99</f>
        <v>3209</v>
      </c>
      <c r="F107" s="117">
        <f>BS!J99</f>
        <v>3209</v>
      </c>
      <c r="G107" s="117">
        <f>BS!K99</f>
        <v>3209</v>
      </c>
      <c r="H107" s="117">
        <f>BS!L99</f>
        <v>3209</v>
      </c>
      <c r="I107" s="117">
        <f>BS!M99</f>
        <v>3209</v>
      </c>
      <c r="J107" s="117">
        <f>BS!N99</f>
        <v>3209</v>
      </c>
      <c r="K107" s="117">
        <f>BS!O99</f>
        <v>3209</v>
      </c>
      <c r="L107" s="117">
        <f>BS!P99</f>
        <v>3209</v>
      </c>
      <c r="M107" s="117">
        <f>BS!Q99</f>
        <v>3209</v>
      </c>
      <c r="N107" s="117">
        <f>BS!R99</f>
        <v>3209</v>
      </c>
      <c r="O107" s="120">
        <f>BS!S99</f>
        <v>3409</v>
      </c>
      <c r="P107" s="165">
        <f>Equity!P7</f>
        <v>3409</v>
      </c>
      <c r="Q107" s="165">
        <f>Equity!Q7</f>
        <v>3409</v>
      </c>
      <c r="R107" s="165">
        <f>Equity!R7</f>
        <v>3409</v>
      </c>
      <c r="S107" s="165">
        <f>Equity!S7</f>
        <v>3409</v>
      </c>
      <c r="T107" s="165">
        <f>Equity!T7</f>
        <v>3409</v>
      </c>
      <c r="U107" s="165">
        <f>Equity!U7</f>
        <v>3409</v>
      </c>
      <c r="V107" s="40"/>
      <c r="X107" s="2">
        <v>0</v>
      </c>
      <c r="Y107" s="117">
        <f t="shared" si="34"/>
        <v>0</v>
      </c>
      <c r="Z107" s="117">
        <f t="shared" si="38"/>
        <v>200</v>
      </c>
      <c r="AA107" s="117">
        <f t="shared" si="39"/>
        <v>0</v>
      </c>
      <c r="AB107" s="117">
        <f t="shared" si="40"/>
        <v>0</v>
      </c>
      <c r="AC107" s="117">
        <f t="shared" si="41"/>
        <v>0</v>
      </c>
      <c r="AD107" s="117">
        <f t="shared" si="42"/>
        <v>0</v>
      </c>
      <c r="AE107" s="117">
        <f t="shared" si="43"/>
        <v>0</v>
      </c>
      <c r="AF107" s="117">
        <f t="shared" si="44"/>
        <v>0</v>
      </c>
    </row>
    <row r="108" spans="1:32">
      <c r="A108">
        <v>415</v>
      </c>
      <c r="B108" s="163" t="s">
        <v>526</v>
      </c>
      <c r="C108" s="117">
        <f>BS!G100</f>
        <v>-32550</v>
      </c>
      <c r="D108" s="117">
        <f>BS!H100</f>
        <v>-32550</v>
      </c>
      <c r="E108" s="117">
        <f>BS!I100</f>
        <v>-25550</v>
      </c>
      <c r="F108" s="117">
        <f>BS!J100</f>
        <v>-23450</v>
      </c>
      <c r="G108" s="117">
        <f>BS!K100</f>
        <v>0</v>
      </c>
      <c r="H108" s="117">
        <f>BS!L100</f>
        <v>0</v>
      </c>
      <c r="I108" s="117">
        <f>BS!M100</f>
        <v>0</v>
      </c>
      <c r="J108" s="117">
        <f>BS!N100</f>
        <v>0</v>
      </c>
      <c r="K108" s="117">
        <f>BS!O100</f>
        <v>0</v>
      </c>
      <c r="L108" s="117">
        <f>BS!P100</f>
        <v>0</v>
      </c>
      <c r="M108" s="117">
        <f>BS!Q100</f>
        <v>0</v>
      </c>
      <c r="N108" s="117">
        <f>BS!R100</f>
        <v>0</v>
      </c>
      <c r="O108" s="120">
        <f>BS!S100</f>
        <v>0</v>
      </c>
      <c r="P108" s="165">
        <f>Equity!P8</f>
        <v>0</v>
      </c>
      <c r="Q108" s="165">
        <f>Equity!Q8</f>
        <v>0</v>
      </c>
      <c r="R108" s="165">
        <f>Equity!R8</f>
        <v>0</v>
      </c>
      <c r="S108" s="165">
        <f>Equity!S8</f>
        <v>0</v>
      </c>
      <c r="T108" s="165">
        <f>Equity!T8</f>
        <v>0</v>
      </c>
      <c r="U108" s="165">
        <f>Equity!U8</f>
        <v>0</v>
      </c>
      <c r="V108" s="40"/>
      <c r="X108" s="2">
        <v>0</v>
      </c>
      <c r="Y108" s="117">
        <f t="shared" si="34"/>
        <v>0</v>
      </c>
      <c r="Z108" s="117">
        <f t="shared" si="38"/>
        <v>0</v>
      </c>
      <c r="AA108" s="117">
        <f t="shared" si="39"/>
        <v>0</v>
      </c>
      <c r="AB108" s="117">
        <f t="shared" si="40"/>
        <v>0</v>
      </c>
      <c r="AC108" s="117">
        <f t="shared" si="41"/>
        <v>0</v>
      </c>
      <c r="AD108" s="117">
        <f t="shared" si="42"/>
        <v>0</v>
      </c>
      <c r="AE108" s="117">
        <f t="shared" si="43"/>
        <v>0</v>
      </c>
      <c r="AF108" s="117">
        <f t="shared" si="44"/>
        <v>0</v>
      </c>
    </row>
    <row r="109" spans="1:32">
      <c r="A109">
        <v>416</v>
      </c>
      <c r="B109" s="163" t="s">
        <v>527</v>
      </c>
      <c r="C109" s="117">
        <f>BS!G101</f>
        <v>0</v>
      </c>
      <c r="D109" s="117">
        <f>BS!H101</f>
        <v>0</v>
      </c>
      <c r="E109" s="117">
        <f>BS!I101</f>
        <v>0</v>
      </c>
      <c r="F109" s="117">
        <f>BS!J101</f>
        <v>0</v>
      </c>
      <c r="G109" s="117">
        <f>BS!K101</f>
        <v>0</v>
      </c>
      <c r="H109" s="117">
        <f>BS!L101</f>
        <v>0</v>
      </c>
      <c r="I109" s="117">
        <f>BS!M101</f>
        <v>0</v>
      </c>
      <c r="J109" s="117">
        <f>BS!N101</f>
        <v>0</v>
      </c>
      <c r="K109" s="117">
        <f>BS!O101</f>
        <v>0</v>
      </c>
      <c r="L109" s="117">
        <f>BS!P101</f>
        <v>0</v>
      </c>
      <c r="M109" s="117">
        <f>BS!Q101</f>
        <v>0</v>
      </c>
      <c r="N109" s="117">
        <f>BS!R101</f>
        <v>0</v>
      </c>
      <c r="O109" s="120">
        <f>BS!S101</f>
        <v>0</v>
      </c>
      <c r="P109" s="165">
        <f>Equity!P9</f>
        <v>0</v>
      </c>
      <c r="Q109" s="165">
        <f>Equity!Q9</f>
        <v>0</v>
      </c>
      <c r="R109" s="165">
        <f>Equity!R9</f>
        <v>0</v>
      </c>
      <c r="S109" s="165">
        <f>Equity!S9</f>
        <v>0</v>
      </c>
      <c r="T109" s="165">
        <f>Equity!T9</f>
        <v>0</v>
      </c>
      <c r="U109" s="165">
        <f>Equity!U9</f>
        <v>0</v>
      </c>
      <c r="V109" s="40"/>
      <c r="X109" s="2">
        <v>0</v>
      </c>
      <c r="Y109" s="117">
        <f t="shared" si="34"/>
        <v>0</v>
      </c>
      <c r="Z109" s="117">
        <f t="shared" si="38"/>
        <v>0</v>
      </c>
      <c r="AA109" s="117">
        <f t="shared" si="39"/>
        <v>0</v>
      </c>
      <c r="AB109" s="117">
        <f t="shared" si="40"/>
        <v>0</v>
      </c>
      <c r="AC109" s="117">
        <f t="shared" si="41"/>
        <v>0</v>
      </c>
      <c r="AD109" s="117">
        <f t="shared" si="42"/>
        <v>0</v>
      </c>
      <c r="AE109" s="117">
        <f t="shared" si="43"/>
        <v>0</v>
      </c>
      <c r="AF109" s="117">
        <f t="shared" si="44"/>
        <v>0</v>
      </c>
    </row>
    <row r="110" spans="1:32">
      <c r="A110">
        <v>417</v>
      </c>
      <c r="B110" s="163" t="s">
        <v>528</v>
      </c>
      <c r="C110" s="117">
        <f>BS!G102</f>
        <v>6197</v>
      </c>
      <c r="D110" s="117">
        <f>BS!H102</f>
        <v>7597</v>
      </c>
      <c r="E110" s="117">
        <f>BS!I102</f>
        <v>14240</v>
      </c>
      <c r="F110" s="117">
        <f>BS!J102</f>
        <v>17007</v>
      </c>
      <c r="G110" s="117">
        <f>BS!K102</f>
        <v>19114</v>
      </c>
      <c r="H110" s="117">
        <f>BS!L102</f>
        <v>21099</v>
      </c>
      <c r="I110" s="117">
        <f>BS!M102</f>
        <v>27273</v>
      </c>
      <c r="J110" s="117">
        <f>BS!N102</f>
        <v>26865</v>
      </c>
      <c r="K110" s="117">
        <f>BS!O102</f>
        <v>27339</v>
      </c>
      <c r="L110" s="117">
        <f>BS!P102</f>
        <v>37136</v>
      </c>
      <c r="M110" s="117">
        <f>BS!Q102</f>
        <v>43954</v>
      </c>
      <c r="N110" s="117">
        <f>BS!R102</f>
        <v>53776</v>
      </c>
      <c r="O110" s="120">
        <f>BS!S102</f>
        <v>89863</v>
      </c>
      <c r="P110" s="165">
        <f>Equity!P10</f>
        <v>89863</v>
      </c>
      <c r="Q110" s="165">
        <f>Equity!Q10</f>
        <v>89863</v>
      </c>
      <c r="R110" s="165">
        <f>Equity!R10</f>
        <v>89863</v>
      </c>
      <c r="S110" s="165">
        <f>Equity!S10</f>
        <v>89863</v>
      </c>
      <c r="T110" s="165">
        <f>Equity!T10</f>
        <v>89863</v>
      </c>
      <c r="U110" s="165">
        <f>Equity!U10</f>
        <v>89863</v>
      </c>
      <c r="V110" s="40"/>
      <c r="X110" s="2">
        <v>0</v>
      </c>
      <c r="Y110" s="117">
        <f t="shared" si="34"/>
        <v>9822</v>
      </c>
      <c r="Z110" s="117">
        <f t="shared" si="38"/>
        <v>36087</v>
      </c>
      <c r="AA110" s="117">
        <f t="shared" si="39"/>
        <v>0</v>
      </c>
      <c r="AB110" s="117">
        <f t="shared" si="40"/>
        <v>0</v>
      </c>
      <c r="AC110" s="117">
        <f t="shared" si="41"/>
        <v>0</v>
      </c>
      <c r="AD110" s="117">
        <f t="shared" si="42"/>
        <v>0</v>
      </c>
      <c r="AE110" s="117">
        <f t="shared" si="43"/>
        <v>0</v>
      </c>
      <c r="AF110" s="117">
        <f t="shared" si="44"/>
        <v>0</v>
      </c>
    </row>
    <row r="111" spans="1:32">
      <c r="A111">
        <v>418</v>
      </c>
      <c r="B111" s="163" t="s">
        <v>529</v>
      </c>
      <c r="C111" s="117">
        <f>BS!G103</f>
        <v>323987</v>
      </c>
      <c r="D111" s="117">
        <f>BS!H103</f>
        <v>358190</v>
      </c>
      <c r="E111" s="117">
        <f>BS!I103</f>
        <v>1100003</v>
      </c>
      <c r="F111" s="117">
        <f>BS!J103</f>
        <v>1118398</v>
      </c>
      <c r="G111" s="117">
        <f>BS!K103</f>
        <v>1118963</v>
      </c>
      <c r="H111" s="117">
        <f>BS!L103</f>
        <v>1130147</v>
      </c>
      <c r="I111" s="117">
        <f>BS!M103</f>
        <v>1130373</v>
      </c>
      <c r="J111" s="117">
        <f>BS!N103</f>
        <v>1122846</v>
      </c>
      <c r="K111" s="117">
        <f>BS!O103</f>
        <v>1122241</v>
      </c>
      <c r="L111" s="117">
        <f>BS!P103</f>
        <v>1122241</v>
      </c>
      <c r="M111" s="117">
        <f>BS!Q103</f>
        <v>1122241</v>
      </c>
      <c r="N111" s="117">
        <f>BS!R103</f>
        <v>1181710</v>
      </c>
      <c r="O111" s="120">
        <f>BS!S103</f>
        <v>1186744</v>
      </c>
      <c r="P111" s="165">
        <f>Equity!P11</f>
        <v>1186744</v>
      </c>
      <c r="Q111" s="165">
        <f>Equity!Q11</f>
        <v>1186744</v>
      </c>
      <c r="R111" s="165">
        <f>Equity!R11</f>
        <v>1186744</v>
      </c>
      <c r="S111" s="165">
        <f>Equity!S11</f>
        <v>1186744</v>
      </c>
      <c r="T111" s="165">
        <f>Equity!T11</f>
        <v>1186744</v>
      </c>
      <c r="U111" s="165">
        <f>Equity!U11</f>
        <v>1186744</v>
      </c>
      <c r="V111" s="40"/>
      <c r="X111" s="2"/>
      <c r="Y111" s="117">
        <f t="shared" si="34"/>
        <v>59469</v>
      </c>
      <c r="Z111" s="117">
        <f t="shared" si="38"/>
        <v>5034</v>
      </c>
      <c r="AA111" s="117">
        <f t="shared" si="39"/>
        <v>0</v>
      </c>
      <c r="AB111" s="117">
        <f t="shared" si="40"/>
        <v>0</v>
      </c>
      <c r="AC111" s="117">
        <f t="shared" si="41"/>
        <v>0</v>
      </c>
      <c r="AD111" s="117">
        <f t="shared" si="42"/>
        <v>0</v>
      </c>
      <c r="AE111" s="117">
        <f t="shared" si="43"/>
        <v>0</v>
      </c>
      <c r="AF111" s="117">
        <f t="shared" si="44"/>
        <v>0</v>
      </c>
    </row>
    <row r="112" spans="1:32">
      <c r="A112">
        <v>419</v>
      </c>
      <c r="B112" s="163" t="s">
        <v>530</v>
      </c>
      <c r="C112" s="117">
        <f>BS!G110</f>
        <v>0</v>
      </c>
      <c r="D112" s="117">
        <f>BS!H110</f>
        <v>0</v>
      </c>
      <c r="E112" s="117">
        <f>BS!I110</f>
        <v>0</v>
      </c>
      <c r="F112" s="117">
        <f>BS!J110</f>
        <v>0</v>
      </c>
      <c r="G112" s="117">
        <f>BS!K110</f>
        <v>0</v>
      </c>
      <c r="H112" s="117">
        <f>BS!L110</f>
        <v>0</v>
      </c>
      <c r="I112" s="117">
        <f>BS!M110</f>
        <v>0</v>
      </c>
      <c r="J112" s="117">
        <f>BS!N110</f>
        <v>0</v>
      </c>
      <c r="K112" s="117">
        <f>BS!O110</f>
        <v>0</v>
      </c>
      <c r="L112" s="117">
        <f>BS!P110</f>
        <v>0</v>
      </c>
      <c r="M112" s="117">
        <f>BS!Q110</f>
        <v>0</v>
      </c>
      <c r="N112" s="117">
        <f>BS!R110</f>
        <v>0</v>
      </c>
      <c r="O112" s="120">
        <f>BS!S110</f>
        <v>0</v>
      </c>
      <c r="P112" s="165">
        <v>0</v>
      </c>
      <c r="Q112" s="165">
        <v>0</v>
      </c>
      <c r="R112" s="165">
        <v>0</v>
      </c>
      <c r="S112" s="165"/>
      <c r="T112" s="165"/>
      <c r="U112" s="165"/>
      <c r="V112" s="40"/>
      <c r="X112" s="2">
        <v>0</v>
      </c>
      <c r="Y112" s="117">
        <f t="shared" si="34"/>
        <v>0</v>
      </c>
      <c r="Z112" s="117">
        <f t="shared" si="38"/>
        <v>0</v>
      </c>
      <c r="AA112" s="117">
        <f t="shared" si="39"/>
        <v>0</v>
      </c>
      <c r="AB112" s="117">
        <f t="shared" si="40"/>
        <v>0</v>
      </c>
      <c r="AC112" s="117">
        <f t="shared" si="41"/>
        <v>0</v>
      </c>
      <c r="AD112" s="117">
        <f t="shared" si="42"/>
        <v>0</v>
      </c>
      <c r="AE112" s="117">
        <f t="shared" si="43"/>
        <v>0</v>
      </c>
      <c r="AF112" s="117">
        <f t="shared" si="44"/>
        <v>0</v>
      </c>
    </row>
    <row r="113" spans="1:32">
      <c r="A113">
        <v>420</v>
      </c>
      <c r="B113" s="163" t="s">
        <v>531</v>
      </c>
      <c r="C113" s="117">
        <f>BS!G104</f>
        <v>592033</v>
      </c>
      <c r="D113" s="117">
        <f>BS!H104</f>
        <v>708214</v>
      </c>
      <c r="E113" s="117">
        <f>BS!I104</f>
        <v>0</v>
      </c>
      <c r="F113" s="117">
        <f>BS!J104</f>
        <v>0</v>
      </c>
      <c r="G113" s="117">
        <f>BS!K104</f>
        <v>0</v>
      </c>
      <c r="H113" s="117">
        <f>BS!L104</f>
        <v>0</v>
      </c>
      <c r="I113" s="117">
        <f>BS!M104</f>
        <v>0</v>
      </c>
      <c r="J113" s="117">
        <f>BS!N104</f>
        <v>0</v>
      </c>
      <c r="K113" s="117">
        <f>BS!O104</f>
        <v>0</v>
      </c>
      <c r="L113" s="117">
        <f>BS!P104</f>
        <v>0</v>
      </c>
      <c r="M113" s="117">
        <f>BS!Q104</f>
        <v>0</v>
      </c>
      <c r="N113" s="117">
        <f>BS!R104</f>
        <v>0</v>
      </c>
      <c r="O113" s="120">
        <f>BS!S104</f>
        <v>0</v>
      </c>
      <c r="P113" s="165">
        <f>Equity!P13</f>
        <v>0</v>
      </c>
      <c r="Q113" s="165">
        <f>Equity!Q13</f>
        <v>0</v>
      </c>
      <c r="R113" s="165">
        <f>Equity!R13</f>
        <v>0</v>
      </c>
      <c r="S113" s="165">
        <f>Equity!S13</f>
        <v>0</v>
      </c>
      <c r="T113" s="165">
        <f>Equity!T13</f>
        <v>0</v>
      </c>
      <c r="U113" s="165">
        <f>Equity!U13</f>
        <v>0</v>
      </c>
      <c r="V113" s="40"/>
      <c r="X113" s="2">
        <v>0</v>
      </c>
      <c r="Y113" s="117">
        <f t="shared" si="34"/>
        <v>0</v>
      </c>
      <c r="Z113" s="117">
        <f t="shared" si="38"/>
        <v>0</v>
      </c>
      <c r="AA113" s="117">
        <f t="shared" si="39"/>
        <v>0</v>
      </c>
      <c r="AB113" s="117">
        <f t="shared" si="40"/>
        <v>0</v>
      </c>
      <c r="AC113" s="117">
        <f t="shared" si="41"/>
        <v>0</v>
      </c>
      <c r="AD113" s="117">
        <f t="shared" si="42"/>
        <v>0</v>
      </c>
      <c r="AE113" s="117">
        <f t="shared" si="43"/>
        <v>0</v>
      </c>
      <c r="AF113" s="117">
        <f t="shared" si="44"/>
        <v>0</v>
      </c>
    </row>
    <row r="114" spans="1:32">
      <c r="A114">
        <v>421</v>
      </c>
      <c r="B114" s="163" t="s">
        <v>532</v>
      </c>
      <c r="C114" s="117">
        <f>BS!G105</f>
        <v>4902</v>
      </c>
      <c r="D114" s="117">
        <f>BS!H105</f>
        <v>4902</v>
      </c>
      <c r="E114" s="117">
        <f>BS!I105</f>
        <v>6109</v>
      </c>
      <c r="F114" s="117">
        <f>BS!J105</f>
        <v>6041</v>
      </c>
      <c r="G114" s="117">
        <f>BS!K105</f>
        <v>5327</v>
      </c>
      <c r="H114" s="117">
        <f>BS!L105</f>
        <v>5327</v>
      </c>
      <c r="I114" s="117">
        <f>BS!M105</f>
        <v>0</v>
      </c>
      <c r="J114" s="117">
        <f>BS!N105</f>
        <v>0</v>
      </c>
      <c r="K114" s="117">
        <f>BS!O105</f>
        <v>0</v>
      </c>
      <c r="L114" s="117">
        <f>BS!P105</f>
        <v>0</v>
      </c>
      <c r="M114" s="117">
        <f>BS!Q105</f>
        <v>0</v>
      </c>
      <c r="N114" s="117">
        <f>BS!R105</f>
        <v>0</v>
      </c>
      <c r="O114" s="120">
        <f>BS!S105</f>
        <v>0</v>
      </c>
      <c r="P114" s="165">
        <f>Equity!P14</f>
        <v>0</v>
      </c>
      <c r="Q114" s="165">
        <f>Equity!Q14</f>
        <v>0</v>
      </c>
      <c r="R114" s="165">
        <f>Equity!R14</f>
        <v>0</v>
      </c>
      <c r="S114" s="165">
        <f>Equity!S14</f>
        <v>0</v>
      </c>
      <c r="T114" s="165">
        <f>Equity!T14</f>
        <v>0</v>
      </c>
      <c r="U114" s="165">
        <f>Equity!U14</f>
        <v>0</v>
      </c>
      <c r="V114" s="40"/>
      <c r="X114" s="2">
        <v>1</v>
      </c>
      <c r="Y114" s="117">
        <f t="shared" si="34"/>
        <v>0</v>
      </c>
      <c r="Z114" s="117">
        <f t="shared" si="38"/>
        <v>0</v>
      </c>
      <c r="AA114" s="117">
        <f t="shared" si="39"/>
        <v>0</v>
      </c>
      <c r="AB114" s="117">
        <f t="shared" si="40"/>
        <v>0</v>
      </c>
      <c r="AC114" s="117">
        <f t="shared" si="41"/>
        <v>0</v>
      </c>
      <c r="AD114" s="117">
        <f t="shared" si="42"/>
        <v>0</v>
      </c>
      <c r="AE114" s="117">
        <f t="shared" si="43"/>
        <v>0</v>
      </c>
      <c r="AF114" s="117">
        <f t="shared" si="44"/>
        <v>0</v>
      </c>
    </row>
    <row r="115" spans="1:32">
      <c r="A115" t="s">
        <v>533</v>
      </c>
      <c r="B115" s="163" t="s">
        <v>534</v>
      </c>
      <c r="C115" s="117">
        <f>BS!G106</f>
        <v>2994993</v>
      </c>
      <c r="D115" s="117">
        <f>BS!H106</f>
        <v>4741509</v>
      </c>
      <c r="E115" s="117">
        <f>BS!I106</f>
        <v>5558227</v>
      </c>
      <c r="F115" s="117">
        <f>BS!J106</f>
        <v>3852925</v>
      </c>
      <c r="G115" s="117">
        <f>BS!K106</f>
        <v>5823904</v>
      </c>
      <c r="H115" s="117">
        <f>BS!L106</f>
        <v>7473778</v>
      </c>
      <c r="I115" s="117">
        <f>BS!M106</f>
        <v>11231596</v>
      </c>
      <c r="J115" s="117">
        <f>BS!N106</f>
        <v>12374499</v>
      </c>
      <c r="K115" s="117">
        <f>BS!O106</f>
        <v>13655871</v>
      </c>
      <c r="L115" s="117">
        <f>BS!P106</f>
        <v>15564896</v>
      </c>
      <c r="M115" s="117">
        <f>BS!Q106</f>
        <v>10217284</v>
      </c>
      <c r="N115" s="117">
        <f>BS!R106</f>
        <v>9217801</v>
      </c>
      <c r="O115" s="120">
        <f>BS!S106</f>
        <v>7047144</v>
      </c>
      <c r="P115" s="117">
        <f>Equity!P28</f>
        <v>6830031.078749706</v>
      </c>
      <c r="Q115" s="117">
        <f>Equity!Q28</f>
        <v>6754546.8680432728</v>
      </c>
      <c r="R115" s="117">
        <f>Equity!R28</f>
        <v>7100453.5508570084</v>
      </c>
      <c r="S115" s="117">
        <f>Equity!S28</f>
        <v>7546514.8526415555</v>
      </c>
      <c r="T115" s="117">
        <f>Equity!T28</f>
        <v>8235374.9017519997</v>
      </c>
      <c r="U115" s="117">
        <f>Equity!U28</f>
        <v>9146469.3342575356</v>
      </c>
      <c r="V115" s="40" t="s">
        <v>421</v>
      </c>
      <c r="X115" s="2">
        <v>0</v>
      </c>
      <c r="Y115" s="117">
        <f t="shared" si="34"/>
        <v>-999483</v>
      </c>
      <c r="Z115" s="117">
        <f t="shared" si="38"/>
        <v>-2170657</v>
      </c>
      <c r="AA115" s="117">
        <f t="shared" si="39"/>
        <v>-217112.92125029396</v>
      </c>
      <c r="AB115" s="117">
        <f t="shared" si="40"/>
        <v>-75484.210706433281</v>
      </c>
      <c r="AC115" s="117">
        <f t="shared" si="41"/>
        <v>345906.68281373568</v>
      </c>
      <c r="AD115" s="117">
        <f t="shared" si="42"/>
        <v>446061.30178454705</v>
      </c>
      <c r="AE115" s="117">
        <f t="shared" si="43"/>
        <v>688860.04911044426</v>
      </c>
      <c r="AF115" s="117">
        <f t="shared" si="44"/>
        <v>911094.43250553589</v>
      </c>
    </row>
    <row r="116" spans="1:32">
      <c r="A116" t="s">
        <v>535</v>
      </c>
      <c r="B116" s="163" t="s">
        <v>536</v>
      </c>
      <c r="C116" s="117">
        <f>BS!G107</f>
        <v>0</v>
      </c>
      <c r="D116" s="117">
        <f>BS!H107</f>
        <v>1499365</v>
      </c>
      <c r="E116" s="117">
        <f>BS!I107</f>
        <v>2147931</v>
      </c>
      <c r="F116" s="117">
        <f>BS!J107</f>
        <v>2229887</v>
      </c>
      <c r="G116" s="117">
        <f>BS!K107</f>
        <v>2946087</v>
      </c>
      <c r="H116" s="117">
        <f>BS!L107</f>
        <v>5787247</v>
      </c>
      <c r="I116" s="117">
        <f>BS!M107</f>
        <v>6485262</v>
      </c>
      <c r="J116" s="117">
        <f>BS!N107</f>
        <v>7805481</v>
      </c>
      <c r="K116" s="117">
        <f>BS!O107</f>
        <v>10132670</v>
      </c>
      <c r="L116" s="117">
        <f>BS!P107</f>
        <v>10484212</v>
      </c>
      <c r="M116" s="117">
        <f>BS!Q107</f>
        <v>6222786</v>
      </c>
      <c r="N116" s="117">
        <f>BS!R107</f>
        <v>5021306</v>
      </c>
      <c r="O116" s="120">
        <f>BS!S107</f>
        <v>2792179</v>
      </c>
      <c r="P116" s="165">
        <f>P115-P117</f>
        <v>2271016.1670991285</v>
      </c>
      <c r="Q116" s="165">
        <f t="shared" ref="Q116:U116" si="54">Q115-Q117</f>
        <v>2044382.7879577456</v>
      </c>
      <c r="R116" s="165">
        <f t="shared" si="54"/>
        <v>1940572.1578265941</v>
      </c>
      <c r="S116" s="165">
        <f t="shared" si="54"/>
        <v>2279746.3227147749</v>
      </c>
      <c r="T116" s="165">
        <f t="shared" si="54"/>
        <v>2709486.3910357915</v>
      </c>
      <c r="U116" s="165">
        <f t="shared" si="54"/>
        <v>3383407.5687765768</v>
      </c>
      <c r="V116" s="40"/>
      <c r="X116" s="2">
        <v>0</v>
      </c>
      <c r="Y116" s="117">
        <f t="shared" si="34"/>
        <v>-1201480</v>
      </c>
      <c r="Z116" s="117">
        <f t="shared" si="38"/>
        <v>-2229127</v>
      </c>
      <c r="AA116" s="117">
        <f t="shared" si="39"/>
        <v>-521162.83290087152</v>
      </c>
      <c r="AB116" s="117">
        <f t="shared" si="40"/>
        <v>-226633.37914138287</v>
      </c>
      <c r="AC116" s="117">
        <f t="shared" si="41"/>
        <v>-103810.63013115153</v>
      </c>
      <c r="AD116" s="117">
        <f t="shared" si="42"/>
        <v>339174.16488818079</v>
      </c>
      <c r="AE116" s="117">
        <f t="shared" si="43"/>
        <v>429740.06832101662</v>
      </c>
      <c r="AF116" s="117">
        <f t="shared" si="44"/>
        <v>673921.17774078529</v>
      </c>
    </row>
    <row r="117" spans="1:32">
      <c r="A117">
        <v>422</v>
      </c>
      <c r="B117" s="163" t="s">
        <v>537</v>
      </c>
      <c r="C117" s="117">
        <f>BS!G108</f>
        <v>2994993</v>
      </c>
      <c r="D117" s="117">
        <f>BS!H108</f>
        <v>3242144</v>
      </c>
      <c r="E117" s="117">
        <f>BS!I108</f>
        <v>3410296</v>
      </c>
      <c r="F117" s="117">
        <f>BS!J108</f>
        <v>1623038</v>
      </c>
      <c r="G117" s="117">
        <f>BS!K108</f>
        <v>2877817</v>
      </c>
      <c r="H117" s="117">
        <f>BS!L108</f>
        <v>1686530</v>
      </c>
      <c r="I117" s="117">
        <f>BS!M108</f>
        <v>4746335</v>
      </c>
      <c r="J117" s="117">
        <f>BS!N108</f>
        <v>4569018</v>
      </c>
      <c r="K117" s="117">
        <f>BS!O108</f>
        <v>3523201</v>
      </c>
      <c r="L117" s="117">
        <f>BS!P108</f>
        <v>5080683</v>
      </c>
      <c r="M117" s="117">
        <f>BS!Q108</f>
        <v>3994498</v>
      </c>
      <c r="N117" s="117">
        <f>BS!R108</f>
        <v>4196496</v>
      </c>
      <c r="O117" s="120">
        <f>BS!S108</f>
        <v>4254965</v>
      </c>
      <c r="P117" s="165">
        <f>'1IS'!P21</f>
        <v>4559014.9116505776</v>
      </c>
      <c r="Q117" s="165">
        <f>'1IS'!Q21</f>
        <v>4710164.0800855272</v>
      </c>
      <c r="R117" s="165">
        <f>'1IS'!R21</f>
        <v>5159881.3930304144</v>
      </c>
      <c r="S117" s="165">
        <f>'1IS'!S21</f>
        <v>5266768.5299267806</v>
      </c>
      <c r="T117" s="165">
        <f>'1IS'!T21</f>
        <v>5525888.5107162083</v>
      </c>
      <c r="U117" s="165">
        <f>'1IS'!U21</f>
        <v>5763061.7654809589</v>
      </c>
      <c r="V117" s="40"/>
      <c r="X117" s="2">
        <v>0</v>
      </c>
      <c r="Y117" s="117">
        <f t="shared" si="34"/>
        <v>201998</v>
      </c>
      <c r="Z117" s="117">
        <f t="shared" si="38"/>
        <v>58469</v>
      </c>
      <c r="AA117" s="117">
        <f t="shared" si="39"/>
        <v>304049.91165057756</v>
      </c>
      <c r="AB117" s="117">
        <f t="shared" si="40"/>
        <v>151149.16843494959</v>
      </c>
      <c r="AC117" s="117">
        <f t="shared" si="41"/>
        <v>449717.31294488721</v>
      </c>
      <c r="AD117" s="117">
        <f t="shared" si="42"/>
        <v>106887.13689636625</v>
      </c>
      <c r="AE117" s="117">
        <f t="shared" si="43"/>
        <v>259119.98078942765</v>
      </c>
      <c r="AF117" s="117">
        <f t="shared" si="44"/>
        <v>237173.2547647506</v>
      </c>
    </row>
    <row r="118" spans="1:32">
      <c r="A118">
        <v>429</v>
      </c>
      <c r="B118" s="163" t="s">
        <v>538</v>
      </c>
      <c r="C118" s="117">
        <f>0</f>
        <v>0</v>
      </c>
      <c r="D118" s="117">
        <f>BS!H111</f>
        <v>779549</v>
      </c>
      <c r="E118" s="117">
        <f>BS!I111</f>
        <v>995618</v>
      </c>
      <c r="F118" s="117">
        <f>BS!J111</f>
        <v>1046201</v>
      </c>
      <c r="G118" s="117">
        <f>BS!K111</f>
        <v>1037160</v>
      </c>
      <c r="H118" s="117">
        <f>BS!L111</f>
        <v>1065496</v>
      </c>
      <c r="I118" s="117">
        <f>BS!M111</f>
        <v>1270984</v>
      </c>
      <c r="J118" s="117">
        <f>BS!N111</f>
        <v>1275046</v>
      </c>
      <c r="K118" s="117">
        <f>BS!O111</f>
        <v>1373313</v>
      </c>
      <c r="L118" s="117">
        <f>BS!P111</f>
        <v>1450552</v>
      </c>
      <c r="M118" s="117">
        <f>BS!Q111</f>
        <v>1272846</v>
      </c>
      <c r="N118" s="117">
        <f>BS!R111</f>
        <v>1154973</v>
      </c>
      <c r="O118" s="120">
        <f>BS!S111</f>
        <v>1847031</v>
      </c>
      <c r="P118" s="165">
        <f>Equity!P16</f>
        <v>1674130.9419077702</v>
      </c>
      <c r="Q118" s="165">
        <f>Equity!Q16</f>
        <v>1537643.1151673649</v>
      </c>
      <c r="R118" s="165">
        <f>Equity!R16</f>
        <v>1441463.2031933037</v>
      </c>
      <c r="S118" s="165">
        <f>Equity!S16</f>
        <v>1366336.7251659464</v>
      </c>
      <c r="T118" s="165">
        <f>Equity!T16</f>
        <v>1313802.2125111434</v>
      </c>
      <c r="U118" s="165">
        <f>Equity!U16</f>
        <v>1279024.9760509711</v>
      </c>
      <c r="V118" s="40"/>
      <c r="X118" s="2">
        <v>0</v>
      </c>
      <c r="Y118" s="117">
        <f t="shared" si="34"/>
        <v>-117873</v>
      </c>
      <c r="Z118" s="117">
        <f t="shared" si="38"/>
        <v>692058</v>
      </c>
      <c r="AA118" s="117">
        <f t="shared" si="39"/>
        <v>-172900.05809222977</v>
      </c>
      <c r="AB118" s="117">
        <f t="shared" si="40"/>
        <v>-136487.82674040529</v>
      </c>
      <c r="AC118" s="117">
        <f t="shared" si="41"/>
        <v>-96179.91197406128</v>
      </c>
      <c r="AD118" s="117">
        <f t="shared" si="42"/>
        <v>-75126.478027357254</v>
      </c>
      <c r="AE118" s="117">
        <f t="shared" si="43"/>
        <v>-52534.512654802995</v>
      </c>
      <c r="AF118" s="117">
        <f t="shared" si="44"/>
        <v>-34777.236460172338</v>
      </c>
    </row>
    <row r="119" spans="1:32" s="107" customFormat="1">
      <c r="B119" s="160" t="s">
        <v>539</v>
      </c>
      <c r="C119" s="117">
        <f>BS!G112</f>
        <v>37</v>
      </c>
      <c r="D119" s="117">
        <f>BS!H112</f>
        <v>37</v>
      </c>
      <c r="E119" s="117">
        <f>BS!I112</f>
        <v>37</v>
      </c>
      <c r="F119" s="117">
        <f>BS!J112</f>
        <v>37</v>
      </c>
      <c r="G119" s="117">
        <f>BS!K112</f>
        <v>37</v>
      </c>
      <c r="H119" s="117">
        <f>BS!L112</f>
        <v>37</v>
      </c>
      <c r="I119" s="117">
        <f>BS!M112</f>
        <v>0</v>
      </c>
      <c r="J119" s="117">
        <f>BS!N112</f>
        <v>0</v>
      </c>
      <c r="K119" s="117">
        <f>BS!O112</f>
        <v>0</v>
      </c>
      <c r="L119" s="117">
        <f>BS!P112</f>
        <v>0</v>
      </c>
      <c r="M119" s="117">
        <f>BS!Q112</f>
        <v>0</v>
      </c>
      <c r="N119" s="117">
        <f>BS!R112</f>
        <v>0</v>
      </c>
      <c r="O119" s="120">
        <f>BS!S112</f>
        <v>0</v>
      </c>
      <c r="P119" s="165">
        <v>0</v>
      </c>
      <c r="Q119" s="165">
        <v>0</v>
      </c>
      <c r="R119" s="165">
        <v>0</v>
      </c>
      <c r="S119" s="165">
        <v>0</v>
      </c>
      <c r="T119" s="165">
        <v>0</v>
      </c>
      <c r="U119" s="165">
        <v>0</v>
      </c>
      <c r="V119" s="158"/>
      <c r="X119" s="2">
        <v>0</v>
      </c>
      <c r="Y119" s="157">
        <f t="shared" si="34"/>
        <v>0</v>
      </c>
      <c r="Z119" s="157">
        <f t="shared" si="38"/>
        <v>0</v>
      </c>
      <c r="AA119" s="157">
        <f t="shared" si="39"/>
        <v>0</v>
      </c>
      <c r="AB119" s="157">
        <f t="shared" si="40"/>
        <v>0</v>
      </c>
      <c r="AC119" s="157">
        <f t="shared" si="41"/>
        <v>0</v>
      </c>
      <c r="AD119" s="157">
        <f t="shared" si="42"/>
        <v>0</v>
      </c>
      <c r="AE119" s="157">
        <f t="shared" si="43"/>
        <v>0</v>
      </c>
      <c r="AF119" s="157">
        <f t="shared" si="44"/>
        <v>0</v>
      </c>
    </row>
    <row r="120" spans="1:32">
      <c r="B120" s="163" t="s">
        <v>540</v>
      </c>
      <c r="C120" s="117">
        <f>BS!G115</f>
        <v>0</v>
      </c>
      <c r="D120" s="117">
        <f>BS!H115</f>
        <v>0</v>
      </c>
      <c r="E120" s="117">
        <f>BS!I115</f>
        <v>0</v>
      </c>
      <c r="F120" s="117">
        <f>BS!J115</f>
        <v>0</v>
      </c>
      <c r="G120" s="117">
        <f>BS!K115</f>
        <v>0</v>
      </c>
      <c r="H120" s="117">
        <f>BS!L115</f>
        <v>0</v>
      </c>
      <c r="I120" s="117">
        <f>BS!M115</f>
        <v>0</v>
      </c>
      <c r="J120" s="117">
        <f>BS!N115</f>
        <v>0</v>
      </c>
      <c r="K120" s="117">
        <f>BS!O115</f>
        <v>0</v>
      </c>
      <c r="L120" s="117">
        <f>BS!P115</f>
        <v>0</v>
      </c>
      <c r="M120" s="117">
        <f>BS!Q115</f>
        <v>0</v>
      </c>
      <c r="N120" s="117">
        <f>BS!R115</f>
        <v>0</v>
      </c>
      <c r="O120" s="120">
        <f>BS!S115</f>
        <v>0</v>
      </c>
      <c r="P120" s="165">
        <v>0</v>
      </c>
      <c r="Q120" s="165">
        <v>0</v>
      </c>
      <c r="R120" s="165">
        <v>0</v>
      </c>
      <c r="S120" s="165">
        <v>0</v>
      </c>
      <c r="T120" s="165">
        <v>0</v>
      </c>
      <c r="U120" s="165">
        <v>0</v>
      </c>
      <c r="V120" s="164"/>
      <c r="X120" s="2">
        <v>0</v>
      </c>
      <c r="Y120" s="117">
        <f t="shared" si="34"/>
        <v>0</v>
      </c>
      <c r="Z120" s="117">
        <f t="shared" si="38"/>
        <v>0</v>
      </c>
      <c r="AA120" s="117">
        <f t="shared" si="39"/>
        <v>0</v>
      </c>
      <c r="AB120" s="117">
        <f t="shared" si="40"/>
        <v>0</v>
      </c>
      <c r="AC120" s="117">
        <f t="shared" si="41"/>
        <v>0</v>
      </c>
      <c r="AD120" s="117">
        <f t="shared" si="42"/>
        <v>0</v>
      </c>
      <c r="AE120" s="117">
        <f t="shared" si="43"/>
        <v>0</v>
      </c>
      <c r="AF120" s="117">
        <f t="shared" si="44"/>
        <v>0</v>
      </c>
    </row>
    <row r="121" spans="1:32">
      <c r="A121">
        <v>430</v>
      </c>
      <c r="B121" s="163" t="s">
        <v>541</v>
      </c>
      <c r="C121" s="117">
        <f>BS!G113</f>
        <v>37</v>
      </c>
      <c r="D121" s="117">
        <f>BS!H113</f>
        <v>37</v>
      </c>
      <c r="E121" s="117">
        <f>BS!I113</f>
        <v>37</v>
      </c>
      <c r="F121" s="117">
        <f>BS!J113</f>
        <v>37</v>
      </c>
      <c r="G121" s="117">
        <f>BS!K113</f>
        <v>37</v>
      </c>
      <c r="H121" s="117">
        <f>BS!L113</f>
        <v>37</v>
      </c>
      <c r="I121" s="117">
        <f>BS!M113</f>
        <v>0</v>
      </c>
      <c r="J121" s="117">
        <f>BS!N113</f>
        <v>0</v>
      </c>
      <c r="K121" s="117">
        <f>BS!O113</f>
        <v>0</v>
      </c>
      <c r="L121" s="117">
        <f>BS!P113</f>
        <v>0</v>
      </c>
      <c r="M121" s="117">
        <f>BS!Q113</f>
        <v>0</v>
      </c>
      <c r="N121" s="117">
        <f>BS!R113</f>
        <v>0</v>
      </c>
      <c r="O121" s="120">
        <f>BS!S113</f>
        <v>0</v>
      </c>
      <c r="P121" s="165">
        <v>0</v>
      </c>
      <c r="Q121" s="165">
        <v>0</v>
      </c>
      <c r="R121" s="165">
        <v>0</v>
      </c>
      <c r="S121" s="165">
        <v>0</v>
      </c>
      <c r="T121" s="165">
        <v>0</v>
      </c>
      <c r="U121" s="165">
        <v>0</v>
      </c>
      <c r="V121" s="164"/>
      <c r="X121" s="2">
        <v>0</v>
      </c>
      <c r="Y121" s="117">
        <f t="shared" si="34"/>
        <v>0</v>
      </c>
      <c r="Z121" s="117">
        <f t="shared" si="38"/>
        <v>0</v>
      </c>
      <c r="AA121" s="117">
        <f t="shared" si="39"/>
        <v>0</v>
      </c>
      <c r="AB121" s="117">
        <f t="shared" si="40"/>
        <v>0</v>
      </c>
      <c r="AC121" s="117">
        <f t="shared" si="41"/>
        <v>0</v>
      </c>
      <c r="AD121" s="117">
        <f t="shared" si="42"/>
        <v>0</v>
      </c>
      <c r="AE121" s="117">
        <f t="shared" si="43"/>
        <v>0</v>
      </c>
      <c r="AF121" s="117">
        <f t="shared" si="44"/>
        <v>0</v>
      </c>
    </row>
    <row r="122" spans="1:32">
      <c r="A122" s="107">
        <v>431</v>
      </c>
      <c r="B122" s="163" t="s">
        <v>542</v>
      </c>
      <c r="C122" s="117">
        <f>BS!G114</f>
        <v>0</v>
      </c>
      <c r="D122" s="117">
        <f>BS!H114</f>
        <v>0</v>
      </c>
      <c r="E122" s="117">
        <f>BS!I114</f>
        <v>0</v>
      </c>
      <c r="F122" s="117">
        <f>BS!J114</f>
        <v>0</v>
      </c>
      <c r="G122" s="117">
        <f>BS!K114</f>
        <v>0</v>
      </c>
      <c r="H122" s="117">
        <f>BS!L114</f>
        <v>0</v>
      </c>
      <c r="I122" s="117">
        <f>BS!M114</f>
        <v>0</v>
      </c>
      <c r="J122" s="117">
        <f>BS!N114</f>
        <v>0</v>
      </c>
      <c r="K122" s="117">
        <f>BS!O114</f>
        <v>0</v>
      </c>
      <c r="L122" s="117">
        <f>BS!P114</f>
        <v>0</v>
      </c>
      <c r="M122" s="117">
        <f>BS!Q114</f>
        <v>0</v>
      </c>
      <c r="N122" s="117">
        <f>BS!R114</f>
        <v>0</v>
      </c>
      <c r="O122" s="120">
        <f>BS!S114</f>
        <v>0</v>
      </c>
      <c r="P122" s="165">
        <v>0</v>
      </c>
      <c r="Q122" s="165">
        <v>0</v>
      </c>
      <c r="R122" s="165">
        <v>0</v>
      </c>
      <c r="S122" s="165">
        <v>0</v>
      </c>
      <c r="T122" s="165">
        <v>0</v>
      </c>
      <c r="U122" s="165">
        <v>0</v>
      </c>
      <c r="V122" s="164"/>
      <c r="X122" s="2">
        <v>0</v>
      </c>
      <c r="Y122" s="117">
        <f t="shared" si="34"/>
        <v>0</v>
      </c>
      <c r="Z122" s="117">
        <f t="shared" si="38"/>
        <v>0</v>
      </c>
      <c r="AA122" s="117">
        <f t="shared" si="39"/>
        <v>0</v>
      </c>
      <c r="AB122" s="117">
        <f t="shared" si="40"/>
        <v>0</v>
      </c>
      <c r="AC122" s="117">
        <f t="shared" si="41"/>
        <v>0</v>
      </c>
      <c r="AD122" s="117">
        <f t="shared" si="42"/>
        <v>0</v>
      </c>
      <c r="AE122" s="117">
        <f t="shared" si="43"/>
        <v>0</v>
      </c>
      <c r="AF122" s="117">
        <f t="shared" si="44"/>
        <v>0</v>
      </c>
    </row>
    <row r="123" spans="1:32" s="107" customFormat="1">
      <c r="A123">
        <v>432</v>
      </c>
      <c r="B123" s="156" t="s">
        <v>543</v>
      </c>
      <c r="C123" s="117">
        <f>BS!G111</f>
        <v>797548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  <c r="O123" s="120">
        <v>0</v>
      </c>
      <c r="P123" s="165">
        <v>0</v>
      </c>
      <c r="Q123" s="165">
        <v>0</v>
      </c>
      <c r="R123" s="165">
        <v>0</v>
      </c>
      <c r="S123" s="165">
        <v>0</v>
      </c>
      <c r="T123" s="165">
        <v>0</v>
      </c>
      <c r="U123" s="165">
        <v>0</v>
      </c>
      <c r="V123" s="158"/>
      <c r="X123" s="2">
        <v>0</v>
      </c>
      <c r="Y123" s="157">
        <f t="shared" si="34"/>
        <v>0</v>
      </c>
      <c r="Z123" s="157">
        <f t="shared" si="38"/>
        <v>0</v>
      </c>
      <c r="AA123" s="157">
        <f t="shared" si="39"/>
        <v>0</v>
      </c>
      <c r="AB123" s="157">
        <f t="shared" si="40"/>
        <v>0</v>
      </c>
      <c r="AC123" s="157">
        <f t="shared" si="41"/>
        <v>0</v>
      </c>
      <c r="AD123" s="157">
        <f t="shared" si="42"/>
        <v>0</v>
      </c>
      <c r="AE123" s="157">
        <f t="shared" si="43"/>
        <v>0</v>
      </c>
      <c r="AF123" s="157">
        <f t="shared" si="44"/>
        <v>0</v>
      </c>
    </row>
    <row r="124" spans="1:32" s="107" customFormat="1">
      <c r="A124">
        <v>440</v>
      </c>
      <c r="B124" s="170" t="s">
        <v>544</v>
      </c>
      <c r="C124" s="117">
        <f>BS!G116</f>
        <v>18814767</v>
      </c>
      <c r="D124" s="117">
        <f>BS!H116</f>
        <v>21674037</v>
      </c>
      <c r="E124" s="117">
        <f>BS!I116</f>
        <v>21571926</v>
      </c>
      <c r="F124" s="117">
        <f>BS!J116</f>
        <v>19192865</v>
      </c>
      <c r="G124" s="117">
        <f>BS!K116</f>
        <v>22013689</v>
      </c>
      <c r="H124" s="117">
        <f>BS!L116</f>
        <v>22366743</v>
      </c>
      <c r="I124" s="117">
        <f>BS!M116</f>
        <v>26962476</v>
      </c>
      <c r="J124" s="117">
        <f>BS!N116</f>
        <v>27374973</v>
      </c>
      <c r="K124" s="117">
        <f>BS!O116</f>
        <v>30487024</v>
      </c>
      <c r="L124" s="117">
        <f>BS!P116</f>
        <v>34465076</v>
      </c>
      <c r="M124" s="117">
        <f>BS!Q116</f>
        <v>34056625</v>
      </c>
      <c r="N124" s="117">
        <f>BS!R116</f>
        <v>33439406</v>
      </c>
      <c r="O124" s="120">
        <f>BS!S116</f>
        <v>32597354</v>
      </c>
      <c r="P124" s="117">
        <f ca="1">P100+P69</f>
        <v>31392671.762844</v>
      </c>
      <c r="Q124" s="117">
        <f t="shared" ref="Q124:U124" ca="1" si="55">Q100+Q69</f>
        <v>31025234.754139159</v>
      </c>
      <c r="R124" s="117">
        <f t="shared" ca="1" si="55"/>
        <v>31831628.902020618</v>
      </c>
      <c r="S124" s="117">
        <f t="shared" ca="1" si="55"/>
        <v>32298621.832074814</v>
      </c>
      <c r="T124" s="117">
        <f t="shared" ca="1" si="55"/>
        <v>33326360.476759426</v>
      </c>
      <c r="U124" s="117">
        <f t="shared" ca="1" si="55"/>
        <v>34482461.416320793</v>
      </c>
      <c r="V124" s="171"/>
      <c r="X124" s="2">
        <v>0</v>
      </c>
      <c r="Y124" s="157">
        <f t="shared" si="34"/>
        <v>-617219</v>
      </c>
      <c r="Z124" s="157">
        <f t="shared" si="38"/>
        <v>-842052</v>
      </c>
      <c r="AA124" s="157">
        <f t="shared" ca="1" si="39"/>
        <v>-1204682.237156</v>
      </c>
      <c r="AB124" s="157">
        <f t="shared" ca="1" si="40"/>
        <v>-367437.00870484114</v>
      </c>
      <c r="AC124" s="157">
        <f t="shared" ca="1" si="41"/>
        <v>806394.14788145944</v>
      </c>
      <c r="AD124" s="157">
        <f t="shared" ca="1" si="42"/>
        <v>466992.93005419523</v>
      </c>
      <c r="AE124" s="157">
        <f t="shared" ca="1" si="43"/>
        <v>1027738.6446846128</v>
      </c>
      <c r="AF124" s="157">
        <f t="shared" ca="1" si="44"/>
        <v>1156100.939561367</v>
      </c>
    </row>
    <row r="125" spans="1:32">
      <c r="L125" s="117"/>
      <c r="O125" s="120"/>
    </row>
    <row r="128" spans="1:32">
      <c r="B128" t="s">
        <v>545</v>
      </c>
      <c r="C128" s="172">
        <f>ROUND(C124-C68,0)</f>
        <v>0</v>
      </c>
      <c r="D128" s="172">
        <f t="shared" ref="D128:U128" si="56">ROUND(D124-D68,0)</f>
        <v>0</v>
      </c>
      <c r="E128" s="172">
        <f t="shared" si="56"/>
        <v>0</v>
      </c>
      <c r="F128" s="172">
        <f t="shared" si="56"/>
        <v>0</v>
      </c>
      <c r="G128" s="172">
        <f t="shared" si="56"/>
        <v>0</v>
      </c>
      <c r="H128" s="172">
        <f t="shared" si="56"/>
        <v>0</v>
      </c>
      <c r="I128" s="172">
        <f t="shared" si="56"/>
        <v>0</v>
      </c>
      <c r="J128" s="172">
        <f t="shared" si="56"/>
        <v>0</v>
      </c>
      <c r="K128" s="172">
        <f t="shared" si="56"/>
        <v>0</v>
      </c>
      <c r="L128" s="172">
        <f t="shared" si="56"/>
        <v>0</v>
      </c>
      <c r="M128" s="172">
        <f>ROUND(M124-M68,0)</f>
        <v>0</v>
      </c>
      <c r="N128" s="172">
        <f t="shared" si="56"/>
        <v>0</v>
      </c>
      <c r="O128" s="172">
        <f t="shared" si="56"/>
        <v>0</v>
      </c>
      <c r="P128" s="605">
        <f ca="1">ROUND(P124-P68,0)</f>
        <v>2</v>
      </c>
      <c r="Q128" s="605">
        <f t="shared" ca="1" si="56"/>
        <v>2</v>
      </c>
      <c r="R128" s="605">
        <f t="shared" ca="1" si="56"/>
        <v>2</v>
      </c>
      <c r="S128" s="605">
        <f t="shared" ca="1" si="56"/>
        <v>2</v>
      </c>
      <c r="T128" s="605">
        <f t="shared" ca="1" si="56"/>
        <v>2</v>
      </c>
      <c r="U128" s="605">
        <f t="shared" ca="1" si="56"/>
        <v>2</v>
      </c>
      <c r="W128" s="152"/>
    </row>
    <row r="130" spans="13:13">
      <c r="M130" s="173"/>
    </row>
  </sheetData>
  <mergeCells count="1">
    <mergeCell ref="C1:L1"/>
  </mergeCells>
  <conditionalFormatting sqref="C128:U128">
    <cfRule type="cellIs" dxfId="33" priority="1" operator="notEqual">
      <formula>0</formula>
    </cfRule>
    <cfRule type="cellIs" dxfId="32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D061-3B14-4DEA-96A8-E1A935A54815}">
  <sheetPr>
    <tabColor theme="7" tint="0.59999389629810485"/>
  </sheetPr>
  <dimension ref="B1:AE163"/>
  <sheetViews>
    <sheetView zoomScale="50" zoomScaleNormal="50" workbookViewId="0">
      <pane xSplit="2" ySplit="2" topLeftCell="M33" activePane="bottomRight" state="frozen"/>
      <selection pane="topRight" activeCell="C1" sqref="C1"/>
      <selection pane="bottomLeft" activeCell="A3" sqref="A3"/>
      <selection pane="bottomRight" activeCell="O63" sqref="O63"/>
    </sheetView>
  </sheetViews>
  <sheetFormatPr defaultColWidth="8.83203125" defaultRowHeight="14"/>
  <cols>
    <col min="2" max="2" width="28.5" customWidth="1"/>
    <col min="3" max="7" width="12.1640625" bestFit="1" customWidth="1"/>
    <col min="8" max="12" width="11.58203125" customWidth="1"/>
    <col min="13" max="14" width="12.9140625" bestFit="1" customWidth="1"/>
    <col min="15" max="15" width="12.9140625" style="40" bestFit="1" customWidth="1"/>
    <col min="16" max="21" width="12.9140625" bestFit="1" customWidth="1"/>
  </cols>
  <sheetData>
    <row r="1" spans="2:31">
      <c r="J1" s="39"/>
      <c r="M1" s="39"/>
      <c r="S1" s="39"/>
      <c r="W1" t="s">
        <v>366</v>
      </c>
    </row>
    <row r="2" spans="2:31">
      <c r="B2" s="41"/>
      <c r="C2" s="42">
        <v>2013</v>
      </c>
      <c r="D2" s="42">
        <f>C2+1</f>
        <v>2014</v>
      </c>
      <c r="E2" s="42">
        <f t="shared" ref="E2:G2" si="0">D2+1</f>
        <v>2015</v>
      </c>
      <c r="F2" s="42">
        <f t="shared" si="0"/>
        <v>2016</v>
      </c>
      <c r="G2" s="42">
        <f t="shared" si="0"/>
        <v>2017</v>
      </c>
      <c r="H2" s="42">
        <v>2018</v>
      </c>
      <c r="I2" s="42">
        <f>H2+1</f>
        <v>2019</v>
      </c>
      <c r="J2" s="42">
        <f t="shared" ref="J2:M2" si="1">I2+1</f>
        <v>2020</v>
      </c>
      <c r="K2" s="42">
        <f t="shared" si="1"/>
        <v>2021</v>
      </c>
      <c r="L2" s="42">
        <f t="shared" si="1"/>
        <v>2022</v>
      </c>
      <c r="M2" s="42">
        <f t="shared" si="1"/>
        <v>2023</v>
      </c>
      <c r="N2" s="42">
        <f>M2+1</f>
        <v>2024</v>
      </c>
      <c r="O2" s="158">
        <f>N2+1</f>
        <v>2025</v>
      </c>
      <c r="P2" s="43" t="str">
        <f>"E"&amp;(RIGHT(O2,4)+1)</f>
        <v>E2026</v>
      </c>
      <c r="Q2" s="43" t="str">
        <f t="shared" ref="Q2:R2" si="2">"E"&amp;(RIGHT(P2,4)+1)</f>
        <v>E2027</v>
      </c>
      <c r="R2" s="43" t="str">
        <f t="shared" si="2"/>
        <v>E2028</v>
      </c>
      <c r="S2" s="43" t="str">
        <f>"E"&amp;(RIGHT(R2,4)+1)</f>
        <v>E2029</v>
      </c>
      <c r="T2" s="43" t="str">
        <f>"E"&amp;(RIGHT(S2,4)+1)</f>
        <v>E2030</v>
      </c>
      <c r="U2" s="43" t="str">
        <f>"E"&amp;(RIGHT(T2,4)+1)</f>
        <v>E2031</v>
      </c>
      <c r="V2" s="43"/>
      <c r="W2" s="43" t="s">
        <v>367</v>
      </c>
      <c r="X2" s="43" t="s">
        <v>368</v>
      </c>
      <c r="Y2" s="43" t="s">
        <v>369</v>
      </c>
      <c r="Z2" s="43" t="s">
        <v>370</v>
      </c>
      <c r="AA2" s="43" t="s">
        <v>371</v>
      </c>
      <c r="AB2" s="43" t="s">
        <v>372</v>
      </c>
      <c r="AC2" s="43" t="s">
        <v>373</v>
      </c>
      <c r="AD2" s="43" t="s">
        <v>802</v>
      </c>
    </row>
    <row r="3" spans="2:31">
      <c r="B3" s="44" t="s">
        <v>374</v>
      </c>
      <c r="C3" s="45">
        <f>IS!G4</f>
        <v>24006260</v>
      </c>
      <c r="D3" s="45">
        <f>IS!H4</f>
        <v>25107165</v>
      </c>
      <c r="E3" s="45">
        <f>IS!I4</f>
        <v>27144302</v>
      </c>
      <c r="F3" s="45">
        <f>IS!J4</f>
        <v>30568678</v>
      </c>
      <c r="G3" s="45">
        <f>IS!K4</f>
        <v>34193391</v>
      </c>
      <c r="H3" s="45">
        <f>IS!L4</f>
        <v>35948553</v>
      </c>
      <c r="I3" s="45">
        <f>IS!M4</f>
        <v>37899060</v>
      </c>
      <c r="J3" s="45">
        <f>IS!N4</f>
        <v>27961324</v>
      </c>
      <c r="K3" s="45">
        <f>IS!O4</f>
        <v>26373746</v>
      </c>
      <c r="L3" s="45">
        <f>IS!P4</f>
        <v>34979084</v>
      </c>
      <c r="M3" s="45">
        <f>IS!Q4</f>
        <v>30461367</v>
      </c>
      <c r="N3" s="45">
        <f>IS!R4</f>
        <v>31872417</v>
      </c>
      <c r="O3" s="293">
        <f>IS!S4</f>
        <v>25888192</v>
      </c>
      <c r="P3" s="45">
        <f>Rev!P10</f>
        <v>27013433.246165488</v>
      </c>
      <c r="Q3" s="45">
        <f>Rev!Q10</f>
        <v>27701284.305715155</v>
      </c>
      <c r="R3" s="45">
        <f>Rev!R10</f>
        <v>28968445.042441562</v>
      </c>
      <c r="S3" s="45">
        <f>Rev!S10</f>
        <v>29683645.157619204</v>
      </c>
      <c r="T3" s="45">
        <f>Rev!T10</f>
        <v>30867609.24153753</v>
      </c>
      <c r="U3" s="45">
        <f>Rev!U10</f>
        <v>31633473.305291984</v>
      </c>
      <c r="V3" s="45"/>
      <c r="W3" s="46">
        <f>N3/M3-1</f>
        <v>4.6322609224989764E-2</v>
      </c>
      <c r="X3" s="46">
        <f>O3/N3-1</f>
        <v>-0.18775560698769722</v>
      </c>
      <c r="Y3" s="46">
        <f t="shared" ref="Y3:AD3" si="3">P3/O3-1</f>
        <v>4.3465424165793021E-2</v>
      </c>
      <c r="Z3" s="46">
        <f t="shared" si="3"/>
        <v>2.5463296474812491E-2</v>
      </c>
      <c r="AA3" s="46">
        <f t="shared" si="3"/>
        <v>4.5743754070816545E-2</v>
      </c>
      <c r="AB3" s="46">
        <f t="shared" si="3"/>
        <v>2.468893701853192E-2</v>
      </c>
      <c r="AC3" s="46">
        <f t="shared" si="3"/>
        <v>3.988607455827986E-2</v>
      </c>
      <c r="AD3" s="46">
        <f t="shared" si="3"/>
        <v>2.481125304397902E-2</v>
      </c>
    </row>
    <row r="4" spans="2:31">
      <c r="B4" s="47" t="s">
        <v>375</v>
      </c>
      <c r="C4" s="48">
        <f>-IS!G5</f>
        <v>-18149503</v>
      </c>
      <c r="D4" s="48">
        <f>-IS!H5</f>
        <v>-17636086</v>
      </c>
      <c r="E4" s="48">
        <f>-IS!I5</f>
        <v>-19586558</v>
      </c>
      <c r="F4" s="48">
        <f>-IS!J5</f>
        <v>-22301143</v>
      </c>
      <c r="G4" s="48">
        <f>-IS!K5</f>
        <v>-25327872</v>
      </c>
      <c r="H4" s="48">
        <f>-IS!L5</f>
        <v>-27864413</v>
      </c>
      <c r="I4" s="48">
        <f>-IS!M5</f>
        <v>-28348431</v>
      </c>
      <c r="J4" s="48">
        <f>-IS!N5</f>
        <v>-19460229</v>
      </c>
      <c r="K4" s="48">
        <f>-IS!O5</f>
        <v>-18765181</v>
      </c>
      <c r="L4" s="48">
        <f>-IS!P5</f>
        <v>-24208377</v>
      </c>
      <c r="M4" s="48">
        <f>-IS!Q5</f>
        <v>-21370005</v>
      </c>
      <c r="N4" s="48">
        <f>-IS!R5</f>
        <v>-22554221</v>
      </c>
      <c r="O4" s="49">
        <f>-IS!S5</f>
        <v>-16587631</v>
      </c>
      <c r="P4" s="48">
        <f>-Rev!P33</f>
        <v>-17682699.722071912</v>
      </c>
      <c r="Q4" s="48">
        <f>-Rev!Q33</f>
        <v>-18223910.073673785</v>
      </c>
      <c r="R4" s="48">
        <f>-Rev!R33</f>
        <v>-18936439.374622609</v>
      </c>
      <c r="S4" s="48">
        <f>-Rev!S33</f>
        <v>-19393082.845883727</v>
      </c>
      <c r="T4" s="48">
        <f>-Rev!T33</f>
        <v>-20096200.323745526</v>
      </c>
      <c r="U4" s="48">
        <f>-Rev!U33</f>
        <v>-20586395.659035377</v>
      </c>
      <c r="V4" s="48"/>
      <c r="W4" s="50"/>
      <c r="X4" s="50"/>
      <c r="Y4" s="50"/>
      <c r="Z4" s="50"/>
      <c r="AA4" s="51"/>
      <c r="AB4" s="51"/>
      <c r="AC4" s="51"/>
      <c r="AD4" s="39"/>
      <c r="AE4" s="39"/>
    </row>
    <row r="5" spans="2:31">
      <c r="B5" s="44" t="s">
        <v>376</v>
      </c>
      <c r="C5" s="48">
        <f>IS!G6</f>
        <v>5856757</v>
      </c>
      <c r="D5" s="48">
        <f>IS!H6</f>
        <v>7471080</v>
      </c>
      <c r="E5" s="48">
        <f>IS!I6</f>
        <v>7557744</v>
      </c>
      <c r="F5" s="48">
        <f>IS!J6</f>
        <v>8267535</v>
      </c>
      <c r="G5" s="48">
        <f>IS!K6</f>
        <v>8865518</v>
      </c>
      <c r="H5" s="48">
        <f>IS!L6</f>
        <v>8084139</v>
      </c>
      <c r="I5" s="48">
        <f>IS!M6</f>
        <v>9550629</v>
      </c>
      <c r="J5" s="48">
        <f>IS!N6</f>
        <v>8501095</v>
      </c>
      <c r="K5" s="48">
        <f>IS!O6</f>
        <v>7608565</v>
      </c>
      <c r="L5" s="48">
        <f>IS!P6</f>
        <v>10770707</v>
      </c>
      <c r="M5" s="48">
        <f>IS!Q6</f>
        <v>9091363</v>
      </c>
      <c r="N5" s="48">
        <f>IS!R6</f>
        <v>9318197</v>
      </c>
      <c r="O5" s="49">
        <f>IS!S6</f>
        <v>9300561</v>
      </c>
      <c r="P5" s="48">
        <f>P3+P4</f>
        <v>9330733.5240935758</v>
      </c>
      <c r="Q5" s="48">
        <f t="shared" ref="Q5:T5" si="4">Q3+Q4</f>
        <v>9477374.2320413701</v>
      </c>
      <c r="R5" s="48">
        <f t="shared" si="4"/>
        <v>10032005.667818952</v>
      </c>
      <c r="S5" s="48">
        <f t="shared" si="4"/>
        <v>10290562.311735477</v>
      </c>
      <c r="T5" s="48">
        <f t="shared" si="4"/>
        <v>10771408.917792004</v>
      </c>
      <c r="U5" s="48">
        <f>U3+U4</f>
        <v>11047077.646256607</v>
      </c>
      <c r="V5" s="48"/>
      <c r="W5" s="39"/>
      <c r="X5" s="39"/>
      <c r="Y5" s="39"/>
      <c r="AA5" s="39"/>
      <c r="AB5" s="39"/>
      <c r="AC5" s="39"/>
    </row>
    <row r="6" spans="2:31">
      <c r="B6" s="47" t="s">
        <v>377</v>
      </c>
      <c r="C6" s="48">
        <f>IS!G7</f>
        <v>375322</v>
      </c>
      <c r="D6" s="48">
        <f>IS!H7</f>
        <v>367210</v>
      </c>
      <c r="E6" s="48">
        <f>IS!I7</f>
        <v>418647</v>
      </c>
      <c r="F6" s="48">
        <f>IS!J7</f>
        <v>751041</v>
      </c>
      <c r="G6" s="48">
        <f>IS!K7</f>
        <v>506108</v>
      </c>
      <c r="H6" s="48">
        <f>IS!L7</f>
        <v>630350</v>
      </c>
      <c r="I6" s="48">
        <f>IS!M7</f>
        <v>889853</v>
      </c>
      <c r="J6" s="48">
        <f>IS!N7</f>
        <v>974402</v>
      </c>
      <c r="K6" s="48">
        <f>IS!O7</f>
        <v>1119597</v>
      </c>
      <c r="L6" s="48">
        <f>IS!P7</f>
        <v>1090561</v>
      </c>
      <c r="M6" s="48">
        <f>IS!Q7</f>
        <v>1432569</v>
      </c>
      <c r="N6" s="48">
        <f>IS!R7</f>
        <v>1067078</v>
      </c>
      <c r="O6" s="49">
        <f>IS!S7</f>
        <v>1006647</v>
      </c>
      <c r="P6" s="48">
        <f>'FI&amp;FE'!O2</f>
        <v>977523.69962457812</v>
      </c>
      <c r="Q6" s="48">
        <f>'FI&amp;FE'!P2</f>
        <v>927502.69559499959</v>
      </c>
      <c r="R6" s="48">
        <f>'FI&amp;FE'!Q2</f>
        <v>922159.29790540854</v>
      </c>
      <c r="S6" s="48">
        <f>'FI&amp;FE'!R2</f>
        <v>919283.02181077644</v>
      </c>
      <c r="T6" s="48">
        <f>'FI&amp;FE'!S2</f>
        <v>916482.26944071427</v>
      </c>
      <c r="U6" s="48">
        <f>'FI&amp;FE'!T2</f>
        <v>939848.60689847788</v>
      </c>
      <c r="V6" s="48"/>
    </row>
    <row r="7" spans="2:31">
      <c r="B7" s="47" t="s">
        <v>378</v>
      </c>
      <c r="C7" s="48">
        <f>-IS!G8</f>
        <v>-207140</v>
      </c>
      <c r="D7" s="48">
        <f>-IS!H8</f>
        <v>-89058</v>
      </c>
      <c r="E7" s="48">
        <f>-IS!I8</f>
        <v>-121795</v>
      </c>
      <c r="F7" s="48">
        <f>-IS!J8</f>
        <v>-68664</v>
      </c>
      <c r="G7" s="48">
        <f>-IS!K8</f>
        <v>25806</v>
      </c>
      <c r="H7" s="48">
        <f>-IS!L8</f>
        <v>-74635</v>
      </c>
      <c r="I7" s="48">
        <f>-IS!M8</f>
        <v>-93010</v>
      </c>
      <c r="J7" s="48">
        <f>-IS!N8</f>
        <v>-105449</v>
      </c>
      <c r="K7" s="48">
        <f>-IS!O8</f>
        <v>-22784</v>
      </c>
      <c r="L7" s="48">
        <f>-IS!P8</f>
        <v>-81993</v>
      </c>
      <c r="M7" s="48">
        <f>-IS!Q8</f>
        <v>-73434</v>
      </c>
      <c r="N7" s="48">
        <f>-IS!R8</f>
        <v>-24788</v>
      </c>
      <c r="O7" s="49">
        <f>-IS!S8</f>
        <v>-26257</v>
      </c>
      <c r="P7" s="48">
        <f>-'FI&amp;FE'!O12</f>
        <v>-29677.65703147696</v>
      </c>
      <c r="Q7" s="48">
        <f>-'FI&amp;FE'!P12</f>
        <v>-26823.98187387647</v>
      </c>
      <c r="R7" s="48">
        <f>-'FI&amp;FE'!Q12</f>
        <v>-29623.779814411155</v>
      </c>
      <c r="S7" s="48">
        <f>-'FI&amp;FE'!R12</f>
        <v>-32320.091723689322</v>
      </c>
      <c r="T7" s="48">
        <f>-'FI&amp;FE'!S12</f>
        <v>-34037.103714050776</v>
      </c>
      <c r="U7" s="48">
        <f>-'FI&amp;FE'!T12</f>
        <v>-36700.251316380767</v>
      </c>
      <c r="V7" s="48"/>
    </row>
    <row r="8" spans="2:31">
      <c r="B8" s="47" t="s">
        <v>379</v>
      </c>
      <c r="C8" s="48">
        <f>-IS!G9</f>
        <v>-149827</v>
      </c>
      <c r="D8" s="48">
        <f>-IS!H9</f>
        <v>-107216</v>
      </c>
      <c r="E8" s="48">
        <f>-IS!I9</f>
        <v>-76591</v>
      </c>
      <c r="F8" s="48">
        <f>-IS!J9</f>
        <v>-82182</v>
      </c>
      <c r="G8" s="48">
        <f>-IS!K9</f>
        <v>-42112</v>
      </c>
      <c r="H8" s="48">
        <f>-IS!L9</f>
        <v>-35245</v>
      </c>
      <c r="I8" s="48">
        <f>-IS!M9</f>
        <v>-37367</v>
      </c>
      <c r="J8" s="48">
        <f>-IS!N9</f>
        <v>-63681</v>
      </c>
      <c r="K8" s="48">
        <f>-IS!O9</f>
        <v>-48740</v>
      </c>
      <c r="L8" s="48">
        <f>-IS!P9</f>
        <v>-45517</v>
      </c>
      <c r="M8" s="48">
        <f>-IS!Q9</f>
        <v>-50215</v>
      </c>
      <c r="N8" s="48">
        <f>-IS!R9</f>
        <v>-27450</v>
      </c>
      <c r="O8" s="49">
        <f>-IS!S9</f>
        <v>-34346</v>
      </c>
      <c r="P8" s="48">
        <f>-'FI&amp;FE'!O13</f>
        <v>-33228.323698143628</v>
      </c>
      <c r="Q8" s="48">
        <f>-'FI&amp;FE'!P13</f>
        <v>-34924.037429432021</v>
      </c>
      <c r="R8" s="48">
        <f>-'FI&amp;FE'!Q13</f>
        <v>-37866.270555151896</v>
      </c>
      <c r="S8" s="48">
        <f>-'FI&amp;FE'!R13</f>
        <v>-39228.537711343641</v>
      </c>
      <c r="T8" s="48">
        <f>-'FI&amp;FE'!S13</f>
        <v>-41647.580308700984</v>
      </c>
      <c r="U8" s="48">
        <f>-'FI&amp;FE'!T13</f>
        <v>-44356.649507395865</v>
      </c>
      <c r="V8" s="48"/>
    </row>
    <row r="9" spans="2:31">
      <c r="B9" s="52" t="s">
        <v>380</v>
      </c>
      <c r="C9" s="48">
        <f>IS!G10</f>
        <v>307216</v>
      </c>
      <c r="D9" s="48">
        <f>IS!H10</f>
        <v>343821</v>
      </c>
      <c r="E9" s="48">
        <f>IS!I10</f>
        <v>371954</v>
      </c>
      <c r="F9" s="48">
        <f>IS!J10</f>
        <v>305650</v>
      </c>
      <c r="G9" s="48">
        <f>IS!K10</f>
        <v>411874</v>
      </c>
      <c r="H9" s="48">
        <f>IS!L10</f>
        <v>354965</v>
      </c>
      <c r="I9" s="48">
        <f>IS!M10</f>
        <v>378267</v>
      </c>
      <c r="J9" s="48">
        <f>IS!N10</f>
        <v>267406</v>
      </c>
      <c r="K9" s="48">
        <f>IS!O10</f>
        <v>172940</v>
      </c>
      <c r="L9" s="48">
        <f>IS!P10</f>
        <v>323119</v>
      </c>
      <c r="M9" s="48">
        <f>IS!Q10</f>
        <v>232054</v>
      </c>
      <c r="N9" s="48">
        <f>IS!R10</f>
        <v>197445</v>
      </c>
      <c r="O9" s="49">
        <f>IS!S10</f>
        <v>278264</v>
      </c>
      <c r="P9" s="48">
        <f>AVERAGE(N9:O9)</f>
        <v>237854.5</v>
      </c>
      <c r="Q9" s="48">
        <f>AVERAGE(N9:P9)</f>
        <v>237854.5</v>
      </c>
      <c r="R9" s="48">
        <f t="shared" ref="R9:U9" si="5">AVERAGE(P9:Q9)</f>
        <v>237854.5</v>
      </c>
      <c r="S9" s="48">
        <f t="shared" si="5"/>
        <v>237854.5</v>
      </c>
      <c r="T9" s="48">
        <f t="shared" si="5"/>
        <v>237854.5</v>
      </c>
      <c r="U9" s="48">
        <f t="shared" si="5"/>
        <v>237854.5</v>
      </c>
      <c r="V9" s="48"/>
    </row>
    <row r="10" spans="2:31">
      <c r="B10" s="47" t="s">
        <v>381</v>
      </c>
      <c r="C10" s="48">
        <f>-IS!G11</f>
        <v>-2132049</v>
      </c>
      <c r="D10" s="48">
        <f>-IS!H11</f>
        <v>-3177311</v>
      </c>
      <c r="E10" s="48">
        <f>-IS!I11</f>
        <v>-2682882</v>
      </c>
      <c r="F10" s="48">
        <f>-IS!J11</f>
        <v>-2781731</v>
      </c>
      <c r="G10" s="48">
        <f>-IS!K11</f>
        <v>-2811112</v>
      </c>
      <c r="H10" s="48">
        <f>-IS!L11</f>
        <v>-2731091</v>
      </c>
      <c r="I10" s="48">
        <f>-IS!M11</f>
        <v>-3003291</v>
      </c>
      <c r="J10" s="48">
        <f>-IS!N11</f>
        <v>-2859037</v>
      </c>
      <c r="K10" s="48">
        <f>-IS!O11</f>
        <v>-3500369</v>
      </c>
      <c r="L10" s="48">
        <f>-IS!P11</f>
        <v>-4532068</v>
      </c>
      <c r="M10" s="48">
        <f>-IS!Q11</f>
        <v>-4479228</v>
      </c>
      <c r="N10" s="48">
        <f>-IS!R11</f>
        <v>-4041557</v>
      </c>
      <c r="O10" s="49">
        <f>-IS!S11</f>
        <v>-4022369</v>
      </c>
      <c r="P10" s="48">
        <f>P3*P45</f>
        <v>-4052014.9869248229</v>
      </c>
      <c r="Q10" s="48">
        <f>Q3*Q45</f>
        <v>-3878179.8028001222</v>
      </c>
      <c r="R10" s="48">
        <f t="shared" ref="R10:S10" si="6">R3*R45</f>
        <v>-3910740.0807296112</v>
      </c>
      <c r="S10" s="48">
        <f t="shared" si="6"/>
        <v>-4007292.0962785929</v>
      </c>
      <c r="T10" s="48">
        <f>T3*T45</f>
        <v>-4167127.2476075669</v>
      </c>
      <c r="U10" s="48">
        <f>U3*U45</f>
        <v>-4175618.4762985422</v>
      </c>
      <c r="V10" s="48"/>
    </row>
    <row r="11" spans="2:31">
      <c r="B11" s="47" t="s">
        <v>382</v>
      </c>
      <c r="C11" s="48">
        <f>-IS!G12</f>
        <v>-619075</v>
      </c>
      <c r="D11" s="48">
        <f>-IS!H12</f>
        <v>-1041694</v>
      </c>
      <c r="E11" s="48">
        <f>-IS!I12</f>
        <v>-1110423</v>
      </c>
      <c r="F11" s="48">
        <f>-IS!J12</f>
        <v>-781829</v>
      </c>
      <c r="G11" s="48">
        <f>-IS!K12</f>
        <v>-935975</v>
      </c>
      <c r="H11" s="48">
        <f>-IS!L12</f>
        <v>-912705</v>
      </c>
      <c r="I11" s="48">
        <f>-IS!M12</f>
        <v>-1047842</v>
      </c>
      <c r="J11" s="48">
        <f>-IS!N12</f>
        <v>-702005</v>
      </c>
      <c r="K11" s="48">
        <f>-IS!O12</f>
        <v>-597716</v>
      </c>
      <c r="L11" s="48">
        <f>-IS!P12</f>
        <v>-740666</v>
      </c>
      <c r="M11" s="48">
        <f>-IS!Q12</f>
        <v>-800692</v>
      </c>
      <c r="N11" s="48">
        <f>-IS!R12</f>
        <v>-839414</v>
      </c>
      <c r="O11" s="49">
        <f>-IS!S12</f>
        <v>-983559</v>
      </c>
      <c r="P11" s="48">
        <f>P46*P3</f>
        <v>-864429.86387729563</v>
      </c>
      <c r="Q11" s="48">
        <f>Q46*Q3</f>
        <v>-969544.95070003055</v>
      </c>
      <c r="R11" s="48">
        <f t="shared" ref="R11:U11" si="7">R46*R3</f>
        <v>-970442.9089217924</v>
      </c>
      <c r="S11" s="48">
        <f t="shared" si="7"/>
        <v>-1016664.8466484578</v>
      </c>
      <c r="T11" s="48">
        <f t="shared" si="7"/>
        <v>-1045640.2630570839</v>
      </c>
      <c r="U11" s="48">
        <f t="shared" si="7"/>
        <v>-1077515.1844615082</v>
      </c>
      <c r="V11" s="48"/>
    </row>
    <row r="12" spans="2:31">
      <c r="B12" s="53" t="s">
        <v>383</v>
      </c>
      <c r="C12" s="48">
        <f>IS!G13</f>
        <v>3581029</v>
      </c>
      <c r="D12" s="48">
        <f>IS!H13</f>
        <v>3874048</v>
      </c>
      <c r="E12" s="48">
        <f>IS!I13</f>
        <v>4433244</v>
      </c>
      <c r="F12" s="48">
        <f>IS!J13</f>
        <v>5692001</v>
      </c>
      <c r="G12" s="48">
        <f>IS!K13</f>
        <v>6062219</v>
      </c>
      <c r="H12" s="48">
        <f>IS!L13</f>
        <v>5351023</v>
      </c>
      <c r="I12" s="48">
        <f>IS!M13</f>
        <v>6674606</v>
      </c>
      <c r="J12" s="48">
        <f>IS!N13</f>
        <v>6076411</v>
      </c>
      <c r="K12" s="48">
        <f>IS!O13</f>
        <v>4780233</v>
      </c>
      <c r="L12" s="48">
        <f>IS!P13</f>
        <v>6829660</v>
      </c>
      <c r="M12" s="48">
        <f>IS!Q13</f>
        <v>5402632</v>
      </c>
      <c r="N12" s="48">
        <f>IS!R13</f>
        <v>5676961</v>
      </c>
      <c r="O12" s="49">
        <f>IS!S13</f>
        <v>5553286</v>
      </c>
      <c r="P12" s="48">
        <f>P5+P6+P7+P9+P10+P11</f>
        <v>5599989.2158845579</v>
      </c>
      <c r="Q12" s="48">
        <f>Q5+Q6+Q7+Q9+Q10+Q11</f>
        <v>5768182.6922623394</v>
      </c>
      <c r="R12" s="48">
        <f t="shared" ref="R12:T12" si="8">R5+R6+R7+R9+R10+R11</f>
        <v>6281212.6962585459</v>
      </c>
      <c r="S12" s="48">
        <f t="shared" si="8"/>
        <v>6391422.7988955127</v>
      </c>
      <c r="T12" s="48">
        <f t="shared" si="8"/>
        <v>6678941.0728540169</v>
      </c>
      <c r="U12" s="48">
        <f>U5+U6+U7+U9+U10+U11</f>
        <v>6934946.8410786521</v>
      </c>
      <c r="V12" s="48"/>
      <c r="W12" s="46">
        <f>N12/M12-1</f>
        <v>5.0776917620892981E-2</v>
      </c>
      <c r="X12" s="46">
        <f>O12/N12-1</f>
        <v>-2.1785423574338436E-2</v>
      </c>
      <c r="Y12" s="46">
        <f t="shared" ref="Y12:AD12" si="9">P12/O12-1</f>
        <v>8.4100145183514385E-3</v>
      </c>
      <c r="Z12" s="46">
        <f t="shared" si="9"/>
        <v>3.0034607191866458E-2</v>
      </c>
      <c r="AA12" s="46">
        <f t="shared" si="9"/>
        <v>8.8941358373479495E-2</v>
      </c>
      <c r="AB12" s="46">
        <f t="shared" si="9"/>
        <v>1.7545991190939025E-2</v>
      </c>
      <c r="AC12" s="46">
        <f t="shared" si="9"/>
        <v>4.4985018673493027E-2</v>
      </c>
      <c r="AD12" s="46">
        <f t="shared" si="9"/>
        <v>3.8330292995868653E-2</v>
      </c>
    </row>
    <row r="13" spans="2:31">
      <c r="B13" s="47" t="s">
        <v>384</v>
      </c>
      <c r="C13" s="48">
        <f>IS!G14</f>
        <v>145914</v>
      </c>
      <c r="D13" s="48">
        <f>IS!H14</f>
        <v>196849</v>
      </c>
      <c r="E13" s="48">
        <f>IS!I14</f>
        <v>132650</v>
      </c>
      <c r="F13" s="48">
        <f>IS!J14</f>
        <v>128295</v>
      </c>
      <c r="G13" s="48">
        <f>IS!K14</f>
        <v>106139</v>
      </c>
      <c r="H13" s="48">
        <f>IS!L14</f>
        <v>81738</v>
      </c>
      <c r="I13" s="48">
        <f>IS!M14</f>
        <v>74504</v>
      </c>
      <c r="J13" s="48">
        <f>IS!N14</f>
        <v>55952</v>
      </c>
      <c r="K13" s="48">
        <f>IS!O14</f>
        <v>95929</v>
      </c>
      <c r="L13" s="48">
        <f>IS!P14</f>
        <v>20990</v>
      </c>
      <c r="M13" s="48">
        <f>IS!Q14</f>
        <v>17485</v>
      </c>
      <c r="N13" s="48">
        <f>IS!R14</f>
        <v>28313</v>
      </c>
      <c r="O13" s="49">
        <f>IS!S14</f>
        <v>152603</v>
      </c>
      <c r="P13" s="48">
        <f>AVERAGE(N13:O13)</f>
        <v>90458</v>
      </c>
      <c r="Q13" s="48">
        <f>AVERAGE(N13:P13)</f>
        <v>90458</v>
      </c>
      <c r="R13" s="48">
        <f t="shared" ref="R13:U14" si="10">AVERAGE(P13:Q13)</f>
        <v>90458</v>
      </c>
      <c r="S13" s="48">
        <f t="shared" si="10"/>
        <v>90458</v>
      </c>
      <c r="T13" s="48">
        <f t="shared" si="10"/>
        <v>90458</v>
      </c>
      <c r="U13" s="48">
        <f t="shared" si="10"/>
        <v>90458</v>
      </c>
      <c r="V13" s="48"/>
    </row>
    <row r="14" spans="2:31">
      <c r="B14" s="47" t="s">
        <v>385</v>
      </c>
      <c r="C14" s="48">
        <f>-IS!G15</f>
        <v>-148044</v>
      </c>
      <c r="D14" s="48">
        <f>-IS!H15</f>
        <v>-153339</v>
      </c>
      <c r="E14" s="48">
        <f>-IS!I15</f>
        <v>-95885</v>
      </c>
      <c r="F14" s="48">
        <f>-IS!J15</f>
        <v>-112898</v>
      </c>
      <c r="G14" s="48">
        <f>-IS!K15</f>
        <v>-91266</v>
      </c>
      <c r="H14" s="48">
        <f>-IS!L15</f>
        <v>-42322</v>
      </c>
      <c r="I14" s="48">
        <f>-IS!M15</f>
        <v>-62934</v>
      </c>
      <c r="J14" s="48">
        <f>-IS!N15</f>
        <v>-20545</v>
      </c>
      <c r="K14" s="48">
        <f>-IS!O15</f>
        <v>-19268</v>
      </c>
      <c r="L14" s="48">
        <f>-IS!P15</f>
        <v>-37233</v>
      </c>
      <c r="M14" s="48">
        <f>-IS!Q15</f>
        <v>-49706</v>
      </c>
      <c r="N14" s="48">
        <f>-IS!R15</f>
        <v>-57916</v>
      </c>
      <c r="O14" s="49">
        <f>-IS!S15</f>
        <v>-53924</v>
      </c>
      <c r="P14" s="48">
        <f>AVERAGE(N14:O14)</f>
        <v>-55920</v>
      </c>
      <c r="Q14" s="48">
        <f>AVERAGE(N14:P14)</f>
        <v>-55920</v>
      </c>
      <c r="R14" s="48">
        <f t="shared" si="10"/>
        <v>-55920</v>
      </c>
      <c r="S14" s="48">
        <f t="shared" si="10"/>
        <v>-55920</v>
      </c>
      <c r="T14" s="48">
        <f t="shared" si="10"/>
        <v>-55920</v>
      </c>
      <c r="U14" s="48">
        <f t="shared" si="10"/>
        <v>-55920</v>
      </c>
      <c r="V14" s="48"/>
    </row>
    <row r="15" spans="2:31">
      <c r="B15" s="52" t="s">
        <v>386</v>
      </c>
      <c r="C15" s="48">
        <f>IS!G16</f>
        <v>-2130</v>
      </c>
      <c r="D15" s="48">
        <f>IS!H16</f>
        <v>43510</v>
      </c>
      <c r="E15" s="48">
        <f>IS!I16</f>
        <v>36765</v>
      </c>
      <c r="F15" s="48">
        <f>IS!J16</f>
        <v>15397</v>
      </c>
      <c r="G15" s="48">
        <f>IS!K16</f>
        <v>14873</v>
      </c>
      <c r="H15" s="48">
        <f>IS!L16</f>
        <v>39416</v>
      </c>
      <c r="I15" s="48">
        <f>IS!M16</f>
        <v>11570</v>
      </c>
      <c r="J15" s="48">
        <f>IS!N16</f>
        <v>35407</v>
      </c>
      <c r="K15" s="48">
        <f>IS!O16</f>
        <v>76661</v>
      </c>
      <c r="L15" s="48">
        <f>IS!P16</f>
        <v>-16243</v>
      </c>
      <c r="M15" s="48">
        <f>IS!Q16</f>
        <v>-32221</v>
      </c>
      <c r="N15" s="48">
        <f>IS!R16</f>
        <v>-29603</v>
      </c>
      <c r="O15" s="49">
        <f>IS!S16</f>
        <v>98679</v>
      </c>
      <c r="P15" s="48">
        <f t="shared" ref="P15:U15" si="11">P13+P14</f>
        <v>34538</v>
      </c>
      <c r="Q15" s="48">
        <f t="shared" si="11"/>
        <v>34538</v>
      </c>
      <c r="R15" s="48">
        <f t="shared" si="11"/>
        <v>34538</v>
      </c>
      <c r="S15" s="48">
        <f t="shared" si="11"/>
        <v>34538</v>
      </c>
      <c r="T15" s="48">
        <f t="shared" si="11"/>
        <v>34538</v>
      </c>
      <c r="U15" s="48">
        <f t="shared" si="11"/>
        <v>34538</v>
      </c>
      <c r="V15" s="48"/>
    </row>
    <row r="16" spans="2:31">
      <c r="B16" s="47" t="s">
        <v>387</v>
      </c>
      <c r="C16" s="48">
        <f>IS!G10</f>
        <v>307216</v>
      </c>
      <c r="D16" s="48">
        <f>IS!H10</f>
        <v>343821</v>
      </c>
      <c r="E16" s="48">
        <f>IS!I10</f>
        <v>371954</v>
      </c>
      <c r="F16" s="48">
        <f>IS!J10</f>
        <v>305650</v>
      </c>
      <c r="G16" s="48">
        <f>IS!K10</f>
        <v>411874</v>
      </c>
      <c r="H16" s="48">
        <f>IS!L10</f>
        <v>354965</v>
      </c>
      <c r="I16" s="48">
        <f>IS!M10</f>
        <v>378267</v>
      </c>
      <c r="J16" s="48">
        <f>IS!N10</f>
        <v>267406</v>
      </c>
      <c r="K16" s="48">
        <f>IS!O10</f>
        <v>172940</v>
      </c>
      <c r="L16" s="48">
        <f>IS!P10</f>
        <v>323119</v>
      </c>
      <c r="M16" s="48">
        <f>IS!Q10</f>
        <v>232054</v>
      </c>
      <c r="N16" s="48">
        <f>IS!R10</f>
        <v>197445</v>
      </c>
      <c r="O16" s="49">
        <f>IS!S10</f>
        <v>278264</v>
      </c>
      <c r="P16" s="48">
        <v>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48"/>
    </row>
    <row r="17" spans="2:30">
      <c r="B17" s="53" t="s">
        <v>388</v>
      </c>
      <c r="C17" s="48">
        <f>IS!G17</f>
        <v>3578899</v>
      </c>
      <c r="D17" s="48">
        <f>IS!H17</f>
        <v>3917558</v>
      </c>
      <c r="E17" s="48">
        <f>IS!I17</f>
        <v>4470009</v>
      </c>
      <c r="F17" s="48">
        <f>IS!J17</f>
        <v>5707398</v>
      </c>
      <c r="G17" s="48">
        <f>IS!K17</f>
        <v>6077092</v>
      </c>
      <c r="H17" s="48">
        <f>IS!L17</f>
        <v>5390440</v>
      </c>
      <c r="I17" s="48">
        <f>IS!M17</f>
        <v>6686177</v>
      </c>
      <c r="J17" s="48">
        <f>IS!N17</f>
        <v>6111818</v>
      </c>
      <c r="K17" s="48">
        <f>IS!O17</f>
        <v>4856894</v>
      </c>
      <c r="L17" s="48">
        <f>IS!P17</f>
        <v>6813417</v>
      </c>
      <c r="M17" s="48">
        <f>IS!Q17</f>
        <v>5370410</v>
      </c>
      <c r="N17" s="48">
        <f>IS!R17</f>
        <v>5647359</v>
      </c>
      <c r="O17" s="49">
        <f>IS!S17</f>
        <v>5651966</v>
      </c>
      <c r="P17" s="48">
        <f>P12+P15+P16</f>
        <v>5634527.2158845579</v>
      </c>
      <c r="Q17" s="48">
        <f>Q12+Q15+Q16</f>
        <v>5802720.6922623394</v>
      </c>
      <c r="R17" s="48">
        <f t="shared" ref="R17:T17" si="12">R12+R15+R16</f>
        <v>6315750.6962585459</v>
      </c>
      <c r="S17" s="48">
        <f t="shared" si="12"/>
        <v>6425960.7988955127</v>
      </c>
      <c r="T17" s="48">
        <f t="shared" si="12"/>
        <v>6713479.0728540169</v>
      </c>
      <c r="U17" s="48">
        <f>U12+U15+U16</f>
        <v>6969484.8410786521</v>
      </c>
      <c r="V17" s="48"/>
    </row>
    <row r="18" spans="2:30">
      <c r="B18" s="47" t="s">
        <v>389</v>
      </c>
      <c r="C18" s="48">
        <f>-IS!G18</f>
        <v>-1057338</v>
      </c>
      <c r="D18" s="48">
        <f>-IS!H18</f>
        <v>-971520</v>
      </c>
      <c r="E18" s="48">
        <f>-IS!I18</f>
        <v>-1085883</v>
      </c>
      <c r="F18" s="48">
        <f>-IS!J18</f>
        <v>-254203</v>
      </c>
      <c r="G18" s="48">
        <f>-IS!K18</f>
        <v>-1140540</v>
      </c>
      <c r="H18" s="48">
        <f>-IS!L18</f>
        <v>-1021134</v>
      </c>
      <c r="I18" s="48">
        <f>-IS!M18</f>
        <v>-1347172</v>
      </c>
      <c r="J18" s="48">
        <f>-IS!N18</f>
        <v>-1124943</v>
      </c>
      <c r="K18" s="48">
        <f>-IS!O18</f>
        <v>-954964</v>
      </c>
      <c r="L18" s="48">
        <f>-IS!P18</f>
        <v>-1323982</v>
      </c>
      <c r="M18" s="48">
        <f>-IS!Q18</f>
        <v>-1099083</v>
      </c>
      <c r="N18" s="48">
        <f>-IS!R18</f>
        <v>-1146257</v>
      </c>
      <c r="O18" s="49">
        <f>-IS!S18</f>
        <v>-1057138</v>
      </c>
      <c r="P18" s="48">
        <f>(P47*P17)</f>
        <v>-1075512.3042339801</v>
      </c>
      <c r="Q18" s="48">
        <f>Q47*Q17</f>
        <v>-1092556.612176812</v>
      </c>
      <c r="R18" s="48">
        <f t="shared" ref="R18:U18" si="13">R47*R17</f>
        <v>-1155869.3032281315</v>
      </c>
      <c r="S18" s="48">
        <f t="shared" si="13"/>
        <v>-1159192.2689687323</v>
      </c>
      <c r="T18" s="48">
        <f t="shared" si="13"/>
        <v>-1187590.5621378084</v>
      </c>
      <c r="U18" s="48">
        <f t="shared" si="13"/>
        <v>-1206423.0755976934</v>
      </c>
      <c r="V18" s="48"/>
    </row>
    <row r="19" spans="2:30">
      <c r="B19" s="47" t="s">
        <v>390</v>
      </c>
      <c r="C19" s="48">
        <f>-IS!G19</f>
        <v>-26167</v>
      </c>
      <c r="D19" s="48">
        <f>-IS!H19</f>
        <v>103055</v>
      </c>
      <c r="E19" s="48">
        <f>-IS!I19</f>
        <v>215969</v>
      </c>
      <c r="F19" s="48">
        <f>-IS!J19</f>
        <v>-798607</v>
      </c>
      <c r="G19" s="48">
        <f>-IS!K19</f>
        <v>12048</v>
      </c>
      <c r="H19" s="48">
        <f>-IS!L19</f>
        <v>33445</v>
      </c>
      <c r="I19" s="48">
        <f>-IS!M19</f>
        <v>31143</v>
      </c>
      <c r="J19" s="48">
        <f>-IS!N19</f>
        <v>-50030</v>
      </c>
      <c r="K19" s="48">
        <f>-IS!O19</f>
        <v>27376</v>
      </c>
      <c r="L19" s="48">
        <f>-IS!P19</f>
        <v>10363</v>
      </c>
      <c r="M19" s="48">
        <f>-IS!Q19</f>
        <v>-16275</v>
      </c>
      <c r="N19" s="48">
        <f>-IS!R19</f>
        <v>-6328</v>
      </c>
      <c r="O19" s="49">
        <f>-IS!S19</f>
        <v>-21702</v>
      </c>
      <c r="P19" s="48">
        <v>0</v>
      </c>
      <c r="Q19" s="48">
        <v>0</v>
      </c>
      <c r="R19" s="48">
        <v>0</v>
      </c>
      <c r="S19" s="48">
        <v>0</v>
      </c>
      <c r="T19" s="48">
        <v>0</v>
      </c>
      <c r="U19" s="48">
        <v>0</v>
      </c>
      <c r="V19" s="48"/>
    </row>
    <row r="20" spans="2:30">
      <c r="B20" s="47" t="s">
        <v>391</v>
      </c>
      <c r="C20" s="48">
        <f>-IS!G20</f>
        <v>-1083505</v>
      </c>
      <c r="D20" s="48">
        <f>-IS!H20</f>
        <v>-868465</v>
      </c>
      <c r="E20" s="48">
        <f>-IS!I20</f>
        <v>-869913</v>
      </c>
      <c r="F20" s="48">
        <f>-IS!J20</f>
        <v>-1052809</v>
      </c>
      <c r="G20" s="48">
        <f>-IS!K20</f>
        <v>-1128492</v>
      </c>
      <c r="H20" s="48">
        <f>-IS!L20</f>
        <v>-987690</v>
      </c>
      <c r="I20" s="48">
        <f>-IS!M20</f>
        <v>-1316029</v>
      </c>
      <c r="J20" s="48">
        <f>-IS!N20</f>
        <v>-1174972</v>
      </c>
      <c r="K20" s="48">
        <f>-IS!O20</f>
        <v>-927589</v>
      </c>
      <c r="L20" s="48">
        <f>-IS!P20</f>
        <v>-1313619</v>
      </c>
      <c r="M20" s="48">
        <f>-IS!Q20</f>
        <v>-1115357</v>
      </c>
      <c r="N20" s="48">
        <f>-IS!R20</f>
        <v>-1152585</v>
      </c>
      <c r="O20" s="49">
        <f>-IS!S20</f>
        <v>-1078841</v>
      </c>
      <c r="P20" s="48">
        <f>P18+P19</f>
        <v>-1075512.3042339801</v>
      </c>
      <c r="Q20" s="48">
        <f t="shared" ref="Q20:U20" si="14">Q18+Q19</f>
        <v>-1092556.612176812</v>
      </c>
      <c r="R20" s="48">
        <f t="shared" si="14"/>
        <v>-1155869.3032281315</v>
      </c>
      <c r="S20" s="48">
        <f t="shared" si="14"/>
        <v>-1159192.2689687323</v>
      </c>
      <c r="T20" s="48">
        <f t="shared" si="14"/>
        <v>-1187590.5621378084</v>
      </c>
      <c r="U20" s="48">
        <f t="shared" si="14"/>
        <v>-1206423.0755976934</v>
      </c>
      <c r="V20" s="48"/>
    </row>
    <row r="21" spans="2:30">
      <c r="B21" s="53" t="s">
        <v>392</v>
      </c>
      <c r="C21" s="45">
        <f>SUM(C17,C20)</f>
        <v>2495394</v>
      </c>
      <c r="D21" s="45">
        <f t="shared" ref="D21:O21" si="15">SUM(D17,D20)</f>
        <v>3049093</v>
      </c>
      <c r="E21" s="45">
        <f t="shared" si="15"/>
        <v>3600096</v>
      </c>
      <c r="F21" s="45">
        <f t="shared" si="15"/>
        <v>4654589</v>
      </c>
      <c r="G21" s="45">
        <f t="shared" si="15"/>
        <v>4948600</v>
      </c>
      <c r="H21" s="45">
        <f t="shared" si="15"/>
        <v>4402750</v>
      </c>
      <c r="I21" s="45">
        <f t="shared" si="15"/>
        <v>5370148</v>
      </c>
      <c r="J21" s="45">
        <f t="shared" si="15"/>
        <v>4936846</v>
      </c>
      <c r="K21" s="45">
        <f t="shared" si="15"/>
        <v>3929305</v>
      </c>
      <c r="L21" s="45">
        <f t="shared" si="15"/>
        <v>5499798</v>
      </c>
      <c r="M21" s="45">
        <f t="shared" si="15"/>
        <v>4255053</v>
      </c>
      <c r="N21" s="45">
        <f t="shared" si="15"/>
        <v>4494774</v>
      </c>
      <c r="O21" s="293">
        <f t="shared" si="15"/>
        <v>4573125</v>
      </c>
      <c r="P21" s="45">
        <f>SUM(P17,P20)</f>
        <v>4559014.9116505776</v>
      </c>
      <c r="Q21" s="45">
        <f>SUM(Q17,Q20)</f>
        <v>4710164.0800855272</v>
      </c>
      <c r="R21" s="45">
        <f>SUM(R17,R20)</f>
        <v>5159881.3930304144</v>
      </c>
      <c r="S21" s="45">
        <f t="shared" ref="S21:T21" si="16">SUM(S17,S20)</f>
        <v>5266768.5299267806</v>
      </c>
      <c r="T21" s="45">
        <f t="shared" si="16"/>
        <v>5525888.5107162083</v>
      </c>
      <c r="U21" s="45">
        <f>SUM(U17,U20)</f>
        <v>5763061.7654809589</v>
      </c>
      <c r="V21" s="45"/>
      <c r="W21" s="54">
        <f>N21/M21-1</f>
        <v>5.6337958657624254E-2</v>
      </c>
      <c r="X21" s="54">
        <f>O21/N21-1</f>
        <v>1.7431577204993998E-2</v>
      </c>
      <c r="Y21" s="54">
        <f t="shared" ref="Y21:AD21" si="17">P21/O21-1</f>
        <v>-3.0854368401087573E-3</v>
      </c>
      <c r="Z21" s="54">
        <f t="shared" si="17"/>
        <v>3.3153909641463919E-2</v>
      </c>
      <c r="AA21" s="54">
        <f t="shared" si="17"/>
        <v>9.5478056666068678E-2</v>
      </c>
      <c r="AB21" s="54">
        <f t="shared" si="17"/>
        <v>2.0715037566704897E-2</v>
      </c>
      <c r="AC21" s="54">
        <f t="shared" si="17"/>
        <v>4.9199044787531232E-2</v>
      </c>
      <c r="AD21" s="54">
        <f t="shared" si="17"/>
        <v>4.2920383627864878E-2</v>
      </c>
    </row>
    <row r="22" spans="2:30">
      <c r="B22" s="47" t="s">
        <v>393</v>
      </c>
      <c r="C22" s="48">
        <f>IS!G22</f>
        <v>77699</v>
      </c>
      <c r="D22" s="48">
        <f>IS!H22</f>
        <v>109116</v>
      </c>
      <c r="E22" s="48">
        <f>IS!I22</f>
        <v>189800</v>
      </c>
      <c r="F22" s="48">
        <f>IS!J22</f>
        <v>176617</v>
      </c>
      <c r="G22" s="48">
        <f>IS!K22</f>
        <v>237114</v>
      </c>
      <c r="H22" s="48">
        <f>IS!L22</f>
        <v>225318</v>
      </c>
      <c r="I22" s="48">
        <f>IS!M22</f>
        <v>316784</v>
      </c>
      <c r="J22" s="48">
        <f>IS!N22</f>
        <v>213349</v>
      </c>
      <c r="K22" s="48">
        <f>IS!O22</f>
        <v>252053</v>
      </c>
      <c r="L22" s="48">
        <f>IS!P22</f>
        <v>275947</v>
      </c>
      <c r="M22" s="48">
        <f>IS!Q22</f>
        <v>137448</v>
      </c>
      <c r="N22" s="48">
        <f>IS!R22</f>
        <v>164660</v>
      </c>
      <c r="O22" s="49">
        <f>IS!S22</f>
        <v>149585</v>
      </c>
      <c r="P22" s="48">
        <f>P21*P48</f>
        <v>159565.52190777022</v>
      </c>
      <c r="Q22" s="48">
        <f t="shared" ref="Q22:U22" si="18">Q21*Q48</f>
        <v>164855.74280299345</v>
      </c>
      <c r="R22" s="48">
        <f t="shared" si="18"/>
        <v>180595.84875606452</v>
      </c>
      <c r="S22" s="48">
        <f t="shared" si="18"/>
        <v>184336.89854743733</v>
      </c>
      <c r="T22" s="48">
        <f t="shared" si="18"/>
        <v>193406.09787506729</v>
      </c>
      <c r="U22" s="48">
        <f t="shared" si="18"/>
        <v>201707.16179183358</v>
      </c>
      <c r="V22" s="48"/>
    </row>
    <row r="23" spans="2:30">
      <c r="B23" s="47" t="s">
        <v>394</v>
      </c>
      <c r="C23" s="48">
        <f>IS!G23</f>
        <v>2417695</v>
      </c>
      <c r="D23" s="48">
        <f>IS!H23</f>
        <v>2939977</v>
      </c>
      <c r="E23" s="48">
        <f>IS!I23</f>
        <v>3410296</v>
      </c>
      <c r="F23" s="48">
        <f>IS!J23</f>
        <v>4477972</v>
      </c>
      <c r="G23" s="48">
        <f>IS!K23</f>
        <v>4711485</v>
      </c>
      <c r="H23" s="48">
        <f>IS!L23</f>
        <v>4177432</v>
      </c>
      <c r="I23" s="48">
        <f>IS!M23</f>
        <v>5053364</v>
      </c>
      <c r="J23" s="48">
        <f>IS!N23</f>
        <v>4723497</v>
      </c>
      <c r="K23" s="48">
        <f>IS!O23</f>
        <v>3677252</v>
      </c>
      <c r="L23" s="48">
        <f>IS!P23</f>
        <v>5223851</v>
      </c>
      <c r="M23" s="48">
        <f>IS!Q23</f>
        <v>4117605</v>
      </c>
      <c r="N23" s="48">
        <f>IS!R23</f>
        <v>4330113</v>
      </c>
      <c r="O23" s="49">
        <f>IS!S23</f>
        <v>4423540</v>
      </c>
      <c r="P23" s="48">
        <f>P21-P22</f>
        <v>4399449.3897428075</v>
      </c>
      <c r="Q23" s="48">
        <f t="shared" ref="Q23:U23" si="19">Q21-Q22</f>
        <v>4545308.3372825338</v>
      </c>
      <c r="R23" s="48">
        <f t="shared" si="19"/>
        <v>4979285.5442743497</v>
      </c>
      <c r="S23" s="48">
        <f t="shared" si="19"/>
        <v>5082431.6313793436</v>
      </c>
      <c r="T23" s="48">
        <f t="shared" si="19"/>
        <v>5332482.4128411412</v>
      </c>
      <c r="U23" s="48">
        <f t="shared" si="19"/>
        <v>5561354.6036891248</v>
      </c>
      <c r="V23" s="48"/>
    </row>
    <row r="24" spans="2:30">
      <c r="B24" s="52" t="s">
        <v>395</v>
      </c>
      <c r="C24" s="48">
        <v>3350</v>
      </c>
      <c r="D24" s="48">
        <v>3780</v>
      </c>
      <c r="E24" s="48">
        <v>4860</v>
      </c>
      <c r="F24" s="48">
        <v>6190</v>
      </c>
      <c r="G24" s="48">
        <v>6920</v>
      </c>
      <c r="H24" s="48">
        <v>6140</v>
      </c>
      <c r="I24" s="48">
        <v>7480</v>
      </c>
      <c r="J24" s="48">
        <v>7150</v>
      </c>
      <c r="K24" s="48">
        <v>5560</v>
      </c>
      <c r="L24" s="48">
        <v>7980</v>
      </c>
      <c r="M24" s="48">
        <v>3132</v>
      </c>
      <c r="N24" s="48">
        <v>3291</v>
      </c>
      <c r="O24" s="49">
        <v>3347</v>
      </c>
      <c r="P24" s="48">
        <f>P30</f>
        <v>3330.7194815705279</v>
      </c>
      <c r="Q24" s="48">
        <f t="shared" ref="Q24:S24" si="20">Q30</f>
        <v>3441.1458543035806</v>
      </c>
      <c r="R24" s="48">
        <f t="shared" si="20"/>
        <v>3769.6997731769848</v>
      </c>
      <c r="S24" s="48">
        <f t="shared" si="20"/>
        <v>3847.7892455935453</v>
      </c>
      <c r="T24" s="48">
        <f>T30</f>
        <v>4037.096801020482</v>
      </c>
      <c r="U24" s="48">
        <f>U30</f>
        <v>4210.3705444631069</v>
      </c>
      <c r="V24" s="48"/>
    </row>
    <row r="25" spans="2:30">
      <c r="B25" s="55" t="s">
        <v>396</v>
      </c>
      <c r="C25" s="48">
        <v>0</v>
      </c>
      <c r="D25" s="48">
        <v>0</v>
      </c>
      <c r="E25" s="48">
        <v>0</v>
      </c>
      <c r="F25" s="48">
        <v>6190</v>
      </c>
      <c r="G25" s="48">
        <v>6920</v>
      </c>
      <c r="H25" s="48">
        <v>0</v>
      </c>
      <c r="I25" s="48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49">
        <v>0</v>
      </c>
      <c r="P25" s="48"/>
      <c r="Q25" s="48"/>
      <c r="R25" s="48"/>
      <c r="S25" s="48"/>
      <c r="T25" s="48"/>
      <c r="U25" s="48"/>
      <c r="V25" s="48"/>
    </row>
    <row r="26" spans="2:30" ht="14.5">
      <c r="B26" s="56" t="s">
        <v>397</v>
      </c>
      <c r="C26" s="57"/>
      <c r="D26" s="56">
        <f>D21/C21-1</f>
        <v>0.221888407201428</v>
      </c>
      <c r="E26" s="56">
        <f>E21/D21-1</f>
        <v>0.18071046045496142</v>
      </c>
      <c r="F26" s="56">
        <f t="shared" ref="F26:N26" si="21">F21/E21-1</f>
        <v>0.29290691137125235</v>
      </c>
      <c r="G26" s="56">
        <f t="shared" si="21"/>
        <v>6.3165834835256174E-2</v>
      </c>
      <c r="H26" s="56">
        <f t="shared" si="21"/>
        <v>-0.11030392434223824</v>
      </c>
      <c r="I26" s="56">
        <f t="shared" si="21"/>
        <v>0.21972585315995685</v>
      </c>
      <c r="J26" s="56">
        <f t="shared" si="21"/>
        <v>-8.0687161694612541E-2</v>
      </c>
      <c r="K26" s="56">
        <f t="shared" si="21"/>
        <v>-0.20408596905797749</v>
      </c>
      <c r="L26" s="56">
        <f t="shared" si="21"/>
        <v>0.39968722204053897</v>
      </c>
      <c r="M26" s="56">
        <f t="shared" si="21"/>
        <v>-0.22632558504875999</v>
      </c>
      <c r="N26" s="56">
        <f t="shared" si="21"/>
        <v>5.6337958657624254E-2</v>
      </c>
      <c r="O26" s="294">
        <f>O21/N21-1</f>
        <v>1.7431577204993998E-2</v>
      </c>
      <c r="P26" s="58">
        <f>P21/O21-1</f>
        <v>-3.0854368401087573E-3</v>
      </c>
      <c r="Q26" s="58">
        <f t="shared" ref="Q26:U26" si="22">Q21/P21-1</f>
        <v>3.3153909641463919E-2</v>
      </c>
      <c r="R26" s="58">
        <f t="shared" si="22"/>
        <v>9.5478056666068678E-2</v>
      </c>
      <c r="S26" s="58">
        <f t="shared" si="22"/>
        <v>2.0715037566704897E-2</v>
      </c>
      <c r="T26" s="58">
        <f t="shared" si="22"/>
        <v>4.9199044787531232E-2</v>
      </c>
      <c r="U26" s="58">
        <f t="shared" si="22"/>
        <v>4.2920383627864878E-2</v>
      </c>
      <c r="V26" s="58"/>
    </row>
    <row r="27" spans="2:30">
      <c r="B27" s="39" t="s">
        <v>398</v>
      </c>
      <c r="C27" s="39"/>
      <c r="D27" s="39"/>
      <c r="E27" s="39"/>
      <c r="F27" s="39"/>
      <c r="G27" s="39"/>
      <c r="H27" s="2"/>
      <c r="I27" s="59"/>
      <c r="J27" s="2"/>
      <c r="K27" s="48">
        <v>-170371</v>
      </c>
      <c r="L27" s="48">
        <v>-121347</v>
      </c>
      <c r="M27" s="48">
        <v>-116231</v>
      </c>
      <c r="N27" s="48">
        <v>-125583</v>
      </c>
      <c r="O27" s="49">
        <v>-150126</v>
      </c>
      <c r="P27" s="48">
        <f>-Equity!P105</f>
        <v>-127593.91099310132</v>
      </c>
      <c r="Q27" s="48">
        <f>-Equity!Q105</f>
        <v>-131824.1479889676</v>
      </c>
      <c r="R27" s="48">
        <f>-Equity!R105</f>
        <v>-144410.46146061446</v>
      </c>
      <c r="S27" s="48">
        <f>-Equity!S105</f>
        <v>-147401.92959479627</v>
      </c>
      <c r="T27" s="48">
        <f>-Equity!T105</f>
        <v>-154653.96373069918</v>
      </c>
      <c r="U27" s="48">
        <f>-Equity!U105</f>
        <v>-161291.77118359067</v>
      </c>
      <c r="V27" s="60"/>
    </row>
    <row r="28" spans="2:30">
      <c r="B28" s="39" t="s">
        <v>399</v>
      </c>
      <c r="C28" s="39"/>
      <c r="D28" s="39"/>
      <c r="E28" s="39"/>
      <c r="F28" s="39"/>
      <c r="G28" s="39"/>
      <c r="H28" s="2"/>
      <c r="I28" s="59"/>
      <c r="J28" s="2"/>
      <c r="K28" s="2"/>
      <c r="L28" s="60"/>
      <c r="M28" s="60"/>
      <c r="N28" s="60"/>
      <c r="O28" s="61"/>
      <c r="P28" s="60"/>
      <c r="Q28" s="60"/>
    </row>
    <row r="29" spans="2:30">
      <c r="B29" s="39" t="s">
        <v>400</v>
      </c>
      <c r="C29" s="39"/>
      <c r="D29" s="39"/>
      <c r="E29" s="39"/>
      <c r="F29" s="39"/>
      <c r="G29" s="39"/>
      <c r="H29" s="2"/>
      <c r="I29" s="59"/>
      <c r="J29" s="2"/>
      <c r="K29" s="2">
        <v>641281186</v>
      </c>
      <c r="L29" s="108">
        <v>641281186</v>
      </c>
      <c r="M29" s="108">
        <v>1282562372</v>
      </c>
      <c r="N29" s="108">
        <v>1282562372</v>
      </c>
      <c r="O29" s="314">
        <v>1282562372</v>
      </c>
      <c r="P29" s="108">
        <f>N29</f>
        <v>1282562372</v>
      </c>
      <c r="Q29" s="108">
        <f>P29</f>
        <v>1282562372</v>
      </c>
      <c r="R29" s="108">
        <f t="shared" ref="R29:U29" si="23">Q29</f>
        <v>1282562372</v>
      </c>
      <c r="S29" s="108">
        <f t="shared" si="23"/>
        <v>1282562372</v>
      </c>
      <c r="T29" s="108">
        <f t="shared" si="23"/>
        <v>1282562372</v>
      </c>
      <c r="U29" s="108">
        <f t="shared" si="23"/>
        <v>1282562372</v>
      </c>
      <c r="V29" s="62"/>
    </row>
    <row r="30" spans="2:30">
      <c r="B30" s="63" t="s">
        <v>395</v>
      </c>
      <c r="C30" s="64"/>
      <c r="D30" s="64"/>
      <c r="E30" s="64"/>
      <c r="F30" s="65"/>
      <c r="G30" s="64"/>
      <c r="H30" s="66"/>
      <c r="I30" s="67"/>
      <c r="J30" s="66"/>
      <c r="K30" s="68">
        <f>(K23+K27)*10^6/K29</f>
        <v>5468.554319945385</v>
      </c>
      <c r="L30" s="68">
        <f t="shared" ref="L30:N30" si="24">(L23+L27)*10^6/L29</f>
        <v>7956.7342866035679</v>
      </c>
      <c r="M30" s="68">
        <f t="shared" si="24"/>
        <v>3119.8280000686</v>
      </c>
      <c r="N30" s="68">
        <f t="shared" si="24"/>
        <v>3278.2265344675184</v>
      </c>
      <c r="O30" s="598">
        <f>(O23+O27)*10^6/O29</f>
        <v>3331.9346437211711</v>
      </c>
      <c r="P30" s="68">
        <f>(P23+P27)*10^6/P29</f>
        <v>3330.7194815705279</v>
      </c>
      <c r="Q30" s="68">
        <f t="shared" ref="Q30:U30" si="25">(Q23+Q27)*10^6/Q29</f>
        <v>3441.1458543035806</v>
      </c>
      <c r="R30" s="68">
        <f t="shared" si="25"/>
        <v>3769.6997731769848</v>
      </c>
      <c r="S30" s="68">
        <f t="shared" si="25"/>
        <v>3847.7892455935453</v>
      </c>
      <c r="T30" s="68">
        <f t="shared" si="25"/>
        <v>4037.096801020482</v>
      </c>
      <c r="U30" s="68">
        <f t="shared" si="25"/>
        <v>4210.3705444631069</v>
      </c>
      <c r="V30" s="45"/>
    </row>
    <row r="31" spans="2:30">
      <c r="B31" s="55" t="s">
        <v>396</v>
      </c>
      <c r="C31" s="69"/>
      <c r="D31" s="69"/>
      <c r="E31" s="69"/>
      <c r="F31" s="69"/>
      <c r="G31" s="69"/>
      <c r="H31" s="70"/>
      <c r="I31" s="71"/>
      <c r="J31" s="70"/>
      <c r="K31" s="70"/>
      <c r="L31" s="72"/>
      <c r="M31" s="73"/>
      <c r="N31" s="74"/>
      <c r="O31" s="75"/>
      <c r="P31" s="72"/>
      <c r="Q31" s="72"/>
      <c r="R31" s="76"/>
      <c r="S31" s="76"/>
      <c r="T31" s="76"/>
      <c r="U31" s="76"/>
    </row>
    <row r="32" spans="2:30">
      <c r="B32" s="39"/>
      <c r="C32" s="39"/>
      <c r="D32" s="39"/>
      <c r="E32" s="39"/>
      <c r="F32" s="39"/>
      <c r="G32" s="39"/>
      <c r="H32" s="2"/>
      <c r="I32" s="59"/>
      <c r="J32" s="2"/>
      <c r="K32" s="2"/>
      <c r="L32" s="60"/>
      <c r="M32" s="60"/>
      <c r="N32" s="77"/>
      <c r="O32" s="78"/>
      <c r="P32" s="60"/>
      <c r="Q32" s="60"/>
    </row>
    <row r="33" spans="2:27">
      <c r="B33" s="39" t="s">
        <v>401</v>
      </c>
      <c r="C33" s="39"/>
      <c r="D33" s="39"/>
      <c r="E33" s="39"/>
      <c r="F33" s="39"/>
      <c r="G33" s="39"/>
      <c r="H33" s="54">
        <f>SUM(H10:H11)/H3</f>
        <v>-0.10136140945645294</v>
      </c>
      <c r="I33" s="54">
        <f t="shared" ref="I33:T33" si="26">SUM(I10:I11)/I3</f>
        <v>-0.10689270393513718</v>
      </c>
      <c r="J33" s="54">
        <f t="shared" si="26"/>
        <v>-0.12735598643326046</v>
      </c>
      <c r="K33" s="54">
        <f t="shared" si="26"/>
        <v>-0.15538501811612199</v>
      </c>
      <c r="L33" s="54">
        <f t="shared" si="26"/>
        <v>-0.15073962485695738</v>
      </c>
      <c r="M33" s="54">
        <f t="shared" si="26"/>
        <v>-0.17333168271798177</v>
      </c>
      <c r="N33" s="54">
        <f>SUM(N10:N11)/N3</f>
        <v>-0.15314091177961181</v>
      </c>
      <c r="O33" s="599">
        <f t="shared" si="26"/>
        <v>-0.19336723089816393</v>
      </c>
      <c r="P33" s="54">
        <f t="shared" si="26"/>
        <v>-0.182</v>
      </c>
      <c r="Q33" s="54">
        <f t="shared" si="26"/>
        <v>-0.17500000000000002</v>
      </c>
      <c r="R33" s="54">
        <f t="shared" si="26"/>
        <v>-0.16850000000000001</v>
      </c>
      <c r="S33" s="54">
        <f>SUM(S10:S11)/S3</f>
        <v>-0.16925000000000001</v>
      </c>
      <c r="T33" s="54">
        <f t="shared" si="26"/>
        <v>-0.16887500000000003</v>
      </c>
      <c r="U33" s="54">
        <f t="shared" ref="U33" si="27">SUM(U10:U11)/U3</f>
        <v>-0.16606250000000003</v>
      </c>
      <c r="V33" s="54"/>
    </row>
    <row r="34" spans="2:27">
      <c r="B34" s="39"/>
      <c r="C34" s="39"/>
      <c r="D34" s="39"/>
      <c r="E34" s="39"/>
      <c r="F34" s="39"/>
      <c r="G34" s="39"/>
      <c r="H34" s="2"/>
      <c r="I34" s="59"/>
      <c r="J34" s="2"/>
      <c r="K34" s="2"/>
      <c r="L34" s="60"/>
      <c r="M34" s="60"/>
      <c r="N34" s="60"/>
      <c r="O34" s="61"/>
      <c r="P34" s="60"/>
      <c r="Q34" s="60"/>
    </row>
    <row r="35" spans="2:27">
      <c r="B35" s="79" t="s">
        <v>402</v>
      </c>
      <c r="C35" s="80"/>
      <c r="D35" s="80"/>
      <c r="E35" s="80"/>
      <c r="F35" s="80"/>
      <c r="G35" s="80"/>
      <c r="H35" s="81">
        <v>641281186</v>
      </c>
      <c r="I35" s="81">
        <v>641281186</v>
      </c>
      <c r="J35" s="81">
        <v>641281186</v>
      </c>
      <c r="K35" s="81">
        <v>641281186</v>
      </c>
      <c r="L35" s="81">
        <v>641281186</v>
      </c>
      <c r="M35" s="81">
        <v>1282562372</v>
      </c>
      <c r="N35" s="81">
        <v>1282562372</v>
      </c>
      <c r="O35" s="82">
        <v>1282562372</v>
      </c>
      <c r="P35" s="81">
        <v>1282562372</v>
      </c>
      <c r="Q35" s="81">
        <v>1282562372</v>
      </c>
      <c r="R35" s="81">
        <v>1282562372</v>
      </c>
      <c r="S35" s="81">
        <v>1282562372</v>
      </c>
      <c r="T35" s="81">
        <v>1282562372</v>
      </c>
      <c r="U35" s="82">
        <v>1282562372</v>
      </c>
      <c r="V35" s="83"/>
    </row>
    <row r="36" spans="2:27">
      <c r="B36" s="84" t="s">
        <v>403</v>
      </c>
      <c r="H36" s="85">
        <f>('1BS'!H101-'1BS'!H118)*10^6/'1IS'!H35</f>
        <v>23462.986796559475</v>
      </c>
      <c r="I36" s="85">
        <f>('1BS'!I101-'1BS'!I118)*10^6/'1IS'!I35</f>
        <v>29324.520055387995</v>
      </c>
      <c r="J36" s="85">
        <f>('1BS'!J101-'1BS'!J118)*10^6/'1IS'!J35</f>
        <v>31094.363027204108</v>
      </c>
      <c r="K36" s="85">
        <f>('1BS'!K101-'1BS'!K118)*10^6/'1IS'!K35</f>
        <v>33092.305627066999</v>
      </c>
      <c r="L36" s="577">
        <f>('1BS'!L101-'1BS'!L118)*10^6/'1IS'!L35</f>
        <v>36084.473558842248</v>
      </c>
      <c r="M36" s="577">
        <f>('1BS'!M101-'1BS'!M118)*10^6/'1IS'!M35</f>
        <v>18878.077611339748</v>
      </c>
      <c r="N36" s="577">
        <f>('1BS'!N101-'1BS'!N118)*10^6/'1IS'!N35</f>
        <v>18152.816976607824</v>
      </c>
      <c r="O36" s="600">
        <f>('1BS'!O101-'1BS'!O118)*10^6/'1IS'!O35</f>
        <v>16492.596743669321</v>
      </c>
      <c r="P36" s="632">
        <f ca="1">('1BS'!P101-'1BS'!P118)*10^6/'1IS'!P35</f>
        <v>16323.31614883031</v>
      </c>
      <c r="Q36" s="632">
        <f ca="1">('1BS'!Q101-'1BS'!Q118)*10^6/'1IS'!Q35</f>
        <v>16264.461926724351</v>
      </c>
      <c r="R36" s="632">
        <f ca="1">('1BS'!R101-'1BS'!R118)*10^6/'1IS'!R35</f>
        <v>16534.161623491796</v>
      </c>
      <c r="S36" s="632">
        <f ca="1">('1BS'!S101-'1BS'!S118)*10^6/'1IS'!S35</f>
        <v>16881.950792675798</v>
      </c>
      <c r="T36" s="632">
        <f ca="1">('1BS'!T101-'1BS'!T118)*10^6/'1IS'!T35</f>
        <v>17419.047517286745</v>
      </c>
      <c r="U36" s="600">
        <f ca="1">('1BS'!U101-'1BS'!U118)*10^6/'1IS'!U35</f>
        <v>18129.417985340315</v>
      </c>
      <c r="V36" s="86"/>
    </row>
    <row r="37" spans="2:27">
      <c r="B37" s="84"/>
      <c r="H37" s="87"/>
      <c r="I37" s="87"/>
      <c r="J37" s="87"/>
      <c r="K37" s="87"/>
      <c r="L37" s="87"/>
      <c r="M37" s="87"/>
      <c r="N37" s="87"/>
      <c r="O37" s="88"/>
      <c r="P37" s="87"/>
      <c r="Q37" s="87"/>
      <c r="R37" s="87"/>
      <c r="S37" s="87"/>
      <c r="T37" s="87"/>
      <c r="U37" s="88"/>
      <c r="V37" s="87"/>
    </row>
    <row r="38" spans="2:27">
      <c r="B38" s="84" t="s">
        <v>404</v>
      </c>
      <c r="H38" s="89">
        <f>H5/H3</f>
        <v>0.22488079005572212</v>
      </c>
      <c r="I38" s="89">
        <f t="shared" ref="I38:U38" si="28">I5/I3</f>
        <v>0.25200173830168876</v>
      </c>
      <c r="J38" s="89">
        <f t="shared" si="28"/>
        <v>0.30403048868501364</v>
      </c>
      <c r="K38" s="89">
        <f t="shared" si="28"/>
        <v>0.28849011437358957</v>
      </c>
      <c r="L38" s="89">
        <f t="shared" si="28"/>
        <v>0.30791849780857611</v>
      </c>
      <c r="M38" s="89">
        <f t="shared" ref="M38:O38" si="29">M5/M3</f>
        <v>0.29845551580137558</v>
      </c>
      <c r="N38" s="89">
        <f t="shared" si="29"/>
        <v>0.29235928357739549</v>
      </c>
      <c r="O38" s="94">
        <f t="shared" si="29"/>
        <v>0.35925880803109</v>
      </c>
      <c r="P38" s="91">
        <f t="shared" si="28"/>
        <v>0.34541087166023438</v>
      </c>
      <c r="Q38" s="91">
        <f t="shared" si="28"/>
        <v>0.3421276113933121</v>
      </c>
      <c r="R38" s="91">
        <f t="shared" si="28"/>
        <v>0.34630804839959817</v>
      </c>
      <c r="S38" s="91">
        <f t="shared" si="28"/>
        <v>0.34667448209587876</v>
      </c>
      <c r="T38" s="91">
        <f t="shared" si="28"/>
        <v>0.34895507564276379</v>
      </c>
      <c r="U38" s="92">
        <f t="shared" si="28"/>
        <v>0.34922114115140607</v>
      </c>
      <c r="V38" s="90"/>
    </row>
    <row r="39" spans="2:27">
      <c r="B39" s="84" t="s">
        <v>405</v>
      </c>
      <c r="H39" s="89">
        <f t="shared" ref="H39:U39" si="30">H12/H3</f>
        <v>0.14885225004744976</v>
      </c>
      <c r="I39" s="89">
        <f>I12/I3</f>
        <v>0.17611534428558387</v>
      </c>
      <c r="J39" s="89">
        <f t="shared" si="30"/>
        <v>0.21731485247265114</v>
      </c>
      <c r="K39" s="89">
        <f>K12/K3</f>
        <v>0.18124967913166373</v>
      </c>
      <c r="L39" s="89">
        <f t="shared" ref="L39:O39" si="31">L12/L3</f>
        <v>0.19524982415205613</v>
      </c>
      <c r="M39" s="89">
        <f t="shared" si="31"/>
        <v>0.17736012963567918</v>
      </c>
      <c r="N39" s="89">
        <f t="shared" si="31"/>
        <v>0.17811517087016024</v>
      </c>
      <c r="O39" s="94">
        <f t="shared" si="31"/>
        <v>0.21451038373015774</v>
      </c>
      <c r="P39" s="91">
        <f>P12/P3</f>
        <v>0.20730386859210009</v>
      </c>
      <c r="Q39" s="91">
        <f t="shared" si="30"/>
        <v>0.2082279878652516</v>
      </c>
      <c r="R39" s="91">
        <f t="shared" si="30"/>
        <v>0.21682947383112777</v>
      </c>
      <c r="S39" s="91">
        <f t="shared" si="30"/>
        <v>0.21531798958508169</v>
      </c>
      <c r="T39" s="91">
        <f t="shared" si="30"/>
        <v>0.21637377292784907</v>
      </c>
      <c r="U39" s="92">
        <f t="shared" si="30"/>
        <v>0.21922811871305009</v>
      </c>
      <c r="V39" s="90"/>
    </row>
    <row r="40" spans="2:27">
      <c r="B40" s="84" t="s">
        <v>406</v>
      </c>
      <c r="H40" s="89">
        <f t="shared" ref="H40:J40" si="32">H21/H3</f>
        <v>0.12247363614329623</v>
      </c>
      <c r="I40" s="89">
        <f t="shared" si="32"/>
        <v>0.1416960737284777</v>
      </c>
      <c r="J40" s="89">
        <f t="shared" si="32"/>
        <v>0.17655980811209082</v>
      </c>
      <c r="K40" s="89">
        <f>K21/K3</f>
        <v>0.14898547214339594</v>
      </c>
      <c r="L40" s="89">
        <f>L21/L3</f>
        <v>0.15723104698796572</v>
      </c>
      <c r="M40" s="89">
        <f t="shared" ref="M40:O40" si="33">M21/M3</f>
        <v>0.13968686960109178</v>
      </c>
      <c r="N40" s="89">
        <f t="shared" si="33"/>
        <v>0.14102394556396522</v>
      </c>
      <c r="O40" s="94">
        <f t="shared" si="33"/>
        <v>0.17664906842470884</v>
      </c>
      <c r="P40" s="91">
        <f t="shared" ref="P40:U40" si="34">P21/P3</f>
        <v>0.16876843717366885</v>
      </c>
      <c r="Q40" s="91">
        <f t="shared" si="34"/>
        <v>0.1700341409482504</v>
      </c>
      <c r="R40" s="91">
        <f t="shared" si="34"/>
        <v>0.17812075813771472</v>
      </c>
      <c r="S40" s="91">
        <f t="shared" si="34"/>
        <v>0.17742997876306663</v>
      </c>
      <c r="T40" s="91">
        <f t="shared" si="34"/>
        <v>0.1790189990898356</v>
      </c>
      <c r="U40" s="92">
        <f t="shared" si="34"/>
        <v>0.18218238983314086</v>
      </c>
      <c r="V40" s="90"/>
    </row>
    <row r="41" spans="2:27">
      <c r="B41" s="84"/>
      <c r="U41" s="40"/>
    </row>
    <row r="42" spans="2:27">
      <c r="B42" s="84" t="s">
        <v>407</v>
      </c>
      <c r="H42" s="2">
        <f>H17-H8</f>
        <v>5425685</v>
      </c>
      <c r="I42" s="2">
        <f t="shared" ref="I42:U42" si="35">I17-I8</f>
        <v>6723544</v>
      </c>
      <c r="J42" s="2">
        <f t="shared" si="35"/>
        <v>6175499</v>
      </c>
      <c r="K42" s="2">
        <f t="shared" si="35"/>
        <v>4905634</v>
      </c>
      <c r="L42" s="2">
        <f t="shared" si="35"/>
        <v>6858934</v>
      </c>
      <c r="M42" s="2">
        <f t="shared" si="35"/>
        <v>5420625</v>
      </c>
      <c r="N42" s="2">
        <f t="shared" si="35"/>
        <v>5674809</v>
      </c>
      <c r="O42" s="93">
        <f t="shared" si="35"/>
        <v>5686312</v>
      </c>
      <c r="P42" s="2">
        <f t="shared" si="35"/>
        <v>5667755.5395827014</v>
      </c>
      <c r="Q42" s="2">
        <f t="shared" si="35"/>
        <v>5837644.7296917718</v>
      </c>
      <c r="R42" s="2">
        <f t="shared" si="35"/>
        <v>6353616.9668136975</v>
      </c>
      <c r="S42" s="2">
        <f t="shared" si="35"/>
        <v>6465189.3366068564</v>
      </c>
      <c r="T42" s="2">
        <f t="shared" si="35"/>
        <v>6755126.6531627178</v>
      </c>
      <c r="U42" s="93">
        <f t="shared" si="35"/>
        <v>7013841.490586048</v>
      </c>
      <c r="V42" s="2"/>
    </row>
    <row r="43" spans="2:27">
      <c r="B43" s="84" t="s">
        <v>408</v>
      </c>
      <c r="H43" s="2">
        <f>H42+'1CF'!E8</f>
        <v>6060278</v>
      </c>
      <c r="I43" s="2">
        <f>I42+'1CF'!F8</f>
        <v>7370792</v>
      </c>
      <c r="J43" s="2">
        <f>J42+'1CF'!G8</f>
        <v>6768951</v>
      </c>
      <c r="K43" s="2">
        <f>K42+'1CF'!H8</f>
        <v>5463112</v>
      </c>
      <c r="L43" s="2">
        <f>L42+'1CF'!I8</f>
        <v>7420039</v>
      </c>
      <c r="M43" s="2">
        <f>M42+'1CF'!J8</f>
        <v>5990657</v>
      </c>
      <c r="N43" s="2">
        <f>N42+'1CF'!K8</f>
        <v>6223693</v>
      </c>
      <c r="O43" s="93">
        <f>O42+'1CF'!L8</f>
        <v>6416584</v>
      </c>
      <c r="P43" s="2">
        <f>P42+'1CF'!M8</f>
        <v>6468244.1390012028</v>
      </c>
      <c r="Q43" s="2">
        <f>Q42+'1CF'!N8</f>
        <v>6649871.0063843736</v>
      </c>
      <c r="R43" s="2">
        <f>R42+'1CF'!O8</f>
        <v>7153300.137197176</v>
      </c>
      <c r="S43" s="2">
        <f>S42+'1CF'!P8</f>
        <v>7278566.4023355423</v>
      </c>
      <c r="T43" s="2">
        <f>T42+'1CF'!Q8</f>
        <v>7386107.8739320328</v>
      </c>
      <c r="U43" s="93">
        <f>U42+'1CF'!R8</f>
        <v>7117298.1169748772</v>
      </c>
      <c r="V43" s="2"/>
      <c r="Z43" t="s">
        <v>365</v>
      </c>
      <c r="AA43" s="633">
        <f>Valuation!E21</f>
        <v>55678.945424050602</v>
      </c>
    </row>
    <row r="44" spans="2:27">
      <c r="B44" s="84"/>
      <c r="U44" s="40"/>
    </row>
    <row r="45" spans="2:27">
      <c r="B45" s="84" t="s">
        <v>409</v>
      </c>
      <c r="H45" s="89">
        <f t="shared" ref="H45:N45" si="36">H10/H3</f>
        <v>-7.5972209507292263E-2</v>
      </c>
      <c r="I45" s="89">
        <f t="shared" si="36"/>
        <v>-7.9244472026482979E-2</v>
      </c>
      <c r="J45" s="89">
        <f t="shared" si="36"/>
        <v>-0.10224970033607851</v>
      </c>
      <c r="K45" s="89">
        <f t="shared" si="36"/>
        <v>-0.13272172257972001</v>
      </c>
      <c r="L45" s="89">
        <f t="shared" si="36"/>
        <v>-0.12956508523779525</v>
      </c>
      <c r="M45" s="89">
        <f t="shared" si="36"/>
        <v>-0.147046191328183</v>
      </c>
      <c r="N45" s="89">
        <f t="shared" si="36"/>
        <v>-0.12680422071536024</v>
      </c>
      <c r="O45" s="94">
        <f t="shared" ref="O45" si="37">O10/O3</f>
        <v>-0.15537465884060192</v>
      </c>
      <c r="P45" s="95">
        <v>-0.15</v>
      </c>
      <c r="Q45" s="95">
        <v>-0.14000000000000001</v>
      </c>
      <c r="R45" s="95">
        <v>-0.13500000000000001</v>
      </c>
      <c r="S45" s="95">
        <v>-0.13500000000000001</v>
      </c>
      <c r="T45" s="95">
        <v>-0.13500000000000001</v>
      </c>
      <c r="U45" s="96">
        <v>-0.13200000000000001</v>
      </c>
      <c r="V45" s="54"/>
    </row>
    <row r="46" spans="2:27">
      <c r="B46" s="47" t="s">
        <v>382</v>
      </c>
      <c r="C46" s="97"/>
      <c r="D46" s="97"/>
      <c r="E46" s="97"/>
      <c r="F46" s="97"/>
      <c r="G46" s="97"/>
      <c r="H46" s="89">
        <f t="shared" ref="H46:N46" si="38">H11/H3</f>
        <v>-2.5389199949160678E-2</v>
      </c>
      <c r="I46" s="89">
        <f t="shared" si="38"/>
        <v>-2.7648231908654199E-2</v>
      </c>
      <c r="J46" s="89">
        <f t="shared" si="38"/>
        <v>-2.5106286097181952E-2</v>
      </c>
      <c r="K46" s="89">
        <f t="shared" si="38"/>
        <v>-2.2663295536401996E-2</v>
      </c>
      <c r="L46" s="89">
        <f t="shared" si="38"/>
        <v>-2.1174539619162127E-2</v>
      </c>
      <c r="M46" s="89">
        <f t="shared" si="38"/>
        <v>-2.6285491389798757E-2</v>
      </c>
      <c r="N46" s="89">
        <f t="shared" si="38"/>
        <v>-2.6336691064251575E-2</v>
      </c>
      <c r="O46" s="94">
        <f t="shared" ref="O46" si="39">O11/O3</f>
        <v>-3.7992572057561999E-2</v>
      </c>
      <c r="P46" s="95">
        <v>-3.2000000000000001E-2</v>
      </c>
      <c r="Q46" s="95">
        <v>-3.5000000000000003E-2</v>
      </c>
      <c r="R46" s="95">
        <f>AVERAGE(P46:Q46)</f>
        <v>-3.3500000000000002E-2</v>
      </c>
      <c r="S46" s="95">
        <f t="shared" ref="S46:U46" si="40">AVERAGE(Q46:R46)</f>
        <v>-3.4250000000000003E-2</v>
      </c>
      <c r="T46" s="95">
        <f t="shared" si="40"/>
        <v>-3.3875000000000002E-2</v>
      </c>
      <c r="U46" s="96">
        <f t="shared" si="40"/>
        <v>-3.4062500000000002E-2</v>
      </c>
      <c r="V46" s="54"/>
    </row>
    <row r="47" spans="2:27">
      <c r="B47" s="84" t="s">
        <v>410</v>
      </c>
      <c r="H47" s="89">
        <f t="shared" ref="H47:J47" si="41">H20/H17</f>
        <v>-0.18322994041302751</v>
      </c>
      <c r="I47" s="89">
        <f t="shared" si="41"/>
        <v>-0.19682832207403422</v>
      </c>
      <c r="J47" s="89">
        <f t="shared" si="41"/>
        <v>-0.19224590784607787</v>
      </c>
      <c r="K47" s="89">
        <f>K20/K17</f>
        <v>-0.19098399100330377</v>
      </c>
      <c r="L47" s="89">
        <f>L20/L17</f>
        <v>-0.1927988555522141</v>
      </c>
      <c r="M47" s="89">
        <f>M20/M17</f>
        <v>-0.20768563294050174</v>
      </c>
      <c r="N47" s="89">
        <f>N20/N17</f>
        <v>-0.20409274494502652</v>
      </c>
      <c r="O47" s="94">
        <f>O20/O17</f>
        <v>-0.19087889063734637</v>
      </c>
      <c r="P47" s="95">
        <f>AVERAGE(O47)</f>
        <v>-0.19087889063734637</v>
      </c>
      <c r="Q47" s="95">
        <f>AVERAGE(N47:P47)+0.7%</f>
        <v>-0.18828350873990643</v>
      </c>
      <c r="R47" s="95">
        <f t="shared" ref="R47:U47" si="42">AVERAGE(O47:Q47)+0.7%</f>
        <v>-0.18301376333819971</v>
      </c>
      <c r="S47" s="95">
        <f t="shared" si="42"/>
        <v>-0.18039205423848417</v>
      </c>
      <c r="T47" s="95">
        <f t="shared" si="42"/>
        <v>-0.1768964421055301</v>
      </c>
      <c r="U47" s="96">
        <f t="shared" si="42"/>
        <v>-0.17310075322740467</v>
      </c>
      <c r="V47" s="54"/>
    </row>
    <row r="48" spans="2:27">
      <c r="B48" s="98" t="s">
        <v>393</v>
      </c>
      <c r="C48" s="99"/>
      <c r="D48" s="99"/>
      <c r="E48" s="99"/>
      <c r="F48" s="99"/>
      <c r="G48" s="99"/>
      <c r="H48" s="100">
        <f t="shared" ref="H48:N48" si="43">H22/H21</f>
        <v>5.1176650956788368E-2</v>
      </c>
      <c r="I48" s="100">
        <f t="shared" si="43"/>
        <v>5.8989808102123072E-2</v>
      </c>
      <c r="J48" s="100">
        <f t="shared" si="43"/>
        <v>4.321564820940333E-2</v>
      </c>
      <c r="K48" s="100">
        <f t="shared" si="43"/>
        <v>6.4146967466256755E-2</v>
      </c>
      <c r="L48" s="100">
        <f t="shared" si="43"/>
        <v>5.0174024573266147E-2</v>
      </c>
      <c r="M48" s="100">
        <f t="shared" si="43"/>
        <v>3.2302300347375225E-2</v>
      </c>
      <c r="N48" s="89">
        <f t="shared" si="43"/>
        <v>3.6633654995779544E-2</v>
      </c>
      <c r="O48" s="601">
        <f t="shared" ref="O48" si="44">O22/O21</f>
        <v>3.2709580429137623E-2</v>
      </c>
      <c r="P48" s="101">
        <v>3.5000000000000003E-2</v>
      </c>
      <c r="Q48" s="101">
        <v>3.5000000000000003E-2</v>
      </c>
      <c r="R48" s="101">
        <v>3.5000000000000003E-2</v>
      </c>
      <c r="S48" s="101">
        <v>3.5000000000000003E-2</v>
      </c>
      <c r="T48" s="101">
        <v>3.5000000000000003E-2</v>
      </c>
      <c r="U48" s="1099">
        <v>3.5000000000000003E-2</v>
      </c>
      <c r="V48" s="54"/>
    </row>
    <row r="49" spans="2:24">
      <c r="N49" s="102"/>
      <c r="O49" s="103"/>
    </row>
    <row r="50" spans="2:24">
      <c r="B50" t="s">
        <v>411</v>
      </c>
      <c r="H50" s="104">
        <f t="shared" ref="H50:K50" si="45">H4/H3</f>
        <v>-0.77511918212674658</v>
      </c>
      <c r="I50" s="104">
        <f t="shared" si="45"/>
        <v>-0.7479982616983113</v>
      </c>
      <c r="J50" s="104">
        <f t="shared" si="45"/>
        <v>-0.69596951131498641</v>
      </c>
      <c r="K50" s="104">
        <f t="shared" si="45"/>
        <v>-0.71150988562641049</v>
      </c>
      <c r="L50" s="104">
        <f>L4/L3</f>
        <v>-0.69208150219142384</v>
      </c>
      <c r="M50" s="104">
        <f>M4/M3</f>
        <v>-0.70154451702709208</v>
      </c>
      <c r="N50" s="104">
        <f t="shared" ref="N50:U50" si="46">N4/N3</f>
        <v>-0.70764074779769603</v>
      </c>
      <c r="O50" s="105">
        <f t="shared" si="46"/>
        <v>-0.64074119196891</v>
      </c>
      <c r="P50" s="104">
        <f t="shared" si="46"/>
        <v>-0.65458912833976568</v>
      </c>
      <c r="Q50" s="104">
        <f t="shared" si="46"/>
        <v>-0.65787238860668784</v>
      </c>
      <c r="R50" s="104">
        <f t="shared" si="46"/>
        <v>-0.65369195160040183</v>
      </c>
      <c r="S50" s="104">
        <f t="shared" si="46"/>
        <v>-0.65332551790412119</v>
      </c>
      <c r="T50" s="104">
        <f t="shared" si="46"/>
        <v>-0.65104492435723615</v>
      </c>
      <c r="U50" s="104">
        <f t="shared" si="46"/>
        <v>-0.65077885884859399</v>
      </c>
      <c r="V50" s="104"/>
    </row>
    <row r="51" spans="2:24">
      <c r="H51" s="106"/>
      <c r="I51" s="107"/>
      <c r="J51" s="107"/>
      <c r="K51" s="107"/>
    </row>
    <row r="52" spans="2:24">
      <c r="H52" s="108"/>
      <c r="I52" s="108"/>
      <c r="J52" s="108"/>
      <c r="K52" s="108"/>
    </row>
    <row r="53" spans="2:24">
      <c r="B53" t="s">
        <v>412</v>
      </c>
      <c r="H53" s="59"/>
      <c r="I53" s="59"/>
      <c r="J53" s="578">
        <f>J21/AVERAGE('1BS'!I100:J100)</f>
        <v>0.23912152622706603</v>
      </c>
      <c r="K53" s="578">
        <f>K21/AVERAGE('1BS'!J100:K100)</f>
        <v>0.17937911158400097</v>
      </c>
      <c r="L53" s="578">
        <f>L21/AVERAGE('1BS'!K100:L100)</f>
        <v>0.23311324938913608</v>
      </c>
      <c r="M53" s="578">
        <f>M21/AVERAGE('1BS'!L100:M100)</f>
        <v>0.1699437918408985</v>
      </c>
      <c r="N53" s="578">
        <f>N21/AVERAGE('1BS'!M100:N100)</f>
        <v>0.18007096675187984</v>
      </c>
      <c r="O53" s="602">
        <f>O21/AVERAGE('1BS'!N100:O100)</f>
        <v>0.19280873028233628</v>
      </c>
      <c r="P53" s="578">
        <f ca="1">P21/AVERAGE('1BS'!O100:P100)</f>
        <v>0.19991463245945307</v>
      </c>
      <c r="Q53" s="578">
        <f ca="1">Q21/AVERAGE('1BS'!P100:Q100)</f>
        <v>0.20930512761394418</v>
      </c>
      <c r="R53" s="578">
        <f ca="1">R21/AVERAGE('1BS'!Q100:R100)</f>
        <v>0.22909699601989333</v>
      </c>
      <c r="S53" s="578">
        <f ca="1">S21/AVERAGE('1BS'!R100:S100)</f>
        <v>0.23066451870995577</v>
      </c>
      <c r="T53" s="578">
        <f ca="1">T21/AVERAGE('1BS'!S100:T100)</f>
        <v>0.23679009119209948</v>
      </c>
      <c r="U53" s="578">
        <f ca="1">U21/AVERAGE('1BS'!T100:U100)</f>
        <v>0.23920091209580968</v>
      </c>
      <c r="V53" s="59"/>
      <c r="W53" s="59"/>
      <c r="X53" s="59"/>
    </row>
    <row r="54" spans="2:24">
      <c r="B54" t="s">
        <v>413</v>
      </c>
      <c r="H54" s="2"/>
      <c r="I54" s="2"/>
      <c r="J54" s="2"/>
      <c r="K54" s="110">
        <f>K57/K30</f>
        <v>10.807243842206223</v>
      </c>
      <c r="L54" s="110">
        <f t="shared" ref="L54:U54" si="47">L57/L30</f>
        <v>8.4997182969734073</v>
      </c>
      <c r="M54" s="110">
        <f>M57/M30</f>
        <v>16.395134603213798</v>
      </c>
      <c r="N54" s="110">
        <f t="shared" si="47"/>
        <v>15.441275783652394</v>
      </c>
      <c r="O54" s="603">
        <f>O57/O30</f>
        <v>14.105918940687703</v>
      </c>
      <c r="P54" s="110">
        <f>P57/P30</f>
        <v>16.716792192237222</v>
      </c>
      <c r="Q54" s="110">
        <f>Q57/Q30</f>
        <v>16.180350319768387</v>
      </c>
      <c r="R54" s="110">
        <f t="shared" si="47"/>
        <v>14.770127271203386</v>
      </c>
      <c r="S54" s="110">
        <f t="shared" si="47"/>
        <v>14.470372951900535</v>
      </c>
      <c r="T54" s="110">
        <f t="shared" si="47"/>
        <v>13.79182817959091</v>
      </c>
      <c r="U54" s="110">
        <f t="shared" si="47"/>
        <v>13.224238778050497</v>
      </c>
      <c r="V54" s="110"/>
    </row>
    <row r="55" spans="2:24">
      <c r="B55" t="s">
        <v>414</v>
      </c>
      <c r="K55" s="111">
        <f>K57/K36</f>
        <v>1.7859136400475124</v>
      </c>
      <c r="L55" s="111">
        <f t="shared" ref="L55:N55" si="48">L57/L36</f>
        <v>1.8742132925873805</v>
      </c>
      <c r="M55" s="111">
        <f t="shared" si="48"/>
        <v>2.7094919860523849</v>
      </c>
      <c r="N55" s="111">
        <f t="shared" si="48"/>
        <v>2.7885479187737201</v>
      </c>
      <c r="O55" s="604">
        <f t="shared" ref="O55" si="49">O57/O36</f>
        <v>2.8497634866408128</v>
      </c>
      <c r="P55" s="111">
        <f ca="1">$AA$43/P36</f>
        <v>3.4110069863494266</v>
      </c>
      <c r="Q55" s="111">
        <f t="shared" ref="Q55:U55" ca="1" si="50">$AA$43/Q36</f>
        <v>3.4233499807678109</v>
      </c>
      <c r="R55" s="111">
        <f t="shared" ca="1" si="50"/>
        <v>3.3675094445031766</v>
      </c>
      <c r="S55" s="111">
        <f t="shared" ca="1" si="50"/>
        <v>3.298134564413421</v>
      </c>
      <c r="T55" s="111">
        <f ca="1">$AA$43/T36</f>
        <v>3.196440297254747</v>
      </c>
      <c r="U55" s="111">
        <f t="shared" ca="1" si="50"/>
        <v>3.0711932103431741</v>
      </c>
      <c r="V55" s="111"/>
    </row>
    <row r="57" spans="2:24" ht="14.5">
      <c r="B57" s="112" t="s">
        <v>365</v>
      </c>
      <c r="C57" s="112"/>
      <c r="D57" s="112"/>
      <c r="E57" s="112"/>
      <c r="F57" s="112"/>
      <c r="G57" s="112"/>
      <c r="H57" s="112"/>
      <c r="I57" s="112"/>
      <c r="J57" s="112"/>
      <c r="K57" s="113">
        <f>59100</f>
        <v>59100</v>
      </c>
      <c r="L57" s="113">
        <v>67630</v>
      </c>
      <c r="M57" s="113">
        <v>51150</v>
      </c>
      <c r="N57" s="113">
        <v>50620</v>
      </c>
      <c r="O57" s="114">
        <v>47000</v>
      </c>
      <c r="P57" s="634">
        <f>$AA$43</f>
        <v>55678.945424050602</v>
      </c>
      <c r="Q57" s="634">
        <f t="shared" ref="Q57:U57" si="51">$AA$43</f>
        <v>55678.945424050602</v>
      </c>
      <c r="R57" s="634">
        <f t="shared" si="51"/>
        <v>55678.945424050602</v>
      </c>
      <c r="S57" s="634">
        <f t="shared" si="51"/>
        <v>55678.945424050602</v>
      </c>
      <c r="T57" s="634">
        <f t="shared" si="51"/>
        <v>55678.945424050602</v>
      </c>
      <c r="U57" s="634">
        <f t="shared" si="51"/>
        <v>55678.945424050602</v>
      </c>
      <c r="V57" s="113"/>
    </row>
    <row r="59" spans="2:24">
      <c r="B59" t="s">
        <v>415</v>
      </c>
      <c r="K59" s="2">
        <f>K57*K35/10^6</f>
        <v>37899718.092600003</v>
      </c>
      <c r="L59" s="2">
        <f>L57*L35/10^6</f>
        <v>43369846.609180003</v>
      </c>
      <c r="M59" s="2">
        <f t="shared" ref="M59:U59" si="52">M57*M35/10^6</f>
        <v>65603065.327799998</v>
      </c>
      <c r="N59" s="2">
        <f t="shared" si="52"/>
        <v>64923307.270640001</v>
      </c>
      <c r="O59" s="93">
        <f t="shared" si="52"/>
        <v>60280431.483999997</v>
      </c>
      <c r="P59" s="2">
        <f t="shared" si="52"/>
        <v>71411720.313528895</v>
      </c>
      <c r="Q59" s="2">
        <f t="shared" si="52"/>
        <v>71411720.313528895</v>
      </c>
      <c r="R59" s="2">
        <f t="shared" si="52"/>
        <v>71411720.313528895</v>
      </c>
      <c r="S59" s="2">
        <f t="shared" si="52"/>
        <v>71411720.313528895</v>
      </c>
      <c r="T59" s="2">
        <f t="shared" si="52"/>
        <v>71411720.313528895</v>
      </c>
      <c r="U59" s="2">
        <f t="shared" si="52"/>
        <v>71411720.313528895</v>
      </c>
      <c r="V59" s="2"/>
    </row>
    <row r="80" spans="8:12">
      <c r="H80" s="115"/>
      <c r="I80" s="116"/>
      <c r="J80" s="116"/>
      <c r="K80" s="116"/>
      <c r="L80" s="116"/>
    </row>
    <row r="81" spans="8:12">
      <c r="H81" s="117"/>
      <c r="I81" s="117"/>
      <c r="J81" s="117"/>
      <c r="K81" s="117"/>
      <c r="L81" s="117"/>
    </row>
    <row r="82" spans="8:12">
      <c r="H82" s="117"/>
      <c r="I82" s="117"/>
      <c r="J82" s="117"/>
      <c r="K82" s="117"/>
      <c r="L82" s="117"/>
    </row>
    <row r="83" spans="8:12">
      <c r="H83" s="117"/>
      <c r="I83" s="117"/>
      <c r="J83" s="117"/>
      <c r="K83" s="117"/>
      <c r="L83" s="117"/>
    </row>
    <row r="84" spans="8:12">
      <c r="H84" s="2"/>
      <c r="I84" s="2"/>
      <c r="J84" s="2"/>
      <c r="K84" s="2"/>
      <c r="L84" s="2"/>
    </row>
    <row r="85" spans="8:12">
      <c r="H85" s="2"/>
      <c r="I85" s="2"/>
      <c r="J85" s="2"/>
      <c r="K85" s="2"/>
      <c r="L85" s="2"/>
    </row>
    <row r="86" spans="8:12">
      <c r="H86" s="59"/>
      <c r="I86" s="59"/>
      <c r="J86" s="59"/>
      <c r="K86" s="59"/>
      <c r="L86" s="59"/>
    </row>
    <row r="87" spans="8:12">
      <c r="H87" s="59"/>
      <c r="I87" s="59"/>
      <c r="J87" s="59"/>
      <c r="K87" s="59"/>
      <c r="L87" s="59"/>
    </row>
    <row r="88" spans="8:12">
      <c r="H88" s="59"/>
      <c r="I88" s="59"/>
      <c r="J88" s="59"/>
      <c r="K88" s="59"/>
      <c r="L88" s="59"/>
    </row>
    <row r="89" spans="8:12">
      <c r="H89" s="118"/>
      <c r="I89" s="111"/>
      <c r="J89" s="111"/>
      <c r="K89" s="111"/>
      <c r="L89" s="111"/>
    </row>
    <row r="90" spans="8:12">
      <c r="H90" s="118"/>
      <c r="I90" s="111"/>
      <c r="J90" s="111"/>
      <c r="K90" s="111"/>
      <c r="L90" s="111"/>
    </row>
    <row r="91" spans="8:12">
      <c r="H91" s="118"/>
      <c r="I91" s="111"/>
      <c r="J91" s="111"/>
      <c r="K91" s="111"/>
      <c r="L91" s="111"/>
    </row>
    <row r="97" spans="2:15">
      <c r="H97" s="116"/>
      <c r="I97" s="116"/>
      <c r="J97" s="116"/>
      <c r="K97" s="116"/>
      <c r="L97" s="116"/>
      <c r="M97" s="116"/>
      <c r="N97" s="116"/>
      <c r="O97" s="119"/>
    </row>
    <row r="98" spans="2:15">
      <c r="H98" s="117"/>
      <c r="I98" s="117"/>
      <c r="J98" s="117"/>
      <c r="K98" s="117"/>
      <c r="L98" s="117"/>
      <c r="M98" s="117"/>
      <c r="N98" s="117"/>
      <c r="O98" s="120"/>
    </row>
    <row r="99" spans="2:15">
      <c r="H99" s="59"/>
      <c r="I99" s="59"/>
      <c r="J99" s="59"/>
      <c r="K99" s="59"/>
      <c r="L99" s="59"/>
      <c r="M99" s="59"/>
      <c r="N99" s="59"/>
      <c r="O99" s="109"/>
    </row>
    <row r="103" spans="2:15">
      <c r="B103" s="121"/>
      <c r="C103" s="121"/>
      <c r="D103" s="121"/>
      <c r="E103" s="121"/>
      <c r="F103" s="121"/>
      <c r="G103" s="121"/>
      <c r="H103" s="122"/>
      <c r="I103" s="123"/>
      <c r="J103" s="123"/>
      <c r="K103" s="123"/>
    </row>
    <row r="104" spans="2:15">
      <c r="B104" s="121"/>
      <c r="C104" s="121"/>
      <c r="D104" s="121"/>
      <c r="E104" s="121"/>
      <c r="F104" s="121"/>
      <c r="G104" s="121"/>
      <c r="H104" s="124"/>
      <c r="I104" s="124"/>
      <c r="J104" s="124"/>
      <c r="K104" s="124"/>
    </row>
    <row r="105" spans="2:15">
      <c r="B105" s="121"/>
      <c r="C105" s="121"/>
      <c r="D105" s="121"/>
      <c r="E105" s="121"/>
      <c r="F105" s="121"/>
      <c r="G105" s="121"/>
      <c r="H105" s="122"/>
      <c r="I105" s="124"/>
      <c r="J105" s="124"/>
      <c r="K105" s="124"/>
    </row>
    <row r="106" spans="2:15">
      <c r="B106" s="121"/>
      <c r="C106" s="121"/>
      <c r="D106" s="121"/>
      <c r="E106" s="121"/>
      <c r="F106" s="121"/>
      <c r="G106" s="121"/>
      <c r="H106" s="122"/>
      <c r="I106" s="124"/>
      <c r="J106" s="124"/>
      <c r="K106" s="124"/>
    </row>
    <row r="107" spans="2:15">
      <c r="B107" s="121"/>
      <c r="C107" s="121"/>
      <c r="D107" s="121"/>
      <c r="E107" s="121"/>
      <c r="F107" s="121"/>
      <c r="G107" s="121"/>
      <c r="H107" s="124"/>
      <c r="I107" s="124"/>
      <c r="J107" s="124"/>
      <c r="K107" s="124"/>
    </row>
    <row r="108" spans="2:15">
      <c r="B108" s="121"/>
      <c r="C108" s="121"/>
      <c r="D108" s="121"/>
      <c r="E108" s="121"/>
      <c r="F108" s="121"/>
      <c r="G108" s="121"/>
      <c r="H108" s="124"/>
      <c r="I108" s="124"/>
      <c r="J108" s="124"/>
      <c r="K108" s="124"/>
    </row>
    <row r="109" spans="2:15">
      <c r="B109" s="121"/>
      <c r="C109" s="121"/>
      <c r="D109" s="121"/>
      <c r="E109" s="121"/>
      <c r="F109" s="121"/>
      <c r="G109" s="121"/>
      <c r="H109" s="125"/>
      <c r="I109" s="125"/>
      <c r="J109" s="125"/>
      <c r="K109" s="125"/>
    </row>
    <row r="110" spans="2:15">
      <c r="B110" s="121"/>
      <c r="C110" s="121"/>
      <c r="D110" s="121"/>
      <c r="E110" s="121"/>
      <c r="F110" s="121"/>
      <c r="G110" s="121"/>
      <c r="H110" s="125"/>
      <c r="I110" s="125"/>
      <c r="J110" s="125"/>
      <c r="K110" s="125"/>
    </row>
    <row r="111" spans="2:15">
      <c r="B111" s="121"/>
      <c r="C111" s="121"/>
      <c r="D111" s="121"/>
      <c r="E111" s="121"/>
      <c r="F111" s="121"/>
      <c r="G111" s="121"/>
      <c r="H111" s="125"/>
      <c r="I111" s="125"/>
      <c r="J111" s="125"/>
      <c r="K111" s="125"/>
    </row>
    <row r="112" spans="2:15">
      <c r="B112" s="121"/>
      <c r="C112" s="121"/>
      <c r="D112" s="121"/>
      <c r="E112" s="121"/>
      <c r="F112" s="121"/>
      <c r="G112" s="121"/>
      <c r="H112" s="122"/>
      <c r="I112" s="122"/>
      <c r="J112" s="122"/>
      <c r="K112" s="122"/>
    </row>
    <row r="113" spans="2:17">
      <c r="B113" s="121"/>
      <c r="C113" s="121"/>
      <c r="D113" s="121"/>
      <c r="E113" s="121"/>
      <c r="F113" s="121"/>
      <c r="G113" s="121"/>
      <c r="H113" s="122"/>
      <c r="I113" s="122"/>
      <c r="J113" s="122"/>
      <c r="K113" s="122"/>
    </row>
    <row r="114" spans="2:17">
      <c r="B114" s="121"/>
      <c r="C114" s="121"/>
      <c r="D114" s="121"/>
      <c r="E114" s="121"/>
      <c r="F114" s="121"/>
      <c r="G114" s="121"/>
      <c r="H114" s="122"/>
      <c r="I114" s="122"/>
      <c r="J114" s="122"/>
      <c r="K114" s="122"/>
    </row>
    <row r="121" spans="2:17">
      <c r="B121" s="1118"/>
      <c r="C121" s="1118"/>
      <c r="D121" s="1118"/>
      <c r="E121" s="1118"/>
      <c r="F121" s="1118"/>
      <c r="G121" s="1118"/>
      <c r="H121" s="1118"/>
      <c r="I121" s="1118"/>
      <c r="J121" s="1118"/>
      <c r="K121" s="1118"/>
    </row>
    <row r="122" spans="2:17">
      <c r="B122" s="126"/>
      <c r="C122" s="126"/>
      <c r="D122" s="126"/>
      <c r="E122" s="126"/>
      <c r="F122" s="126"/>
      <c r="G122" s="126"/>
      <c r="H122" s="127"/>
      <c r="I122" s="127"/>
      <c r="J122" s="127"/>
      <c r="K122" s="127"/>
    </row>
    <row r="123" spans="2:17">
      <c r="B123" s="126"/>
      <c r="C123" s="126"/>
      <c r="D123" s="126"/>
      <c r="E123" s="126"/>
      <c r="F123" s="126"/>
      <c r="G123" s="126"/>
      <c r="H123" s="128"/>
      <c r="I123" s="128"/>
      <c r="J123" s="128"/>
      <c r="K123" s="128"/>
      <c r="L123" s="2"/>
      <c r="M123" s="2"/>
      <c r="N123" s="2"/>
      <c r="O123" s="93"/>
      <c r="P123" s="2"/>
      <c r="Q123" s="2"/>
    </row>
    <row r="124" spans="2:17">
      <c r="B124" s="129"/>
      <c r="C124" s="129"/>
      <c r="D124" s="129"/>
      <c r="E124" s="129"/>
      <c r="F124" s="129"/>
      <c r="G124" s="129"/>
      <c r="H124" s="130"/>
      <c r="I124" s="130"/>
      <c r="J124" s="130"/>
      <c r="K124" s="130"/>
      <c r="N124" s="130"/>
      <c r="O124" s="131"/>
    </row>
    <row r="125" spans="2:17">
      <c r="B125" s="129"/>
      <c r="C125" s="129"/>
      <c r="D125" s="129"/>
      <c r="E125" s="129"/>
      <c r="F125" s="129"/>
      <c r="G125" s="129"/>
      <c r="H125" s="130"/>
      <c r="I125" s="130"/>
      <c r="J125" s="130"/>
      <c r="K125" s="130"/>
      <c r="N125" s="130"/>
      <c r="O125" s="131"/>
    </row>
    <row r="126" spans="2:17">
      <c r="B126" s="129"/>
      <c r="C126" s="129"/>
      <c r="D126" s="129"/>
      <c r="E126" s="129"/>
      <c r="F126" s="129"/>
      <c r="G126" s="129"/>
      <c r="H126" s="130"/>
      <c r="I126" s="130"/>
      <c r="J126" s="130"/>
      <c r="K126" s="130"/>
      <c r="N126" s="130"/>
      <c r="O126" s="131"/>
    </row>
    <row r="127" spans="2:17">
      <c r="B127" s="129"/>
      <c r="C127" s="129"/>
      <c r="D127" s="129"/>
      <c r="E127" s="129"/>
      <c r="F127" s="129"/>
      <c r="G127" s="129"/>
      <c r="H127" s="130"/>
      <c r="I127" s="130"/>
      <c r="J127" s="130"/>
      <c r="K127" s="130"/>
      <c r="N127" s="130"/>
      <c r="O127" s="131"/>
    </row>
    <row r="128" spans="2:17">
      <c r="B128" s="126"/>
      <c r="C128" s="126"/>
      <c r="D128" s="126"/>
      <c r="E128" s="126"/>
      <c r="F128" s="126"/>
      <c r="G128" s="126"/>
      <c r="H128" s="128"/>
      <c r="I128" s="128"/>
      <c r="J128" s="128"/>
      <c r="K128" s="128"/>
    </row>
    <row r="129" spans="2:11">
      <c r="B129" s="132"/>
      <c r="C129" s="132"/>
      <c r="D129" s="132"/>
      <c r="E129" s="132"/>
      <c r="F129" s="132"/>
      <c r="G129" s="132"/>
      <c r="H129" s="128"/>
      <c r="I129" s="128"/>
      <c r="J129" s="128"/>
      <c r="K129" s="128"/>
    </row>
    <row r="130" spans="2:11">
      <c r="B130" s="126"/>
      <c r="C130" s="126"/>
      <c r="D130" s="126"/>
      <c r="E130" s="126"/>
      <c r="F130" s="126"/>
      <c r="G130" s="126"/>
      <c r="H130" s="128"/>
      <c r="I130" s="128"/>
      <c r="J130" s="128"/>
      <c r="K130" s="128"/>
    </row>
    <row r="131" spans="2:11">
      <c r="B131" s="133"/>
      <c r="C131" s="133"/>
      <c r="D131" s="133"/>
      <c r="E131" s="133"/>
      <c r="F131" s="133"/>
      <c r="G131" s="133"/>
      <c r="H131" s="134"/>
      <c r="I131" s="127"/>
      <c r="J131" s="134"/>
      <c r="K131" s="134"/>
    </row>
    <row r="132" spans="2:11">
      <c r="B132" s="126"/>
      <c r="C132" s="126"/>
      <c r="D132" s="126"/>
      <c r="E132" s="126"/>
      <c r="F132" s="126"/>
      <c r="G132" s="126"/>
      <c r="H132" s="135"/>
      <c r="I132" s="135"/>
      <c r="J132" s="135"/>
      <c r="K132" s="135"/>
    </row>
    <row r="133" spans="2:11">
      <c r="B133" s="126"/>
      <c r="C133" s="126"/>
      <c r="D133" s="126"/>
      <c r="E133" s="126"/>
      <c r="F133" s="126"/>
      <c r="G133" s="126"/>
      <c r="H133" s="135"/>
      <c r="I133" s="135"/>
      <c r="J133" s="135"/>
      <c r="K133" s="135"/>
    </row>
    <row r="134" spans="2:11">
      <c r="B134" s="126"/>
      <c r="C134" s="126"/>
      <c r="D134" s="126"/>
      <c r="E134" s="126"/>
      <c r="F134" s="126"/>
      <c r="G134" s="126"/>
      <c r="H134" s="136"/>
      <c r="I134" s="136"/>
      <c r="J134" s="136"/>
      <c r="K134" s="136"/>
    </row>
    <row r="135" spans="2:11">
      <c r="B135" s="133"/>
      <c r="C135" s="133"/>
      <c r="D135" s="133"/>
      <c r="E135" s="133"/>
      <c r="F135" s="133"/>
      <c r="G135" s="133"/>
      <c r="H135" s="134"/>
      <c r="I135" s="134"/>
      <c r="J135" s="134"/>
      <c r="K135" s="134"/>
    </row>
    <row r="136" spans="2:11">
      <c r="B136" s="126"/>
      <c r="C136" s="126"/>
      <c r="D136" s="126"/>
      <c r="E136" s="126"/>
      <c r="F136" s="126"/>
      <c r="G136" s="126"/>
      <c r="H136" s="135"/>
      <c r="I136" s="135"/>
      <c r="J136" s="135"/>
      <c r="K136" s="135"/>
    </row>
    <row r="137" spans="2:11">
      <c r="B137" s="129"/>
      <c r="C137" s="129"/>
      <c r="D137" s="129"/>
      <c r="E137" s="129"/>
      <c r="F137" s="129"/>
      <c r="G137" s="129"/>
      <c r="H137" s="135"/>
      <c r="I137" s="135"/>
      <c r="J137" s="135"/>
      <c r="K137" s="135"/>
    </row>
    <row r="138" spans="2:11">
      <c r="B138" s="129"/>
      <c r="C138" s="129"/>
      <c r="D138" s="129"/>
      <c r="E138" s="129"/>
      <c r="F138" s="129"/>
      <c r="G138" s="129"/>
      <c r="H138" s="135"/>
      <c r="I138" s="135"/>
      <c r="J138" s="135"/>
      <c r="K138" s="135"/>
    </row>
    <row r="139" spans="2:11">
      <c r="B139" s="129"/>
      <c r="C139" s="129"/>
      <c r="D139" s="129"/>
      <c r="E139" s="129"/>
      <c r="F139" s="129"/>
      <c r="G139" s="129"/>
      <c r="H139" s="135"/>
      <c r="I139" s="135"/>
      <c r="J139" s="135"/>
      <c r="K139" s="135"/>
    </row>
    <row r="140" spans="2:11">
      <c r="B140" s="129"/>
      <c r="C140" s="129"/>
      <c r="D140" s="129"/>
      <c r="E140" s="129"/>
      <c r="F140" s="129"/>
      <c r="G140" s="129"/>
      <c r="H140" s="135"/>
      <c r="I140" s="135"/>
      <c r="J140" s="135"/>
      <c r="K140" s="135"/>
    </row>
    <row r="141" spans="2:11">
      <c r="B141" s="132"/>
      <c r="C141" s="132"/>
      <c r="D141" s="132"/>
      <c r="E141" s="132"/>
      <c r="F141" s="132"/>
      <c r="G141" s="132"/>
      <c r="H141" s="135"/>
      <c r="I141" s="135"/>
      <c r="J141" s="135"/>
      <c r="K141" s="135"/>
    </row>
    <row r="142" spans="2:11">
      <c r="B142" s="126"/>
      <c r="C142" s="126"/>
      <c r="D142" s="126"/>
      <c r="E142" s="126"/>
      <c r="F142" s="126"/>
      <c r="G142" s="126"/>
      <c r="H142" s="135"/>
      <c r="I142" s="135"/>
      <c r="J142" s="135"/>
      <c r="K142" s="135"/>
    </row>
    <row r="143" spans="2:11">
      <c r="B143" s="1119"/>
      <c r="C143" s="1119"/>
      <c r="D143" s="1119"/>
      <c r="E143" s="1119"/>
      <c r="F143" s="1119"/>
      <c r="G143" s="1119"/>
      <c r="H143" s="1119"/>
      <c r="I143" s="1119"/>
      <c r="J143" s="1119"/>
      <c r="K143" s="137"/>
    </row>
    <row r="152" spans="2:11">
      <c r="B152" s="138"/>
      <c r="C152" s="138"/>
      <c r="D152" s="138"/>
      <c r="E152" s="138"/>
      <c r="F152" s="138"/>
      <c r="G152" s="138"/>
      <c r="H152" s="139"/>
      <c r="I152" s="139"/>
      <c r="J152" s="139"/>
      <c r="K152" s="139"/>
    </row>
    <row r="153" spans="2:11">
      <c r="B153" s="140"/>
      <c r="C153" s="140"/>
      <c r="D153" s="140"/>
      <c r="E153" s="140"/>
      <c r="F153" s="140"/>
      <c r="G153" s="140"/>
      <c r="H153" s="141"/>
      <c r="I153" s="141"/>
      <c r="J153" s="141"/>
      <c r="K153" s="141"/>
    </row>
    <row r="154" spans="2:11">
      <c r="B154" s="142"/>
      <c r="C154" s="142"/>
      <c r="D154" s="142"/>
      <c r="E154" s="142"/>
      <c r="F154" s="142"/>
      <c r="G154" s="142"/>
      <c r="H154" s="139"/>
      <c r="I154" s="139"/>
      <c r="J154" s="141"/>
      <c r="K154" s="141"/>
    </row>
    <row r="155" spans="2:11">
      <c r="B155" s="140"/>
      <c r="C155" s="140"/>
      <c r="D155" s="140"/>
      <c r="E155" s="140"/>
      <c r="F155" s="140"/>
      <c r="G155" s="140"/>
      <c r="H155" s="139"/>
      <c r="I155" s="139"/>
      <c r="J155" s="139"/>
      <c r="K155" s="139"/>
    </row>
    <row r="156" spans="2:11">
      <c r="B156" s="143"/>
      <c r="C156" s="143"/>
      <c r="D156" s="143"/>
      <c r="E156" s="143"/>
      <c r="F156" s="143"/>
      <c r="G156" s="143"/>
      <c r="H156" s="141"/>
      <c r="I156" s="141"/>
      <c r="J156" s="141"/>
      <c r="K156" s="141"/>
    </row>
    <row r="157" spans="2:11">
      <c r="B157" s="143"/>
      <c r="C157" s="143"/>
      <c r="D157" s="143"/>
      <c r="E157" s="143"/>
      <c r="F157" s="143"/>
      <c r="G157" s="143"/>
      <c r="H157" s="141"/>
      <c r="I157" s="141"/>
      <c r="J157" s="141"/>
      <c r="K157" s="141"/>
    </row>
    <row r="158" spans="2:11">
      <c r="B158" s="143"/>
      <c r="C158" s="143"/>
      <c r="D158" s="143"/>
      <c r="E158" s="143"/>
      <c r="F158" s="143"/>
      <c r="G158" s="143"/>
      <c r="H158" s="144"/>
      <c r="I158" s="144"/>
      <c r="J158" s="144"/>
      <c r="K158" s="144"/>
    </row>
    <row r="159" spans="2:11">
      <c r="B159" s="143"/>
      <c r="C159" s="143"/>
      <c r="D159" s="143"/>
      <c r="E159" s="143"/>
      <c r="F159" s="143"/>
      <c r="G159" s="143"/>
      <c r="H159" s="144"/>
      <c r="I159" s="144"/>
      <c r="J159" s="144"/>
      <c r="K159" s="144"/>
    </row>
    <row r="160" spans="2:11">
      <c r="B160" s="140"/>
      <c r="C160" s="140"/>
      <c r="D160" s="140"/>
      <c r="E160" s="140"/>
      <c r="F160" s="140"/>
      <c r="G160" s="140"/>
      <c r="H160" s="145"/>
      <c r="I160" s="145"/>
      <c r="J160" s="145"/>
      <c r="K160" s="145"/>
    </row>
    <row r="161" spans="2:11">
      <c r="B161" s="146"/>
      <c r="C161" s="146"/>
      <c r="D161" s="146"/>
      <c r="E161" s="146"/>
      <c r="F161" s="146"/>
      <c r="G161" s="146"/>
      <c r="H161" s="139"/>
      <c r="I161" s="139"/>
      <c r="J161" s="139"/>
      <c r="K161" s="139"/>
    </row>
    <row r="162" spans="2:11">
      <c r="B162" s="146"/>
      <c r="C162" s="146"/>
      <c r="D162" s="146"/>
      <c r="E162" s="146"/>
      <c r="F162" s="146"/>
      <c r="G162" s="146"/>
      <c r="H162" s="139"/>
      <c r="I162" s="139"/>
      <c r="J162" s="139"/>
      <c r="K162" s="139"/>
    </row>
    <row r="163" spans="2:11">
      <c r="B163" s="146"/>
      <c r="C163" s="146"/>
      <c r="D163" s="146"/>
      <c r="E163" s="146"/>
      <c r="F163" s="146"/>
      <c r="G163" s="146"/>
      <c r="H163" s="139"/>
      <c r="I163" s="139"/>
      <c r="J163" s="139"/>
      <c r="K163" s="139"/>
    </row>
  </sheetData>
  <mergeCells count="2">
    <mergeCell ref="B121:K121"/>
    <mergeCell ref="B143:J143"/>
  </mergeCells>
  <phoneticPr fontId="7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466B-439E-42F4-8826-E645C45AB8A3}">
  <sheetPr>
    <tabColor theme="7" tint="0.59999389629810485"/>
  </sheetPr>
  <dimension ref="A2:AM59"/>
  <sheetViews>
    <sheetView zoomScale="20" zoomScaleNormal="20" workbookViewId="0">
      <pane xSplit="3" ySplit="3" topLeftCell="I43" activePane="bottomRight" state="frozen"/>
      <selection pane="topRight" activeCell="D1" sqref="D1"/>
      <selection pane="bottomLeft" activeCell="A4" sqref="A4"/>
      <selection pane="bottomRight" activeCell="AE8" sqref="AE8"/>
    </sheetView>
  </sheetViews>
  <sheetFormatPr defaultColWidth="9" defaultRowHeight="14"/>
  <cols>
    <col min="2" max="2" width="32.5" customWidth="1"/>
    <col min="3" max="3" width="15.08203125" customWidth="1"/>
    <col min="4" max="4" width="9.75" bestFit="1" customWidth="1"/>
    <col min="5" max="11" width="10.75" bestFit="1" customWidth="1"/>
    <col min="12" max="12" width="10.75" style="40" bestFit="1" customWidth="1"/>
    <col min="13" max="17" width="9.75" bestFit="1" customWidth="1"/>
    <col min="18" max="18" width="10.08203125" bestFit="1" customWidth="1"/>
    <col min="20" max="20" width="9.75" bestFit="1" customWidth="1"/>
    <col min="29" max="30" width="9.75" bestFit="1" customWidth="1"/>
    <col min="31" max="31" width="10.33203125" bestFit="1" customWidth="1"/>
    <col min="32" max="36" width="9.75" bestFit="1" customWidth="1"/>
  </cols>
  <sheetData>
    <row r="2" spans="1:39" ht="14.5" thickBot="1">
      <c r="A2" s="315"/>
      <c r="B2" s="187"/>
      <c r="C2" s="187"/>
      <c r="J2" s="1120" t="s">
        <v>591</v>
      </c>
      <c r="K2" s="1117"/>
      <c r="L2" s="1120"/>
      <c r="M2" s="1120"/>
      <c r="N2" s="1120"/>
      <c r="O2" s="1120"/>
      <c r="P2" s="175"/>
      <c r="Q2" s="175"/>
      <c r="R2" s="175"/>
      <c r="T2" s="107" t="s">
        <v>592</v>
      </c>
      <c r="AC2" t="s">
        <v>593</v>
      </c>
    </row>
    <row r="3" spans="1:39" s="319" customFormat="1" ht="14.5" thickBot="1">
      <c r="A3" s="316" t="s">
        <v>419</v>
      </c>
      <c r="B3" s="316" t="s">
        <v>594</v>
      </c>
      <c r="C3" s="316" t="s">
        <v>418</v>
      </c>
      <c r="D3" s="318">
        <v>2017</v>
      </c>
      <c r="E3" s="318">
        <f t="shared" ref="E3:J3" si="0">D3+1</f>
        <v>2018</v>
      </c>
      <c r="F3" s="318">
        <f t="shared" si="0"/>
        <v>2019</v>
      </c>
      <c r="G3" s="318">
        <f t="shared" si="0"/>
        <v>2020</v>
      </c>
      <c r="H3" s="318">
        <f t="shared" si="0"/>
        <v>2021</v>
      </c>
      <c r="I3" s="318">
        <f t="shared" si="0"/>
        <v>2022</v>
      </c>
      <c r="J3" s="318">
        <f t="shared" si="0"/>
        <v>2023</v>
      </c>
      <c r="K3" s="318">
        <f>J3+1</f>
        <v>2024</v>
      </c>
      <c r="L3" s="318">
        <f t="shared" ref="L3:R3" si="1">K3+1</f>
        <v>2025</v>
      </c>
      <c r="M3" s="318">
        <f t="shared" si="1"/>
        <v>2026</v>
      </c>
      <c r="N3" s="318">
        <f t="shared" si="1"/>
        <v>2027</v>
      </c>
      <c r="O3" s="318">
        <f t="shared" si="1"/>
        <v>2028</v>
      </c>
      <c r="P3" s="318">
        <f t="shared" si="1"/>
        <v>2029</v>
      </c>
      <c r="Q3" s="318">
        <f t="shared" si="1"/>
        <v>2030</v>
      </c>
      <c r="R3" s="318">
        <f t="shared" si="1"/>
        <v>2031</v>
      </c>
      <c r="T3" s="320">
        <v>2024</v>
      </c>
      <c r="U3" s="320">
        <v>2025</v>
      </c>
      <c r="V3" s="320">
        <v>2026</v>
      </c>
      <c r="W3" s="320">
        <v>2027</v>
      </c>
      <c r="X3" s="320">
        <v>2028</v>
      </c>
      <c r="Y3" s="320">
        <v>2029</v>
      </c>
      <c r="Z3" s="320">
        <v>2030</v>
      </c>
      <c r="AA3" s="320">
        <v>2031</v>
      </c>
      <c r="AC3" s="317">
        <v>2024</v>
      </c>
      <c r="AD3" s="318">
        <v>2025</v>
      </c>
      <c r="AE3" s="318">
        <v>2026</v>
      </c>
      <c r="AF3" s="318">
        <v>2027</v>
      </c>
      <c r="AG3" s="318">
        <v>2028</v>
      </c>
      <c r="AH3" s="318">
        <v>2029</v>
      </c>
      <c r="AI3" s="318">
        <v>2030</v>
      </c>
      <c r="AJ3" s="318">
        <v>2031</v>
      </c>
    </row>
    <row r="4" spans="1:39" ht="14.5" thickBot="1">
      <c r="A4" s="321"/>
      <c r="B4" s="322"/>
      <c r="C4" s="323"/>
      <c r="AM4" t="s">
        <v>595</v>
      </c>
    </row>
    <row r="5" spans="1:39">
      <c r="A5" s="324"/>
      <c r="B5" s="325" t="s">
        <v>596</v>
      </c>
      <c r="C5" s="326"/>
      <c r="AM5" t="s">
        <v>595</v>
      </c>
    </row>
    <row r="6" spans="1:39" s="330" customFormat="1">
      <c r="A6" s="327">
        <v>1</v>
      </c>
      <c r="B6" s="328" t="s">
        <v>597</v>
      </c>
      <c r="C6" s="329"/>
      <c r="D6" s="330">
        <f>SUMIFS(CF!K:K,CF!$A:$A,'1CF'!$A$6)</f>
        <v>6077092</v>
      </c>
      <c r="E6" s="330">
        <f>SUMIFS(CF!L:L,CF!$A:$A,'1CF'!$A$6)</f>
        <v>5390440</v>
      </c>
      <c r="F6" s="330">
        <f>SUMIFS(CF!M:M,CF!$A:$A,'1CF'!$A$6)</f>
        <v>6686177</v>
      </c>
      <c r="G6" s="330">
        <f>SUMIFS(CF!N:N,CF!$A:$A,'1CF'!$A$6)</f>
        <v>6111818</v>
      </c>
      <c r="H6" s="330">
        <f>SUMIFS(CF!O:O,CF!$A:$A,'1CF'!$A$6)</f>
        <v>4856894</v>
      </c>
      <c r="I6" s="330">
        <f>SUMIFS(CF!P:P,CF!$A:$A,'1CF'!$A$6)</f>
        <v>6813417</v>
      </c>
      <c r="J6" s="330">
        <f>SUMIFS(CF!Q:Q,CF!$A:$A,'1CF'!$A$6)</f>
        <v>5370410</v>
      </c>
      <c r="K6" s="330">
        <f>SUMIFS(CF!R:R,CF!$A:$A,'1CF'!$A$6)</f>
        <v>5647359</v>
      </c>
      <c r="L6" s="331">
        <f>SUMIFS(CF!S:S,CF!$A:$A,'1CF'!$A$6)</f>
        <v>5651966</v>
      </c>
      <c r="M6" s="330">
        <f>V6+AE6</f>
        <v>5634527.2158845579</v>
      </c>
      <c r="N6" s="330">
        <f t="shared" ref="N6:R6" si="2">W6+AF6</f>
        <v>5802720.6922623394</v>
      </c>
      <c r="O6" s="330">
        <f t="shared" si="2"/>
        <v>6315750.6962585459</v>
      </c>
      <c r="P6" s="330">
        <f t="shared" si="2"/>
        <v>6425960.7988955127</v>
      </c>
      <c r="Q6" s="330">
        <f t="shared" si="2"/>
        <v>6713479.0728540169</v>
      </c>
      <c r="R6" s="330">
        <f t="shared" si="2"/>
        <v>6969484.8410786521</v>
      </c>
      <c r="AC6" s="330">
        <f>'1IS'!N17</f>
        <v>5647359</v>
      </c>
      <c r="AD6" s="330">
        <f>'1IS'!O17</f>
        <v>5651966</v>
      </c>
      <c r="AE6" s="330">
        <f>'1IS'!P17</f>
        <v>5634527.2158845579</v>
      </c>
      <c r="AF6" s="330">
        <f>'1IS'!Q17</f>
        <v>5802720.6922623394</v>
      </c>
      <c r="AG6" s="330">
        <f>'1IS'!R17</f>
        <v>6315750.6962585459</v>
      </c>
      <c r="AH6" s="330">
        <f>'1IS'!S17</f>
        <v>6425960.7988955127</v>
      </c>
      <c r="AI6" s="330">
        <f>'1IS'!T17</f>
        <v>6713479.0728540169</v>
      </c>
      <c r="AJ6" s="330">
        <f>'1IS'!U17</f>
        <v>6969484.8410786521</v>
      </c>
      <c r="AM6" s="330" t="s">
        <v>595</v>
      </c>
    </row>
    <row r="7" spans="1:39" s="330" customFormat="1">
      <c r="A7" s="327"/>
      <c r="B7" s="328" t="s">
        <v>598</v>
      </c>
      <c r="C7" s="329"/>
      <c r="L7" s="331"/>
      <c r="AM7" s="330" t="s">
        <v>595</v>
      </c>
    </row>
    <row r="8" spans="1:39" s="330" customFormat="1">
      <c r="A8" s="327">
        <v>2</v>
      </c>
      <c r="B8" s="332" t="s">
        <v>599</v>
      </c>
      <c r="C8" s="329"/>
      <c r="D8" s="330">
        <f>SUMIFS(CF!K:K,CF!$A:$A,'1CF'!$A$8)</f>
        <v>625353</v>
      </c>
      <c r="E8" s="330">
        <f>SUMIFS(CF!L:L,CF!$A:$A,'1CF'!$A$8)</f>
        <v>634593</v>
      </c>
      <c r="F8" s="330">
        <f>SUMIFS(CF!M:M,CF!$A:$A,'1CF'!$A$8)</f>
        <v>647248</v>
      </c>
      <c r="G8" s="330">
        <f>SUMIFS(CF!N:N,CF!$A:$A,'1CF'!$A$8)</f>
        <v>593452</v>
      </c>
      <c r="H8" s="330">
        <f>SUMIFS(CF!O:O,CF!$A:$A,'1CF'!$A$8)</f>
        <v>557478</v>
      </c>
      <c r="I8" s="330">
        <f>SUMIFS(CF!P:P,CF!$A:$A,'1CF'!$A$8)</f>
        <v>561105</v>
      </c>
      <c r="J8" s="330">
        <f>SUMIFS(CF!Q:Q,CF!$A:$A,'1CF'!$A$8)</f>
        <v>570032</v>
      </c>
      <c r="K8" s="330">
        <f>SUMIFS(CF!R:R,CF!$A:$A,'1CF'!$A$8)</f>
        <v>548884</v>
      </c>
      <c r="L8" s="331">
        <f>SUMIFS(CF!S:S,CF!$A:$A,'1CF'!$A$8)</f>
        <v>730272</v>
      </c>
      <c r="M8" s="330">
        <f>V8+AE8</f>
        <v>800488.59941850149</v>
      </c>
      <c r="N8" s="330">
        <f t="shared" ref="N8:R12" si="3">W8+AF8</f>
        <v>812226.27669260197</v>
      </c>
      <c r="O8" s="330">
        <f t="shared" si="3"/>
        <v>799683.17038347875</v>
      </c>
      <c r="P8" s="330">
        <f t="shared" si="3"/>
        <v>813377.06572868559</v>
      </c>
      <c r="Q8" s="330">
        <f t="shared" si="3"/>
        <v>630981.22076931491</v>
      </c>
      <c r="R8" s="330">
        <f t="shared" si="3"/>
        <v>103456.62638882906</v>
      </c>
      <c r="AC8" s="330">
        <f>-SUMIFS('1BS'!Y$3:Y$68,'1BS'!$X$3:$X$68,'1CF'!$A8)+SUMIFS('1BS'!Y$69:Y$124,'1BS'!$X$69:$X$124,'1CF'!$A8)</f>
        <v>526483</v>
      </c>
      <c r="AD8" s="330">
        <f>-SUMIFS('1BS'!Z$3:Z$68,'1BS'!$X$3:$X$68,'1CF'!$A8)+SUMIFS('1BS'!Z$69:Z$124,'1BS'!$X$69:$X$124,'1CF'!$A8)</f>
        <v>3550888</v>
      </c>
      <c r="AE8" s="330">
        <f>-SUMIFS('1BS'!AA$3:AA$68,'1BS'!$X$3:$X$68,'1CF'!$A8)+SUMIFS('1BS'!AA$69:AA$124,'1BS'!$X$69:$X$124,'1CF'!$A8)</f>
        <v>800488.59941850149</v>
      </c>
      <c r="AF8" s="330">
        <f>-SUMIFS('1BS'!AB$3:AB$68,'1BS'!$X$3:$X$68,'1CF'!$A8)+SUMIFS('1BS'!AB$69:AB$124,'1BS'!$X$69:$X$124,'1CF'!$A8)</f>
        <v>812226.27669260197</v>
      </c>
      <c r="AG8" s="330">
        <f>-SUMIFS('1BS'!AC$3:AC$68,'1BS'!$X$3:$X$68,'1CF'!$A8)+SUMIFS('1BS'!AC$69:AC$124,'1BS'!$X$69:$X$124,'1CF'!$A8)</f>
        <v>799683.17038347875</v>
      </c>
      <c r="AH8" s="330">
        <f>-SUMIFS('1BS'!AD$3:AD$68,'1BS'!$X$3:$X$68,'1CF'!$A8)+SUMIFS('1BS'!AD$69:AD$124,'1BS'!$X$69:$X$124,'1CF'!$A8)</f>
        <v>813377.06572868559</v>
      </c>
      <c r="AI8" s="330">
        <f>-SUMIFS('1BS'!AE$3:AE$68,'1BS'!$X$3:$X$68,'1CF'!$A8)+SUMIFS('1BS'!AE$69:AE$124,'1BS'!$X$69:$X$124,'1CF'!$A8)</f>
        <v>630981.22076931491</v>
      </c>
      <c r="AJ8" s="330">
        <f>-SUMIFS('1BS'!AF$3:AF$68,'1BS'!$X$3:$X$68,'1CF'!$A8)+SUMIFS('1BS'!AF$69:AF$124,'1BS'!$X$69:$X$124,'1CF'!$A8)</f>
        <v>103456.62638882906</v>
      </c>
      <c r="AM8" s="330" t="s">
        <v>595</v>
      </c>
    </row>
    <row r="9" spans="1:39" s="330" customFormat="1">
      <c r="A9" s="327">
        <v>3</v>
      </c>
      <c r="B9" s="332" t="s">
        <v>600</v>
      </c>
      <c r="C9" s="329"/>
      <c r="D9" s="330">
        <f>SUMIFS(CF!K:K,CF!$A:$A,'1CF'!$A$9)</f>
        <v>81974</v>
      </c>
      <c r="E9" s="330">
        <f>SUMIFS(CF!L:L,CF!$A:$A,'1CF'!$A$9)</f>
        <v>241181</v>
      </c>
      <c r="F9" s="330">
        <f>SUMIFS(CF!M:M,CF!$A:$A,'1CF'!$A$9)</f>
        <v>358145</v>
      </c>
      <c r="G9" s="330">
        <f>SUMIFS(CF!N:N,CF!$A:$A,'1CF'!$A$9)</f>
        <v>-41309</v>
      </c>
      <c r="H9" s="330">
        <f>SUMIFS(CF!O:O,CF!$A:$A,'1CF'!$A$9)</f>
        <v>-63137</v>
      </c>
      <c r="I9" s="330">
        <f>SUMIFS(CF!P:P,CF!$A:$A,'1CF'!$A$9)</f>
        <v>-375</v>
      </c>
      <c r="J9" s="330">
        <f>SUMIFS(CF!Q:Q,CF!$A:$A,'1CF'!$A$9)</f>
        <v>3418</v>
      </c>
      <c r="K9" s="330">
        <f>SUMIFS(CF!R:R,CF!$A:$A,'1CF'!$A$9)</f>
        <v>4315</v>
      </c>
      <c r="L9" s="331">
        <f>SUMIFS(CF!S:S,CF!$A:$A,'1CF'!$A$9)</f>
        <v>42467</v>
      </c>
      <c r="M9" s="330">
        <f>V9+AE9</f>
        <v>-252929.35138256656</v>
      </c>
      <c r="N9" s="330">
        <f t="shared" si="3"/>
        <v>-89715.018429174088</v>
      </c>
      <c r="O9" s="330">
        <f t="shared" si="3"/>
        <v>70440.722528621322</v>
      </c>
      <c r="P9" s="330">
        <f t="shared" si="3"/>
        <v>-13739.812414128361</v>
      </c>
      <c r="Q9" s="330">
        <f t="shared" si="3"/>
        <v>20307.20885741778</v>
      </c>
      <c r="R9" s="330">
        <f t="shared" si="3"/>
        <v>9039.0121532196426</v>
      </c>
      <c r="AC9" s="330">
        <f>-SUMIFS('1BS'!Y$3:Y$68,'1BS'!$X$3:$X$68,'1CF'!$A9)+SUMIFS('1BS'!Y$69:Y$124,'1BS'!$X$69:$X$124,'1CF'!$A9)</f>
        <v>-35129</v>
      </c>
      <c r="AD9" s="330">
        <f>-SUMIFS('1BS'!Z$3:Z$68,'1BS'!$X$3:$X$68,'1CF'!$A9)+SUMIFS('1BS'!Z$69:Z$124,'1BS'!$X$69:$X$124,'1CF'!$A9)</f>
        <v>261007</v>
      </c>
      <c r="AE9" s="330">
        <f>-SUMIFS('1BS'!AA$3:AA$68,'1BS'!$X$3:$X$68,'1CF'!$A9)+SUMIFS('1BS'!AA$69:AA$124,'1BS'!$X$69:$X$124,'1CF'!$A9)</f>
        <v>-252929.35138256656</v>
      </c>
      <c r="AF9" s="330">
        <f>-SUMIFS('1BS'!AB$3:AB$68,'1BS'!$X$3:$X$68,'1CF'!$A9)+SUMIFS('1BS'!AB$69:AB$124,'1BS'!$X$69:$X$124,'1CF'!$A9)</f>
        <v>-89715.018429174088</v>
      </c>
      <c r="AG9" s="330">
        <f>-SUMIFS('1BS'!AC$3:AC$68,'1BS'!$X$3:$X$68,'1CF'!$A9)+SUMIFS('1BS'!AC$69:AC$124,'1BS'!$X$69:$X$124,'1CF'!$A9)</f>
        <v>70440.722528621322</v>
      </c>
      <c r="AH9" s="330">
        <f>-SUMIFS('1BS'!AD$3:AD$68,'1BS'!$X$3:$X$68,'1CF'!$A9)+SUMIFS('1BS'!AD$69:AD$124,'1BS'!$X$69:$X$124,'1CF'!$A9)</f>
        <v>-13739.812414128361</v>
      </c>
      <c r="AI9" s="330">
        <f>-SUMIFS('1BS'!AE$3:AE$68,'1BS'!$X$3:$X$68,'1CF'!$A9)+SUMIFS('1BS'!AE$69:AE$124,'1BS'!$X$69:$X$124,'1CF'!$A9)</f>
        <v>20307.20885741778</v>
      </c>
      <c r="AJ9" s="330">
        <f>-SUMIFS('1BS'!AF$3:AF$68,'1BS'!$X$3:$X$68,'1CF'!$A9)+SUMIFS('1BS'!AF$69:AF$124,'1BS'!$X$69:$X$124,'1CF'!$A9)</f>
        <v>9039.0121532196426</v>
      </c>
      <c r="AM9" s="330" t="s">
        <v>595</v>
      </c>
    </row>
    <row r="10" spans="1:39" s="330" customFormat="1">
      <c r="A10" s="327">
        <v>4</v>
      </c>
      <c r="B10" s="332" t="s">
        <v>601</v>
      </c>
      <c r="C10" s="329"/>
      <c r="D10" s="330">
        <f>SUMIFS(CF!K:K,CF!$A:$A,'1CF'!$A$10)</f>
        <v>106</v>
      </c>
      <c r="E10" s="330">
        <f>SUMIFS(CF!L:L,CF!$A:$A,'1CF'!$A$10)</f>
        <v>-72</v>
      </c>
      <c r="F10" s="330">
        <f>SUMIFS(CF!M:M,CF!$A:$A,'1CF'!$A$10)</f>
        <v>790</v>
      </c>
      <c r="G10" s="330">
        <f>SUMIFS(CF!N:N,CF!$A:$A,'1CF'!$A$10)</f>
        <v>10994</v>
      </c>
      <c r="H10" s="330">
        <f>SUMIFS(CF!O:O,CF!$A:$A,'1CF'!$A$10)</f>
        <v>-24130</v>
      </c>
      <c r="I10" s="330">
        <f>SUMIFS(CF!P:P,CF!$A:$A,'1CF'!$A$10)</f>
        <v>-6770</v>
      </c>
      <c r="J10" s="330">
        <f>SUMIFS(CF!Q:Q,CF!$A:$A,'1CF'!$A$10)</f>
        <v>8344</v>
      </c>
      <c r="K10" s="330">
        <f>SUMIFS(CF!R:R,CF!$A:$A,'1CF'!$A$10)</f>
        <v>581</v>
      </c>
      <c r="L10" s="331">
        <f>SUMIFS(CF!S:S,CF!$A:$A,'1CF'!$A$10)</f>
        <v>24</v>
      </c>
      <c r="M10" s="330">
        <f t="shared" ref="M10" si="4">V10+AE10</f>
        <v>0</v>
      </c>
      <c r="N10" s="330">
        <f t="shared" si="3"/>
        <v>0</v>
      </c>
      <c r="O10" s="330">
        <f t="shared" si="3"/>
        <v>0</v>
      </c>
      <c r="P10" s="330">
        <f t="shared" si="3"/>
        <v>0</v>
      </c>
      <c r="Q10" s="330">
        <f t="shared" si="3"/>
        <v>0</v>
      </c>
      <c r="R10" s="330">
        <f t="shared" si="3"/>
        <v>0</v>
      </c>
      <c r="AC10" s="330">
        <f>-SUMIFS('1BS'!Y$3:Y$68,'1BS'!$X$3:$X$68,'1CF'!$A10)+SUMIFS('1BS'!Y$69:Y$124,'1BS'!$X$69:$X$124,'1CF'!$A10)</f>
        <v>0</v>
      </c>
      <c r="AD10" s="330">
        <f>-SUMIFS('1BS'!Z$3:Z$68,'1BS'!$X$3:$X$68,'1CF'!$A10)+SUMIFS('1BS'!Z$69:Z$124,'1BS'!$X$69:$X$124,'1CF'!$A10)</f>
        <v>0</v>
      </c>
      <c r="AE10" s="330">
        <f>-SUMIFS('1BS'!AA$3:AA$68,'1BS'!$X$3:$X$68,'1CF'!$A10)+SUMIFS('1BS'!AA$69:AA$124,'1BS'!$X$69:$X$124,'1CF'!$A10)</f>
        <v>0</v>
      </c>
      <c r="AF10" s="330">
        <f>-SUMIFS('1BS'!AB$3:AB$68,'1BS'!$X$3:$X$68,'1CF'!$A10)+SUMIFS('1BS'!AB$69:AB$124,'1BS'!$X$69:$X$124,'1CF'!$A10)</f>
        <v>0</v>
      </c>
      <c r="AG10" s="330">
        <f>-SUMIFS('1BS'!AC$3:AC$68,'1BS'!$X$3:$X$68,'1CF'!$A10)+SUMIFS('1BS'!AC$69:AC$124,'1BS'!$X$69:$X$124,'1CF'!$A10)</f>
        <v>0</v>
      </c>
      <c r="AH10" s="330">
        <f>-SUMIFS('1BS'!AD$3:AD$68,'1BS'!$X$3:$X$68,'1CF'!$A10)+SUMIFS('1BS'!AD$69:AD$124,'1BS'!$X$69:$X$124,'1CF'!$A10)</f>
        <v>0</v>
      </c>
      <c r="AI10" s="330">
        <f>-SUMIFS('1BS'!AE$3:AE$68,'1BS'!$X$3:$X$68,'1CF'!$A10)+SUMIFS('1BS'!AE$69:AE$124,'1BS'!$X$69:$X$124,'1CF'!$A10)</f>
        <v>0</v>
      </c>
      <c r="AJ10" s="330">
        <f>-SUMIFS('1BS'!AF$3:AF$68,'1BS'!$X$3:$X$68,'1CF'!$A10)+SUMIFS('1BS'!AF$69:AF$124,'1BS'!$X$69:$X$124,'1CF'!$A10)</f>
        <v>0</v>
      </c>
      <c r="AM10" s="330" t="s">
        <v>595</v>
      </c>
    </row>
    <row r="11" spans="1:39" s="330" customFormat="1">
      <c r="A11" s="327">
        <v>5</v>
      </c>
      <c r="B11" s="332" t="s">
        <v>602</v>
      </c>
      <c r="C11" s="329"/>
      <c r="D11" s="330">
        <f>SUMIFS(CF!K:K,CF!$A:$A,'1CF'!$A$11)</f>
        <v>-920688</v>
      </c>
      <c r="E11" s="330">
        <f>SUMIFS(CF!L:L,CF!$A:$A,'1CF'!$A$11)</f>
        <v>-598929</v>
      </c>
      <c r="F11" s="330">
        <f>SUMIFS(CF!M:M,CF!$A:$A,'1CF'!$A$11)</f>
        <v>-861838</v>
      </c>
      <c r="G11" s="330">
        <f>SUMIFS(CF!N:N,CF!$A:$A,'1CF'!$A$11)</f>
        <v>-1200918</v>
      </c>
      <c r="H11" s="330">
        <f>SUMIFS(CF!O:O,CF!$A:$A,'1CF'!$A$11)</f>
        <v>-1146221</v>
      </c>
      <c r="I11" s="330">
        <f>SUMIFS(CF!P:P,CF!$A:$A,'1CF'!$A$11)</f>
        <v>-1030694</v>
      </c>
      <c r="J11" s="330">
        <f>SUMIFS(CF!Q:Q,CF!$A:$A,'1CF'!$A$11)</f>
        <v>-1393861</v>
      </c>
      <c r="K11" s="330">
        <f>SUMIFS(CF!R:R,CF!$A:$A,'1CF'!$A$11)</f>
        <v>-1051087</v>
      </c>
      <c r="L11" s="331">
        <f>SUMIFS(CF!S:S,CF!$A:$A,'1CF'!$A$11)</f>
        <v>-1273875</v>
      </c>
      <c r="M11" s="330">
        <f>V11+AE11</f>
        <v>-960583.19962457812</v>
      </c>
      <c r="N11" s="330">
        <f t="shared" si="3"/>
        <v>-913313.44559499959</v>
      </c>
      <c r="O11" s="330">
        <f t="shared" si="3"/>
        <v>-906594.42290540854</v>
      </c>
      <c r="P11" s="330">
        <f t="shared" si="3"/>
        <v>-904404.95931077644</v>
      </c>
      <c r="Q11" s="330">
        <f t="shared" si="3"/>
        <v>-901260.30069071427</v>
      </c>
      <c r="R11" s="330">
        <f t="shared" si="3"/>
        <v>-924798.59127347788</v>
      </c>
      <c r="T11" s="330">
        <f>-'FI&amp;FE'!M3</f>
        <v>-1044633</v>
      </c>
      <c r="U11" s="330">
        <f>-'FI&amp;FE'!N3</f>
        <v>-995208</v>
      </c>
      <c r="V11" s="330">
        <f>-'FI&amp;FE'!O3</f>
        <v>-960583.19962457812</v>
      </c>
      <c r="W11" s="330">
        <f>-'FI&amp;FE'!P3</f>
        <v>-913313.44559499959</v>
      </c>
      <c r="X11" s="330">
        <f>-'FI&amp;FE'!Q3</f>
        <v>-906594.42290540854</v>
      </c>
      <c r="Y11" s="330">
        <f>-'FI&amp;FE'!R3</f>
        <v>-904404.95931077644</v>
      </c>
      <c r="Z11" s="330">
        <f>-'FI&amp;FE'!S3</f>
        <v>-901260.30069071427</v>
      </c>
      <c r="AA11" s="330">
        <f>-'FI&amp;FE'!T3</f>
        <v>-924798.59127347788</v>
      </c>
      <c r="AC11" s="330">
        <f>-SUMIFS('1BS'!Y$3:Y$68,'1BS'!$X$3:$X$68,'1CF'!$A11)+SUMIFS('1BS'!Y$69:Y$124,'1BS'!$X$69:$X$124,'1CF'!$A11)</f>
        <v>0</v>
      </c>
      <c r="AD11" s="330">
        <f>-SUMIFS('1BS'!Z$3:Z$68,'1BS'!$X$3:$X$68,'1CF'!$A11)+SUMIFS('1BS'!Z$69:Z$124,'1BS'!$X$69:$X$124,'1CF'!$A11)</f>
        <v>0</v>
      </c>
      <c r="AE11" s="330">
        <f>-SUMIFS('1BS'!AA$3:AA$68,'1BS'!$X$3:$X$68,'1CF'!$A11)+SUMIFS('1BS'!AA$69:AA$124,'1BS'!$X$69:$X$124,'1CF'!$A11)</f>
        <v>0</v>
      </c>
      <c r="AF11" s="330">
        <f>-SUMIFS('1BS'!AB$3:AB$68,'1BS'!$X$3:$X$68,'1CF'!$A11)+SUMIFS('1BS'!AB$69:AB$124,'1BS'!$X$69:$X$124,'1CF'!$A11)</f>
        <v>0</v>
      </c>
      <c r="AG11" s="330">
        <f>-SUMIFS('1BS'!AC$3:AC$68,'1BS'!$X$3:$X$68,'1CF'!$A11)+SUMIFS('1BS'!AC$69:AC$124,'1BS'!$X$69:$X$124,'1CF'!$A11)</f>
        <v>0</v>
      </c>
      <c r="AH11" s="330">
        <f>-SUMIFS('1BS'!AD$3:AD$68,'1BS'!$X$3:$X$68,'1CF'!$A11)+SUMIFS('1BS'!AD$69:AD$124,'1BS'!$X$69:$X$124,'1CF'!$A11)</f>
        <v>0</v>
      </c>
      <c r="AI11" s="330">
        <f>-SUMIFS('1BS'!AE$3:AE$68,'1BS'!$X$3:$X$68,'1CF'!$A11)+SUMIFS('1BS'!AE$69:AE$124,'1BS'!$X$69:$X$124,'1CF'!$A11)</f>
        <v>0</v>
      </c>
      <c r="AJ11" s="330">
        <f>-SUMIFS('1BS'!AF$3:AF$68,'1BS'!$X$3:$X$68,'1CF'!$A11)+SUMIFS('1BS'!AF$69:AF$124,'1BS'!$X$69:$X$124,'1CF'!$A11)</f>
        <v>0</v>
      </c>
      <c r="AK11" s="330" t="s">
        <v>603</v>
      </c>
      <c r="AM11" s="330" t="s">
        <v>595</v>
      </c>
    </row>
    <row r="12" spans="1:39" s="330" customFormat="1">
      <c r="A12" s="327">
        <v>6</v>
      </c>
      <c r="B12" s="332" t="s">
        <v>604</v>
      </c>
      <c r="C12" s="329"/>
      <c r="D12" s="330">
        <f>SUMIFS(CF!K:K,CF!$A:$A,'1CF'!$A$12)</f>
        <v>42112</v>
      </c>
      <c r="E12" s="330">
        <f>SUMIFS(CF!L:L,CF!$A:$A,'1CF'!$A$12)</f>
        <v>35245</v>
      </c>
      <c r="F12" s="330">
        <f>SUMIFS(CF!M:M,CF!$A:$A,'1CF'!$A$12)</f>
        <v>37367</v>
      </c>
      <c r="G12" s="330">
        <f>SUMIFS(CF!N:N,CF!$A:$A,'1CF'!$A$12)</f>
        <v>63681</v>
      </c>
      <c r="H12" s="330">
        <f>SUMIFS(CF!O:O,CF!$A:$A,'1CF'!$A$12)</f>
        <v>48740</v>
      </c>
      <c r="I12" s="330">
        <f>SUMIFS(CF!P:P,CF!$A:$A,'1CF'!$A$12)</f>
        <v>45517</v>
      </c>
      <c r="J12" s="330">
        <f>SUMIFS(CF!Q:Q,CF!$A:$A,'1CF'!$A$12)</f>
        <v>50215</v>
      </c>
      <c r="K12" s="330">
        <f>SUMIFS(CF!R:R,CF!$A:$A,'1CF'!$A$12)</f>
        <v>27450</v>
      </c>
      <c r="L12" s="331">
        <f>SUMIFS(CF!S:S,CF!$A:$A,'1CF'!$A$12)</f>
        <v>34346</v>
      </c>
      <c r="M12" s="330">
        <f>V12+AE12</f>
        <v>33228.323698143628</v>
      </c>
      <c r="N12" s="330">
        <f t="shared" si="3"/>
        <v>34924.037429432021</v>
      </c>
      <c r="O12" s="330">
        <f t="shared" si="3"/>
        <v>37866.270555151896</v>
      </c>
      <c r="P12" s="330">
        <f t="shared" si="3"/>
        <v>39228.537711343641</v>
      </c>
      <c r="Q12" s="330">
        <f t="shared" si="3"/>
        <v>41647.580308700984</v>
      </c>
      <c r="R12" s="330">
        <f t="shared" si="3"/>
        <v>44356.649507395865</v>
      </c>
      <c r="T12" s="330">
        <f>'FI&amp;FE'!M13</f>
        <v>27449</v>
      </c>
      <c r="U12" s="330">
        <f>'FI&amp;FE'!N13</f>
        <v>34346</v>
      </c>
      <c r="V12" s="330">
        <f>'FI&amp;FE'!O13</f>
        <v>33228.323698143628</v>
      </c>
      <c r="W12" s="330">
        <f>'FI&amp;FE'!P13</f>
        <v>34924.037429432021</v>
      </c>
      <c r="X12" s="330">
        <f>'FI&amp;FE'!Q13</f>
        <v>37866.270555151896</v>
      </c>
      <c r="Y12" s="330">
        <f>'FI&amp;FE'!R13</f>
        <v>39228.537711343641</v>
      </c>
      <c r="Z12" s="330">
        <f>'FI&amp;FE'!S13</f>
        <v>41647.580308700984</v>
      </c>
      <c r="AA12" s="330">
        <f>'FI&amp;FE'!T13</f>
        <v>44356.649507395865</v>
      </c>
      <c r="AC12" s="330">
        <f>-SUMIFS('1BS'!Y$3:Y$68,'1BS'!$X$3:$X$68,'1CF'!$A12)+SUMIFS('1BS'!Y$69:Y$124,'1BS'!$X$69:$X$124,'1CF'!$A12)</f>
        <v>0</v>
      </c>
      <c r="AD12" s="330">
        <f>-SUMIFS('1BS'!Z$3:Z$68,'1BS'!$X$3:$X$68,'1CF'!$A12)+SUMIFS('1BS'!Z$69:Z$124,'1BS'!$X$69:$X$124,'1CF'!$A12)</f>
        <v>0</v>
      </c>
      <c r="AE12" s="330">
        <f>-SUMIFS('1BS'!AA$3:AA$68,'1BS'!$X$3:$X$68,'1CF'!$A12)+SUMIFS('1BS'!AA$69:AA$124,'1BS'!$X$69:$X$124,'1CF'!$A12)</f>
        <v>0</v>
      </c>
      <c r="AF12" s="330">
        <f>-SUMIFS('1BS'!AB$3:AB$68,'1BS'!$X$3:$X$68,'1CF'!$A12)+SUMIFS('1BS'!AB$69:AB$124,'1BS'!$X$69:$X$124,'1CF'!$A12)</f>
        <v>0</v>
      </c>
      <c r="AG12" s="330">
        <f>-SUMIFS('1BS'!AC$3:AC$68,'1BS'!$X$3:$X$68,'1CF'!$A12)+SUMIFS('1BS'!AC$69:AC$124,'1BS'!$X$69:$X$124,'1CF'!$A12)</f>
        <v>0</v>
      </c>
      <c r="AH12" s="330">
        <f>-SUMIFS('1BS'!AD$3:AD$68,'1BS'!$X$3:$X$68,'1CF'!$A12)+SUMIFS('1BS'!AD$69:AD$124,'1BS'!$X$69:$X$124,'1CF'!$A12)</f>
        <v>0</v>
      </c>
      <c r="AI12" s="330">
        <f>-SUMIFS('1BS'!AE$3:AE$68,'1BS'!$X$3:$X$68,'1CF'!$A12)+SUMIFS('1BS'!AE$69:AE$124,'1BS'!$X$69:$X$124,'1CF'!$A12)</f>
        <v>0</v>
      </c>
      <c r="AJ12" s="330">
        <f>-SUMIFS('1BS'!AF$3:AF$68,'1BS'!$X$3:$X$68,'1CF'!$A12)+SUMIFS('1BS'!AF$69:AF$124,'1BS'!$X$69:$X$124,'1CF'!$A12)</f>
        <v>0</v>
      </c>
      <c r="AK12" s="330" t="s">
        <v>605</v>
      </c>
      <c r="AM12" s="330" t="s">
        <v>595</v>
      </c>
    </row>
    <row r="13" spans="1:39" s="330" customFormat="1">
      <c r="A13" s="327">
        <v>7</v>
      </c>
      <c r="B13" s="332" t="s">
        <v>606</v>
      </c>
      <c r="C13" s="329"/>
      <c r="D13" s="330">
        <f>SUMIFS(CF!K:K,CF!$A:$A,'1CF'!$A$13)</f>
        <v>0</v>
      </c>
      <c r="E13" s="330">
        <f>SUMIFS(CF!L:L,CF!$A:$A,'1CF'!$A$13)</f>
        <v>0</v>
      </c>
      <c r="F13" s="330">
        <f>SUMIFS(CF!M:M,CF!$A:$A,'1CF'!$A$13)</f>
        <v>0</v>
      </c>
      <c r="G13" s="330">
        <f>SUMIFS(CF!N:N,CF!$A:$A,'1CF'!$A$13)</f>
        <v>0</v>
      </c>
      <c r="H13" s="330">
        <f>SUMIFS(CF!O:O,CF!$A:$A,'1CF'!$A$13)</f>
        <v>0</v>
      </c>
      <c r="I13" s="330">
        <f>SUMIFS(CF!P:P,CF!$A:$A,'1CF'!$A$13)</f>
        <v>0</v>
      </c>
      <c r="J13" s="330">
        <f>SUMIFS(CF!Q:Q,CF!$A:$A,'1CF'!$A$13)</f>
        <v>0</v>
      </c>
      <c r="K13" s="330">
        <f>SUMIFS(CF!R:R,CF!$A:$A,'1CF'!$A$13)</f>
        <v>0</v>
      </c>
      <c r="L13" s="331">
        <f>SUMIFS(CF!S:S,CF!$A:$A,'1CF'!$A$13)</f>
        <v>0</v>
      </c>
      <c r="M13" s="330">
        <f>SUMIFS(CF!T:T,CF!$A:$A,'1CF'!$A$13)</f>
        <v>0</v>
      </c>
      <c r="N13" s="330">
        <f>SUMIFS(CF!U:U,CF!$A:$A,'1CF'!$A$13)</f>
        <v>0</v>
      </c>
      <c r="O13" s="330">
        <f>SUMIFS(CF!V:V,CF!$A:$A,'1CF'!$A$13)</f>
        <v>0</v>
      </c>
      <c r="P13" s="330">
        <f>SUMIFS(CF!W:W,CF!$A:$A,'1CF'!$A$13)</f>
        <v>0</v>
      </c>
      <c r="Q13" s="330">
        <f>SUMIFS(CF!X:X,CF!$A:$A,'1CF'!$A$13)</f>
        <v>0</v>
      </c>
      <c r="R13" s="330">
        <f>SUMIFS(CF!Y:Y,CF!$A:$A,'1CF'!$A$13)</f>
        <v>0</v>
      </c>
      <c r="AC13" s="330">
        <f>-SUMIFS('1BS'!Y$3:Y$68,'1BS'!$X$3:$X$68,'1CF'!$A13)+SUMIFS('1BS'!Y$69:Y$124,'1BS'!$X$69:$X$124,'1CF'!$A13)</f>
        <v>0</v>
      </c>
      <c r="AD13" s="330">
        <f>-SUMIFS('1BS'!Z$3:Z$68,'1BS'!$X$3:$X$68,'1CF'!$A13)+SUMIFS('1BS'!Z$69:Z$124,'1BS'!$X$69:$X$124,'1CF'!$A13)</f>
        <v>0</v>
      </c>
      <c r="AE13" s="330">
        <f>-SUMIFS('1BS'!AA$3:AA$68,'1BS'!$X$3:$X$68,'1CF'!$A13)+SUMIFS('1BS'!AA$69:AA$124,'1BS'!$X$69:$X$124,'1CF'!$A13)</f>
        <v>0</v>
      </c>
      <c r="AF13" s="330">
        <f>-SUMIFS('1BS'!AB$3:AB$68,'1BS'!$X$3:$X$68,'1CF'!$A13)+SUMIFS('1BS'!AB$69:AB$124,'1BS'!$X$69:$X$124,'1CF'!$A13)</f>
        <v>0</v>
      </c>
      <c r="AG13" s="330">
        <f>-SUMIFS('1BS'!AC$3:AC$68,'1BS'!$X$3:$X$68,'1CF'!$A13)+SUMIFS('1BS'!AC$69:AC$124,'1BS'!$X$69:$X$124,'1CF'!$A13)</f>
        <v>0</v>
      </c>
      <c r="AH13" s="330">
        <f>-SUMIFS('1BS'!AD$3:AD$68,'1BS'!$X$3:$X$68,'1CF'!$A13)+SUMIFS('1BS'!AD$69:AD$124,'1BS'!$X$69:$X$124,'1CF'!$A13)</f>
        <v>0</v>
      </c>
      <c r="AI13" s="330">
        <f>-SUMIFS('1BS'!AE$3:AE$68,'1BS'!$X$3:$X$68,'1CF'!$A13)+SUMIFS('1BS'!AE$69:AE$124,'1BS'!$X$69:$X$124,'1CF'!$A13)</f>
        <v>0</v>
      </c>
      <c r="AJ13" s="330">
        <f>-SUMIFS('1BS'!AF$3:AF$68,'1BS'!$X$3:$X$68,'1CF'!$A13)+SUMIFS('1BS'!AF$69:AF$124,'1BS'!$X$69:$X$124,'1CF'!$A13)</f>
        <v>0</v>
      </c>
      <c r="AM13" s="330" t="s">
        <v>595</v>
      </c>
    </row>
    <row r="14" spans="1:39" s="330" customFormat="1">
      <c r="A14" s="327"/>
      <c r="B14" s="332"/>
      <c r="C14" s="329"/>
      <c r="L14" s="331"/>
      <c r="AM14" s="330" t="s">
        <v>595</v>
      </c>
    </row>
    <row r="15" spans="1:39" s="330" customFormat="1">
      <c r="A15" s="327">
        <v>8</v>
      </c>
      <c r="B15" s="328" t="s">
        <v>607</v>
      </c>
      <c r="C15" s="329"/>
      <c r="D15" s="330">
        <f>SUMIFS(CF!K:K,CF!$A:$A,'1CF'!$A$15)</f>
        <v>5905949</v>
      </c>
      <c r="E15" s="330">
        <f>SUMIFS(CF!L:L,CF!$A:$A,'1CF'!$A$15)</f>
        <v>5347492</v>
      </c>
      <c r="F15" s="330">
        <f>SUMIFS(CF!M:M,CF!$A:$A,'1CF'!$A$15)</f>
        <v>6489622</v>
      </c>
      <c r="G15" s="330">
        <f>SUMIFS(CF!N:N,CF!$A:$A,'1CF'!$A$15)</f>
        <v>5537718</v>
      </c>
      <c r="H15" s="330">
        <f>SUMIFS(CF!O:O,CF!$A:$A,'1CF'!$A$15)</f>
        <v>4056683</v>
      </c>
      <c r="I15" s="330">
        <f>SUMIFS(CF!P:P,CF!$A:$A,'1CF'!$A$15)</f>
        <v>6059081</v>
      </c>
      <c r="J15" s="330">
        <f>SUMIFS(CF!Q:Q,CF!$A:$A,'1CF'!$A$15)</f>
        <v>4376504</v>
      </c>
      <c r="K15" s="330">
        <f>SUMIFS(CF!R:R,CF!$A:$A,'1CF'!$A$15)</f>
        <v>4980056</v>
      </c>
      <c r="L15" s="331">
        <f>SUMIFS(CF!S:S,CF!$A:$A,'1CF'!$A$15)</f>
        <v>5185201</v>
      </c>
      <c r="M15" s="333">
        <f>SUM(M8:M13,M6)</f>
        <v>5254731.5879940586</v>
      </c>
      <c r="N15" s="333">
        <f>SUM(N8:N13,N6)</f>
        <v>5646842.5423601996</v>
      </c>
      <c r="O15" s="333">
        <f t="shared" ref="O15:R15" si="5">SUM(O8:O13,O6)</f>
        <v>6317146.4368203897</v>
      </c>
      <c r="P15" s="333">
        <f t="shared" si="5"/>
        <v>6360421.6306106374</v>
      </c>
      <c r="Q15" s="333">
        <f t="shared" si="5"/>
        <v>6505154.7820987366</v>
      </c>
      <c r="R15" s="333">
        <f t="shared" si="5"/>
        <v>6201538.5378546193</v>
      </c>
      <c r="AC15" s="333">
        <f>SUM(AC8:AC13,AC6)</f>
        <v>6138713</v>
      </c>
      <c r="AD15" s="333">
        <f t="shared" ref="AD15:AJ15" si="6">SUM(AD8:AD13,AD6)</f>
        <v>9463861</v>
      </c>
      <c r="AE15" s="333">
        <f t="shared" si="6"/>
        <v>6182086.4639204927</v>
      </c>
      <c r="AF15" s="333">
        <f t="shared" si="6"/>
        <v>6525231.9505257672</v>
      </c>
      <c r="AG15" s="333">
        <f t="shared" si="6"/>
        <v>7185874.5891706459</v>
      </c>
      <c r="AH15" s="333">
        <f t="shared" si="6"/>
        <v>7225598.0522100702</v>
      </c>
      <c r="AI15" s="333">
        <f t="shared" si="6"/>
        <v>7364767.50248075</v>
      </c>
      <c r="AJ15" s="333">
        <f t="shared" si="6"/>
        <v>7081980.4796207007</v>
      </c>
      <c r="AM15" s="330" t="s">
        <v>595</v>
      </c>
    </row>
    <row r="16" spans="1:39" s="330" customFormat="1">
      <c r="A16" s="327">
        <v>9</v>
      </c>
      <c r="B16" s="332" t="s">
        <v>608</v>
      </c>
      <c r="C16" s="329"/>
      <c r="D16" s="330">
        <f>SUMIFS(CF!K:K,CF!$A:$A,'1CF'!$A$16)</f>
        <v>187691</v>
      </c>
      <c r="E16" s="330">
        <f>SUMIFS(CF!L:L,CF!$A:$A,'1CF'!$A$16)</f>
        <v>119831</v>
      </c>
      <c r="F16" s="330">
        <f>SUMIFS(CF!M:M,CF!$A:$A,'1CF'!$A$16)</f>
        <v>95622</v>
      </c>
      <c r="G16" s="330">
        <f>SUMIFS(CF!N:N,CF!$A:$A,'1CF'!$A$16)</f>
        <v>70186</v>
      </c>
      <c r="H16" s="330">
        <f>SUMIFS(CF!O:O,CF!$A:$A,'1CF'!$A$16)</f>
        <v>-52722</v>
      </c>
      <c r="I16" s="330">
        <f>SUMIFS(CF!P:P,CF!$A:$A,'1CF'!$A$16)</f>
        <v>-318889</v>
      </c>
      <c r="J16" s="330">
        <f>SUMIFS(CF!Q:Q,CF!$A:$A,'1CF'!$A$16)</f>
        <v>-39584</v>
      </c>
      <c r="K16" s="330">
        <f>SUMIFS(CF!R:R,CF!$A:$A,'1CF'!$A$16)</f>
        <v>13722</v>
      </c>
      <c r="L16" s="331">
        <f>SUMIFS(CF!S:S,CF!$A:$A,'1CF'!$A$16)</f>
        <v>-92591</v>
      </c>
      <c r="M16" s="330">
        <f>V16+AE16</f>
        <v>100691.15806250674</v>
      </c>
      <c r="N16" s="330">
        <f t="shared" ref="N16:R21" si="7">W16+AF16</f>
        <v>117698.30457360683</v>
      </c>
      <c r="O16" s="330">
        <f t="shared" si="7"/>
        <v>-143015.50680627374</v>
      </c>
      <c r="P16" s="330">
        <f t="shared" si="7"/>
        <v>-26304.981752398391</v>
      </c>
      <c r="Q16" s="330">
        <f t="shared" si="7"/>
        <v>-41929.736069692124</v>
      </c>
      <c r="R16" s="330">
        <f t="shared" si="7"/>
        <v>-51425.982778549478</v>
      </c>
      <c r="AC16" s="330">
        <f>-SUMIFS('1BS'!Y$3:Y$68,'1BS'!$X$3:$X$68,'1CF'!$A16)+SUMIFS('1BS'!Y$69:Y$124,'1BS'!$X$69:$X$124,'1CF'!$A16)</f>
        <v>-629075</v>
      </c>
      <c r="AD16" s="330">
        <f>-SUMIFS('1BS'!Z$3:Z$68,'1BS'!$X$3:$X$68,'1CF'!$A16)+SUMIFS('1BS'!Z$69:Z$124,'1BS'!$X$69:$X$124,'1CF'!$A16)</f>
        <v>662768</v>
      </c>
      <c r="AE16" s="330">
        <f>-SUMIFS('1BS'!AA$3:AA$68,'1BS'!$X$3:$X$68,'1CF'!$A16)+SUMIFS('1BS'!AA$69:AA$124,'1BS'!$X$69:$X$124,'1CF'!$A16)</f>
        <v>100691.15806250674</v>
      </c>
      <c r="AF16" s="330">
        <f>-SUMIFS('1BS'!AB$3:AB$68,'1BS'!$X$3:$X$68,'1CF'!$A16)+SUMIFS('1BS'!AB$69:AB$124,'1BS'!$X$69:$X$124,'1CF'!$A16)</f>
        <v>117698.30457360683</v>
      </c>
      <c r="AG16" s="330">
        <f>-SUMIFS('1BS'!AC$3:AC$68,'1BS'!$X$3:$X$68,'1CF'!$A16)+SUMIFS('1BS'!AC$69:AC$124,'1BS'!$X$69:$X$124,'1CF'!$A16)</f>
        <v>-143015.50680627374</v>
      </c>
      <c r="AH16" s="330">
        <f>-SUMIFS('1BS'!AD$3:AD$68,'1BS'!$X$3:$X$68,'1CF'!$A16)+SUMIFS('1BS'!AD$69:AD$124,'1BS'!$X$69:$X$124,'1CF'!$A16)</f>
        <v>-26304.981752398391</v>
      </c>
      <c r="AI16" s="330">
        <f>-SUMIFS('1BS'!AE$3:AE$68,'1BS'!$X$3:$X$68,'1CF'!$A16)+SUMIFS('1BS'!AE$69:AE$124,'1BS'!$X$69:$X$124,'1CF'!$A16)</f>
        <v>-41929.736069692124</v>
      </c>
      <c r="AJ16" s="330">
        <f>-SUMIFS('1BS'!AF$3:AF$68,'1BS'!$X$3:$X$68,'1CF'!$A16)+SUMIFS('1BS'!AF$69:AF$124,'1BS'!$X$69:$X$124,'1CF'!$A16)</f>
        <v>-51425.982778549478</v>
      </c>
      <c r="AM16" s="330" t="s">
        <v>595</v>
      </c>
    </row>
    <row r="17" spans="1:39" s="330" customFormat="1">
      <c r="A17" s="327">
        <v>10</v>
      </c>
      <c r="B17" s="332" t="s">
        <v>609</v>
      </c>
      <c r="C17" s="329"/>
      <c r="D17" s="330">
        <f>SUMIFS(CF!K:K,CF!$A:$A,'1CF'!$A$17)</f>
        <v>50520</v>
      </c>
      <c r="E17" s="330">
        <f>SUMIFS(CF!L:L,CF!$A:$A,'1CF'!$A$17)</f>
        <v>36215</v>
      </c>
      <c r="F17" s="330">
        <f>SUMIFS(CF!M:M,CF!$A:$A,'1CF'!$A$17)</f>
        <v>-109295</v>
      </c>
      <c r="G17" s="330">
        <f>SUMIFS(CF!N:N,CF!$A:$A,'1CF'!$A$17)</f>
        <v>573633</v>
      </c>
      <c r="H17" s="330">
        <f>SUMIFS(CF!O:O,CF!$A:$A,'1CF'!$A$17)</f>
        <v>-223957</v>
      </c>
      <c r="I17" s="330">
        <f>SUMIFS(CF!P:P,CF!$A:$A,'1CF'!$A$17)</f>
        <v>-524913</v>
      </c>
      <c r="J17" s="330">
        <f>SUMIFS(CF!Q:Q,CF!$A:$A,'1CF'!$A$17)</f>
        <v>-135490</v>
      </c>
      <c r="K17" s="330">
        <f>SUMIFS(CF!R:R,CF!$A:$A,'1CF'!$A$17)</f>
        <v>345460</v>
      </c>
      <c r="L17" s="331">
        <f>SUMIFS(CF!S:S,CF!$A:$A,'1CF'!$A$17)</f>
        <v>214517</v>
      </c>
      <c r="M17" s="330">
        <f>V17+AE17</f>
        <v>91455.26140304422</v>
      </c>
      <c r="N17" s="330">
        <f t="shared" si="7"/>
        <v>-15908.464909378672</v>
      </c>
      <c r="O17" s="330">
        <f t="shared" si="7"/>
        <v>-183268.69206149527</v>
      </c>
      <c r="P17" s="330">
        <f t="shared" si="7"/>
        <v>-5798.6514095901512</v>
      </c>
      <c r="Q17" s="330">
        <f t="shared" si="7"/>
        <v>-90574.953951348551</v>
      </c>
      <c r="R17" s="330">
        <f t="shared" si="7"/>
        <v>-73507.039062212221</v>
      </c>
      <c r="AC17" s="330">
        <f>-SUMIFS('1BS'!Y$3:Y$68,'1BS'!$X$3:$X$68,'1CF'!$A17)+SUMIFS('1BS'!Y$69:Y$124,'1BS'!$X$69:$X$124,'1CF'!$A17)</f>
        <v>350232</v>
      </c>
      <c r="AD17" s="330">
        <f>-SUMIFS('1BS'!Z$3:Z$68,'1BS'!$X$3:$X$68,'1CF'!$A17)+SUMIFS('1BS'!Z$69:Z$124,'1BS'!$X$69:$X$124,'1CF'!$A17)</f>
        <v>-66997</v>
      </c>
      <c r="AE17" s="330">
        <f>-SUMIFS('1BS'!AA$3:AA$68,'1BS'!$X$3:$X$68,'1CF'!$A17)+SUMIFS('1BS'!AA$69:AA$124,'1BS'!$X$69:$X$124,'1CF'!$A17)</f>
        <v>91455.26140304422</v>
      </c>
      <c r="AF17" s="330">
        <f>-SUMIFS('1BS'!AB$3:AB$68,'1BS'!$X$3:$X$68,'1CF'!$A17)+SUMIFS('1BS'!AB$69:AB$124,'1BS'!$X$69:$X$124,'1CF'!$A17)</f>
        <v>-15908.464909378672</v>
      </c>
      <c r="AG17" s="330">
        <f>-SUMIFS('1BS'!AC$3:AC$68,'1BS'!$X$3:$X$68,'1CF'!$A17)+SUMIFS('1BS'!AC$69:AC$124,'1BS'!$X$69:$X$124,'1CF'!$A17)</f>
        <v>-183268.69206149527</v>
      </c>
      <c r="AH17" s="330">
        <f>-SUMIFS('1BS'!AD$3:AD$68,'1BS'!$X$3:$X$68,'1CF'!$A17)+SUMIFS('1BS'!AD$69:AD$124,'1BS'!$X$69:$X$124,'1CF'!$A17)</f>
        <v>-5798.6514095901512</v>
      </c>
      <c r="AI17" s="330">
        <f>-SUMIFS('1BS'!AE$3:AE$68,'1BS'!$X$3:$X$68,'1CF'!$A17)+SUMIFS('1BS'!AE$69:AE$124,'1BS'!$X$69:$X$124,'1CF'!$A17)</f>
        <v>-90574.953951348551</v>
      </c>
      <c r="AJ17" s="330">
        <f>-SUMIFS('1BS'!AF$3:AF$68,'1BS'!$X$3:$X$68,'1CF'!$A17)+SUMIFS('1BS'!AF$69:AF$124,'1BS'!$X$69:$X$124,'1CF'!$A17)</f>
        <v>-73507.039062212221</v>
      </c>
      <c r="AM17" s="330" t="s">
        <v>595</v>
      </c>
    </row>
    <row r="18" spans="1:39" s="330" customFormat="1">
      <c r="A18" s="327">
        <v>11</v>
      </c>
      <c r="B18" s="332" t="s">
        <v>610</v>
      </c>
      <c r="C18" s="329"/>
      <c r="D18" s="330">
        <f>SUMIFS(CF!K:K,CF!$A:$A,'1CF'!$A$18)</f>
        <v>-329360</v>
      </c>
      <c r="E18" s="330">
        <f>SUMIFS(CF!L:L,CF!$A:$A,'1CF'!$A$18)</f>
        <v>324264</v>
      </c>
      <c r="F18" s="330">
        <f>SUMIFS(CF!M:M,CF!$A:$A,'1CF'!$A$18)</f>
        <v>11238</v>
      </c>
      <c r="G18" s="330">
        <f>SUMIFS(CF!N:N,CF!$A:$A,'1CF'!$A$18)</f>
        <v>-660694</v>
      </c>
      <c r="H18" s="330">
        <f>SUMIFS(CF!O:O,CF!$A:$A,'1CF'!$A$18)</f>
        <v>658280</v>
      </c>
      <c r="I18" s="330">
        <f>SUMIFS(CF!P:P,CF!$A:$A,'1CF'!$A$18)</f>
        <v>739397</v>
      </c>
      <c r="J18" s="330">
        <f>SUMIFS(CF!Q:Q,CF!$A:$A,'1CF'!$A$18)</f>
        <v>-787120</v>
      </c>
      <c r="K18" s="330">
        <f>SUMIFS(CF!R:R,CF!$A:$A,'1CF'!$A$18)</f>
        <v>208911</v>
      </c>
      <c r="L18" s="331">
        <f>SUMIFS(CF!S:S,CF!$A:$A,'1CF'!$A$18)</f>
        <v>-133234</v>
      </c>
      <c r="M18" s="330">
        <f t="shared" ref="M18:M21" si="8">V18+AE18</f>
        <v>-846345.89045421174</v>
      </c>
      <c r="N18" s="330">
        <f t="shared" si="7"/>
        <v>-187777.59181111286</v>
      </c>
      <c r="O18" s="330">
        <f t="shared" si="7"/>
        <v>516493.80287443288</v>
      </c>
      <c r="P18" s="330">
        <f t="shared" si="7"/>
        <v>56054.436574601474</v>
      </c>
      <c r="Q18" s="330">
        <f t="shared" si="7"/>
        <v>347527.65427851456</v>
      </c>
      <c r="R18" s="330">
        <f t="shared" si="7"/>
        <v>232546.02352737609</v>
      </c>
      <c r="AC18" s="330">
        <f>-SUMIFS('1BS'!Y$3:Y$68,'1BS'!$X$3:$X$68,'1CF'!$A18)+SUMIFS('1BS'!Y$69:Y$124,'1BS'!$X$69:$X$124,'1CF'!$A18)</f>
        <v>712095</v>
      </c>
      <c r="AD18" s="330">
        <f>-SUMIFS('1BS'!Z$3:Z$68,'1BS'!$X$3:$X$68,'1CF'!$A18)+SUMIFS('1BS'!Z$69:Z$124,'1BS'!$X$69:$X$124,'1CF'!$A18)</f>
        <v>169026</v>
      </c>
      <c r="AE18" s="330">
        <f>-SUMIFS('1BS'!AA$3:AA$68,'1BS'!$X$3:$X$68,'1CF'!$A18)+SUMIFS('1BS'!AA$69:AA$124,'1BS'!$X$69:$X$124,'1CF'!$A18)</f>
        <v>-846345.89045421174</v>
      </c>
      <c r="AF18" s="330">
        <f>-SUMIFS('1BS'!AB$3:AB$68,'1BS'!$X$3:$X$68,'1CF'!$A18)+SUMIFS('1BS'!AB$69:AB$124,'1BS'!$X$69:$X$124,'1CF'!$A18)</f>
        <v>-187777.59181111286</v>
      </c>
      <c r="AG18" s="330">
        <f>-SUMIFS('1BS'!AC$3:AC$68,'1BS'!$X$3:$X$68,'1CF'!$A18)+SUMIFS('1BS'!AC$69:AC$124,'1BS'!$X$69:$X$124,'1CF'!$A18)</f>
        <v>516493.80287443288</v>
      </c>
      <c r="AH18" s="330">
        <f>-SUMIFS('1BS'!AD$3:AD$68,'1BS'!$X$3:$X$68,'1CF'!$A18)+SUMIFS('1BS'!AD$69:AD$124,'1BS'!$X$69:$X$124,'1CF'!$A18)</f>
        <v>56054.436574601474</v>
      </c>
      <c r="AI18" s="330">
        <f>-SUMIFS('1BS'!AE$3:AE$68,'1BS'!$X$3:$X$68,'1CF'!$A18)+SUMIFS('1BS'!AE$69:AE$124,'1BS'!$X$69:$X$124,'1CF'!$A18)</f>
        <v>347527.65427851456</v>
      </c>
      <c r="AJ18" s="330">
        <f>-SUMIFS('1BS'!AF$3:AF$68,'1BS'!$X$3:$X$68,'1CF'!$A18)+SUMIFS('1BS'!AF$69:AF$124,'1BS'!$X$69:$X$124,'1CF'!$A18)</f>
        <v>232546.02352737609</v>
      </c>
      <c r="AM18" s="330" t="s">
        <v>595</v>
      </c>
    </row>
    <row r="19" spans="1:39" s="330" customFormat="1">
      <c r="A19" s="327">
        <v>12</v>
      </c>
      <c r="B19" s="332" t="s">
        <v>611</v>
      </c>
      <c r="C19" s="329"/>
      <c r="D19" s="330">
        <f>SUMIFS(CF!K:K,CF!$A:$A,'1CF'!$A$19)</f>
        <v>-17854</v>
      </c>
      <c r="E19" s="330">
        <f>SUMIFS(CF!L:L,CF!$A:$A,'1CF'!$A$19)</f>
        <v>203653</v>
      </c>
      <c r="F19" s="330">
        <f>SUMIFS(CF!M:M,CF!$A:$A,'1CF'!$A$19)</f>
        <v>218117</v>
      </c>
      <c r="G19" s="330">
        <f>SUMIFS(CF!N:N,CF!$A:$A,'1CF'!$A$19)</f>
        <v>-44422</v>
      </c>
      <c r="H19" s="330">
        <f>SUMIFS(CF!O:O,CF!$A:$A,'1CF'!$A$19)</f>
        <v>145399</v>
      </c>
      <c r="I19" s="330">
        <f>SUMIFS(CF!P:P,CF!$A:$A,'1CF'!$A$19)</f>
        <v>-94057</v>
      </c>
      <c r="J19" s="330">
        <f>SUMIFS(CF!Q:Q,CF!$A:$A,'1CF'!$A$19)</f>
        <v>-146695</v>
      </c>
      <c r="K19" s="330">
        <f>SUMIFS(CF!R:R,CF!$A:$A,'1CF'!$A$19)</f>
        <v>123176</v>
      </c>
      <c r="L19" s="331">
        <f>SUMIFS(CF!S:S,CF!$A:$A,'1CF'!$A$19)</f>
        <v>-26981</v>
      </c>
      <c r="M19" s="330">
        <f>V19+AE19</f>
        <v>-875.45062870756374</v>
      </c>
      <c r="N19" s="330">
        <f t="shared" si="7"/>
        <v>533.11639924283372</v>
      </c>
      <c r="O19" s="330">
        <f t="shared" si="7"/>
        <v>-11140.384241310472</v>
      </c>
      <c r="P19" s="330">
        <f t="shared" si="7"/>
        <v>-1975.2509349640168</v>
      </c>
      <c r="Q19" s="330">
        <f t="shared" si="7"/>
        <v>-5654.4196954753716</v>
      </c>
      <c r="R19" s="330">
        <f t="shared" si="7"/>
        <v>-4882.4192497975309</v>
      </c>
      <c r="AC19" s="330">
        <f>-SUMIFS('1BS'!Y$3:Y$68,'1BS'!$X$3:$X$68,'1CF'!$A19)+SUMIFS('1BS'!Y$69:Y$124,'1BS'!$X$69:$X$124,'1CF'!$A19)</f>
        <v>26572</v>
      </c>
      <c r="AD19" s="330">
        <f>-SUMIFS('1BS'!Z$3:Z$68,'1BS'!$X$3:$X$68,'1CF'!$A19)+SUMIFS('1BS'!Z$69:Z$124,'1BS'!$X$69:$X$124,'1CF'!$A19)</f>
        <v>5839</v>
      </c>
      <c r="AE19" s="330">
        <f>-SUMIFS('1BS'!AA$3:AA$68,'1BS'!$X$3:$X$68,'1CF'!$A19)+SUMIFS('1BS'!AA$69:AA$124,'1BS'!$X$69:$X$124,'1CF'!$A19)</f>
        <v>-875.45062870756374</v>
      </c>
      <c r="AF19" s="330">
        <f>-SUMIFS('1BS'!AB$3:AB$68,'1BS'!$X$3:$X$68,'1CF'!$A19)+SUMIFS('1BS'!AB$69:AB$124,'1BS'!$X$69:$X$124,'1CF'!$A19)</f>
        <v>533.11639924283372</v>
      </c>
      <c r="AG19" s="330">
        <f>-SUMIFS('1BS'!AC$3:AC$68,'1BS'!$X$3:$X$68,'1CF'!$A19)+SUMIFS('1BS'!AC$69:AC$124,'1BS'!$X$69:$X$124,'1CF'!$A19)</f>
        <v>-11140.384241310472</v>
      </c>
      <c r="AH19" s="330">
        <f>-SUMIFS('1BS'!AD$3:AD$68,'1BS'!$X$3:$X$68,'1CF'!$A19)+SUMIFS('1BS'!AD$69:AD$124,'1BS'!$X$69:$X$124,'1CF'!$A19)</f>
        <v>-1975.2509349640168</v>
      </c>
      <c r="AI19" s="330">
        <f>-SUMIFS('1BS'!AE$3:AE$68,'1BS'!$X$3:$X$68,'1CF'!$A19)+SUMIFS('1BS'!AE$69:AE$124,'1BS'!$X$69:$X$124,'1CF'!$A19)</f>
        <v>-5654.4196954753716</v>
      </c>
      <c r="AJ19" s="330">
        <f>-SUMIFS('1BS'!AF$3:AF$68,'1BS'!$X$3:$X$68,'1CF'!$A19)+SUMIFS('1BS'!AF$69:AF$124,'1BS'!$X$69:$X$124,'1CF'!$A19)</f>
        <v>-4882.4192497975309</v>
      </c>
      <c r="AM19" s="330" t="s">
        <v>595</v>
      </c>
    </row>
    <row r="20" spans="1:39" s="330" customFormat="1">
      <c r="A20" s="327">
        <v>13</v>
      </c>
      <c r="B20" s="332" t="s">
        <v>612</v>
      </c>
      <c r="C20" s="329"/>
      <c r="D20" s="330">
        <f>SUMIFS(CF!K:K,CF!$A:$A,'1CF'!$A$20)</f>
        <v>0</v>
      </c>
      <c r="E20" s="330">
        <f>SUMIFS(CF!L:L,CF!$A:$A,'1CF'!$A$20)</f>
        <v>0</v>
      </c>
      <c r="F20" s="330">
        <f>SUMIFS(CF!M:M,CF!$A:$A,'1CF'!$A$20)</f>
        <v>0</v>
      </c>
      <c r="G20" s="330">
        <f>SUMIFS(CF!N:N,CF!$A:$A,'1CF'!$A$20)</f>
        <v>0</v>
      </c>
      <c r="H20" s="330">
        <f>SUMIFS(CF!O:O,CF!$A:$A,'1CF'!$A$20)</f>
        <v>0</v>
      </c>
      <c r="I20" s="330">
        <f>SUMIFS(CF!P:P,CF!$A:$A,'1CF'!$A$20)</f>
        <v>0</v>
      </c>
      <c r="J20" s="330">
        <f>SUMIFS(CF!Q:Q,CF!$A:$A,'1CF'!$A$20)</f>
        <v>0</v>
      </c>
      <c r="K20" s="330">
        <f>SUMIFS(CF!R:R,CF!$A:$A,'1CF'!$A$20)</f>
        <v>0</v>
      </c>
      <c r="L20" s="331">
        <f>SUMIFS(CF!S:S,CF!$A:$A,'1CF'!$A$20)</f>
        <v>0</v>
      </c>
      <c r="M20" s="330">
        <f>V20+AE20</f>
        <v>0</v>
      </c>
      <c r="N20" s="330">
        <f t="shared" si="7"/>
        <v>0</v>
      </c>
      <c r="O20" s="330">
        <f t="shared" si="7"/>
        <v>0</v>
      </c>
      <c r="P20" s="330">
        <f t="shared" si="7"/>
        <v>0</v>
      </c>
      <c r="Q20" s="330">
        <f t="shared" si="7"/>
        <v>0</v>
      </c>
      <c r="R20" s="330">
        <f t="shared" si="7"/>
        <v>0</v>
      </c>
      <c r="AC20" s="330">
        <f>-SUMIFS('1BS'!Y$3:Y$68,'1BS'!$X$3:$X$68,'1CF'!$A20)+SUMIFS('1BS'!Y$69:Y$124,'1BS'!$X$69:$X$124,'1CF'!$A20)</f>
        <v>0</v>
      </c>
      <c r="AD20" s="330">
        <f>-SUMIFS('1BS'!Z$3:Z$68,'1BS'!$X$3:$X$68,'1CF'!$A20)+SUMIFS('1BS'!Z$69:Z$124,'1BS'!$X$69:$X$124,'1CF'!$A20)</f>
        <v>0</v>
      </c>
      <c r="AE20" s="330">
        <f>-SUMIFS('1BS'!AA$3:AA$68,'1BS'!$X$3:$X$68,'1CF'!$A20)+SUMIFS('1BS'!AA$69:AA$124,'1BS'!$X$69:$X$124,'1CF'!$A20)</f>
        <v>0</v>
      </c>
      <c r="AF20" s="330">
        <f>-SUMIFS('1BS'!AB$3:AB$68,'1BS'!$X$3:$X$68,'1CF'!$A20)+SUMIFS('1BS'!AB$69:AB$124,'1BS'!$X$69:$X$124,'1CF'!$A20)</f>
        <v>0</v>
      </c>
      <c r="AG20" s="330">
        <f>-SUMIFS('1BS'!AC$3:AC$68,'1BS'!$X$3:$X$68,'1CF'!$A20)+SUMIFS('1BS'!AC$69:AC$124,'1BS'!$X$69:$X$124,'1CF'!$A20)</f>
        <v>0</v>
      </c>
      <c r="AH20" s="330">
        <f>-SUMIFS('1BS'!AD$3:AD$68,'1BS'!$X$3:$X$68,'1CF'!$A20)+SUMIFS('1BS'!AD$69:AD$124,'1BS'!$X$69:$X$124,'1CF'!$A20)</f>
        <v>0</v>
      </c>
      <c r="AI20" s="330">
        <f>-SUMIFS('1BS'!AE$3:AE$68,'1BS'!$X$3:$X$68,'1CF'!$A20)+SUMIFS('1BS'!AE$69:AE$124,'1BS'!$X$69:$X$124,'1CF'!$A20)</f>
        <v>0</v>
      </c>
      <c r="AJ20" s="330">
        <f>-SUMIFS('1BS'!AF$3:AF$68,'1BS'!$X$3:$X$68,'1CF'!$A20)+SUMIFS('1BS'!AF$69:AF$124,'1BS'!$X$69:$X$124,'1CF'!$A20)</f>
        <v>0</v>
      </c>
      <c r="AM20" s="330" t="s">
        <v>613</v>
      </c>
    </row>
    <row r="21" spans="1:39" s="330" customFormat="1">
      <c r="A21" s="327">
        <v>14</v>
      </c>
      <c r="B21" s="332" t="s">
        <v>614</v>
      </c>
      <c r="C21" s="329"/>
      <c r="D21" s="330">
        <f>SUMIFS(CF!K:K,CF!$A:$A,'1CF'!$A$21)</f>
        <v>-44424</v>
      </c>
      <c r="E21" s="330">
        <f>SUMIFS(CF!L:L,CF!$A:$A,'1CF'!$A$21)</f>
        <v>-35957</v>
      </c>
      <c r="F21" s="330">
        <f>SUMIFS(CF!M:M,CF!$A:$A,'1CF'!$A$21)</f>
        <v>-36836</v>
      </c>
      <c r="G21" s="330">
        <f>SUMIFS(CF!N:N,CF!$A:$A,'1CF'!$A$21)</f>
        <v>-72030</v>
      </c>
      <c r="H21" s="330">
        <f>SUMIFS(CF!O:O,CF!$A:$A,'1CF'!$A$21)</f>
        <v>-35347</v>
      </c>
      <c r="I21" s="330">
        <f>SUMIFS(CF!P:P,CF!$A:$A,'1CF'!$A$21)</f>
        <v>-48765</v>
      </c>
      <c r="J21" s="330">
        <f>SUMIFS(CF!Q:Q,CF!$A:$A,'1CF'!$A$21)</f>
        <v>-50352</v>
      </c>
      <c r="K21" s="330">
        <f>SUMIFS(CF!R:R,CF!$A:$A,'1CF'!$A$21)</f>
        <v>-27623</v>
      </c>
      <c r="L21" s="331">
        <f>SUMIFS(CF!S:S,CF!$A:$A,'1CF'!$A$21)</f>
        <v>-35216</v>
      </c>
      <c r="M21" s="330">
        <f t="shared" si="8"/>
        <v>-33228.323698143628</v>
      </c>
      <c r="N21" s="330">
        <f t="shared" si="7"/>
        <v>-34924.037429432021</v>
      </c>
      <c r="O21" s="330">
        <f t="shared" si="7"/>
        <v>-37866.270555151896</v>
      </c>
      <c r="P21" s="330">
        <f t="shared" si="7"/>
        <v>-39228.537711343641</v>
      </c>
      <c r="Q21" s="330">
        <f t="shared" si="7"/>
        <v>-41647.580308700984</v>
      </c>
      <c r="R21" s="330">
        <f t="shared" si="7"/>
        <v>-44356.649507395865</v>
      </c>
      <c r="T21" s="330">
        <f>-T12</f>
        <v>-27449</v>
      </c>
      <c r="U21" s="330">
        <f t="shared" ref="U21:AA21" si="9">-U12</f>
        <v>-34346</v>
      </c>
      <c r="V21" s="330">
        <f t="shared" si="9"/>
        <v>-33228.323698143628</v>
      </c>
      <c r="W21" s="330">
        <f t="shared" si="9"/>
        <v>-34924.037429432021</v>
      </c>
      <c r="X21" s="330">
        <f t="shared" si="9"/>
        <v>-37866.270555151896</v>
      </c>
      <c r="Y21" s="330">
        <f t="shared" si="9"/>
        <v>-39228.537711343641</v>
      </c>
      <c r="Z21" s="330">
        <f t="shared" si="9"/>
        <v>-41647.580308700984</v>
      </c>
      <c r="AA21" s="330">
        <f t="shared" si="9"/>
        <v>-44356.649507395865</v>
      </c>
      <c r="AC21" s="330">
        <f>-SUMIFS('1BS'!Y$3:Y$68,'1BS'!$X$3:$X$68,'1CF'!$A21)+SUMIFS('1BS'!Y$69:Y$124,'1BS'!$X$69:$X$124,'1CF'!$A21)</f>
        <v>0</v>
      </c>
      <c r="AD21" s="330">
        <f>-SUMIFS('1BS'!Z$3:Z$68,'1BS'!$X$3:$X$68,'1CF'!$A21)+SUMIFS('1BS'!Z$69:Z$124,'1BS'!$X$69:$X$124,'1CF'!$A21)</f>
        <v>0</v>
      </c>
      <c r="AE21" s="330">
        <f>-SUMIFS('1BS'!AA$3:AA$68,'1BS'!$X$3:$X$68,'1CF'!$A21)+SUMIFS('1BS'!AA$69:AA$124,'1BS'!$X$69:$X$124,'1CF'!$A21)</f>
        <v>0</v>
      </c>
      <c r="AF21" s="330">
        <f>-SUMIFS('1BS'!AB$3:AB$68,'1BS'!$X$3:$X$68,'1CF'!$A21)+SUMIFS('1BS'!AB$69:AB$124,'1BS'!$X$69:$X$124,'1CF'!$A21)</f>
        <v>0</v>
      </c>
      <c r="AG21" s="330">
        <f>-SUMIFS('1BS'!AC$3:AC$68,'1BS'!$X$3:$X$68,'1CF'!$A21)+SUMIFS('1BS'!AC$69:AC$124,'1BS'!$X$69:$X$124,'1CF'!$A21)</f>
        <v>0</v>
      </c>
      <c r="AH21" s="330">
        <f>-SUMIFS('1BS'!AD$3:AD$68,'1BS'!$X$3:$X$68,'1CF'!$A21)+SUMIFS('1BS'!AD$69:AD$124,'1BS'!$X$69:$X$124,'1CF'!$A21)</f>
        <v>0</v>
      </c>
      <c r="AI21" s="330">
        <f>-SUMIFS('1BS'!AE$3:AE$68,'1BS'!$X$3:$X$68,'1CF'!$A21)+SUMIFS('1BS'!AE$69:AE$124,'1BS'!$X$69:$X$124,'1CF'!$A21)</f>
        <v>0</v>
      </c>
      <c r="AJ21" s="330">
        <f>-SUMIFS('1BS'!AF$3:AF$68,'1BS'!$X$3:$X$68,'1CF'!$A21)+SUMIFS('1BS'!AF$69:AF$124,'1BS'!$X$69:$X$124,'1CF'!$A21)</f>
        <v>0</v>
      </c>
      <c r="AM21" s="330" t="s">
        <v>595</v>
      </c>
    </row>
    <row r="22" spans="1:39" s="330" customFormat="1">
      <c r="A22" s="327">
        <v>15</v>
      </c>
      <c r="B22" s="332" t="s">
        <v>615</v>
      </c>
      <c r="C22" s="329"/>
      <c r="D22" s="330">
        <f>SUMIFS(CF!K:K,CF!$A:$A,'1CF'!$A$22)</f>
        <v>-294736</v>
      </c>
      <c r="E22" s="330">
        <f>SUMIFS(CF!L:L,CF!$A:$A,'1CF'!$A$22)</f>
        <v>-1140987</v>
      </c>
      <c r="F22" s="330">
        <f>SUMIFS(CF!M:M,CF!$A:$A,'1CF'!$A$22)</f>
        <v>-1398560</v>
      </c>
      <c r="G22" s="330">
        <f>SUMIFS(CF!N:N,CF!$A:$A,'1CF'!$A$22)</f>
        <v>-1038634</v>
      </c>
      <c r="H22" s="330">
        <f>SUMIFS(CF!O:O,CF!$A:$A,'1CF'!$A$22)</f>
        <v>-919005</v>
      </c>
      <c r="I22" s="330">
        <f>SUMIFS(CF!P:P,CF!$A:$A,'1CF'!$A$22)</f>
        <v>-1329727</v>
      </c>
      <c r="J22" s="330">
        <f>SUMIFS(CF!Q:Q,CF!$A:$A,'1CF'!$A$22)</f>
        <v>-1099769</v>
      </c>
      <c r="K22" s="330">
        <f>SUMIFS(CF!R:R,CF!$A:$A,'1CF'!$A$22)</f>
        <v>-1156742</v>
      </c>
      <c r="L22" s="331">
        <f>SUMIFS(CF!S:S,CF!$A:$A,'1CF'!$A$22)</f>
        <v>-1068124</v>
      </c>
      <c r="M22" s="330">
        <f>'1IS'!P20</f>
        <v>-1075512.3042339801</v>
      </c>
      <c r="N22" s="330">
        <f>'1IS'!Q20</f>
        <v>-1092556.612176812</v>
      </c>
      <c r="O22" s="330">
        <f>'1IS'!R20</f>
        <v>-1155869.3032281315</v>
      </c>
      <c r="P22" s="330">
        <f>'1IS'!S20</f>
        <v>-1159192.2689687323</v>
      </c>
      <c r="Q22" s="330">
        <f>'1IS'!T20</f>
        <v>-1187590.5621378084</v>
      </c>
      <c r="R22" s="330">
        <f>'1IS'!U20</f>
        <v>-1206423.0755976934</v>
      </c>
      <c r="AC22" s="330">
        <f>-SUMIFS('1BS'!Y$3:Y$68,'1BS'!$X$3:$X$68,'1CF'!$A22)+SUMIFS('1BS'!Y$69:Y$124,'1BS'!$X$69:$X$124,'1CF'!$A22)</f>
        <v>0</v>
      </c>
      <c r="AD22" s="330">
        <f>-SUMIFS('1BS'!Z$3:Z$68,'1BS'!$X$3:$X$68,'1CF'!$A22)+SUMIFS('1BS'!Z$69:Z$124,'1BS'!$X$69:$X$124,'1CF'!$A22)</f>
        <v>0</v>
      </c>
      <c r="AE22" s="330">
        <f>-SUMIFS('1BS'!AA$3:AA$68,'1BS'!$X$3:$X$68,'1CF'!$A22)+SUMIFS('1BS'!AA$69:AA$124,'1BS'!$X$69:$X$124,'1CF'!$A22)</f>
        <v>0</v>
      </c>
      <c r="AF22" s="330">
        <f>-SUMIFS('1BS'!AB$3:AB$68,'1BS'!$X$3:$X$68,'1CF'!$A22)+SUMIFS('1BS'!AB$69:AB$124,'1BS'!$X$69:$X$124,'1CF'!$A22)</f>
        <v>0</v>
      </c>
      <c r="AG22" s="330">
        <f>-SUMIFS('1BS'!AC$3:AC$68,'1BS'!$X$3:$X$68,'1CF'!$A22)+SUMIFS('1BS'!AC$69:AC$124,'1BS'!$X$69:$X$124,'1CF'!$A22)</f>
        <v>0</v>
      </c>
      <c r="AH22" s="330">
        <f>-SUMIFS('1BS'!AD$3:AD$68,'1BS'!$X$3:$X$68,'1CF'!$A22)+SUMIFS('1BS'!AD$69:AD$124,'1BS'!$X$69:$X$124,'1CF'!$A22)</f>
        <v>0</v>
      </c>
      <c r="AI22" s="330">
        <f>-SUMIFS('1BS'!AE$3:AE$68,'1BS'!$X$3:$X$68,'1CF'!$A22)+SUMIFS('1BS'!AE$69:AE$124,'1BS'!$X$69:$X$124,'1CF'!$A22)</f>
        <v>0</v>
      </c>
      <c r="AJ22" s="330">
        <f>-SUMIFS('1BS'!AF$3:AF$68,'1BS'!$X$3:$X$68,'1CF'!$A22)+SUMIFS('1BS'!AF$69:AF$124,'1BS'!$X$69:$X$124,'1CF'!$A22)</f>
        <v>0</v>
      </c>
      <c r="AK22" s="330" t="s">
        <v>421</v>
      </c>
      <c r="AM22" s="330" t="s">
        <v>595</v>
      </c>
    </row>
    <row r="23" spans="1:39" s="330" customFormat="1">
      <c r="A23" s="327">
        <v>16</v>
      </c>
      <c r="B23" s="332" t="s">
        <v>616</v>
      </c>
      <c r="C23" s="329"/>
      <c r="D23" s="330">
        <f>SUMIFS(CF!K:K,CF!$A:$A,'1CF'!$A$23)</f>
        <v>0</v>
      </c>
      <c r="E23" s="330">
        <f>SUMIFS(CF!L:L,CF!$A:$A,'1CF'!$A$23)</f>
        <v>0</v>
      </c>
      <c r="F23" s="330">
        <f>SUMIFS(CF!M:M,CF!$A:$A,'1CF'!$A$23)</f>
        <v>0</v>
      </c>
      <c r="G23" s="330">
        <f>SUMIFS(CF!N:N,CF!$A:$A,'1CF'!$A$23)</f>
        <v>0</v>
      </c>
      <c r="H23" s="330">
        <f>SUMIFS(CF!O:O,CF!$A:$A,'1CF'!$A$23)</f>
        <v>0</v>
      </c>
      <c r="I23" s="330">
        <f>SUMIFS(CF!P:P,CF!$A:$A,'1CF'!$A$23)</f>
        <v>0</v>
      </c>
      <c r="J23" s="330">
        <f>SUMIFS(CF!Q:Q,CF!$A:$A,'1CF'!$A$23)</f>
        <v>0</v>
      </c>
      <c r="K23" s="330">
        <f>SUMIFS(CF!R:R,CF!$A:$A,'1CF'!$A$23)</f>
        <v>0</v>
      </c>
      <c r="L23" s="331">
        <f>SUMIFS(CF!S:S,CF!$A:$A,'1CF'!$A$23)</f>
        <v>0</v>
      </c>
      <c r="M23" s="330">
        <f>Equity!P106</f>
        <v>-118547.56383387995</v>
      </c>
      <c r="N23" s="330">
        <f>Equity!Q106</f>
        <v>-122932.78109587096</v>
      </c>
      <c r="O23" s="330">
        <f>Equity!R106</f>
        <v>-130026.79666364085</v>
      </c>
      <c r="P23" s="330">
        <f>Equity!S106</f>
        <v>-135765.75270602721</v>
      </c>
      <c r="Q23" s="330">
        <f>Equity!T106</f>
        <v>-142004.4740567882</v>
      </c>
      <c r="R23" s="330">
        <f>Equity!U106</f>
        <v>-148375.01239026405</v>
      </c>
      <c r="AC23" s="330">
        <f>-SUMIFS('1BS'!Y$3:Y$68,'1BS'!$X$3:$X$68,'1CF'!$A23)+SUMIFS('1BS'!Y$69:Y$124,'1BS'!$X$69:$X$124,'1CF'!$A23)</f>
        <v>0</v>
      </c>
      <c r="AD23" s="330">
        <f>-SUMIFS('1BS'!Z$3:Z$68,'1BS'!$X$3:$X$68,'1CF'!$A23)+SUMIFS('1BS'!Z$69:Z$124,'1BS'!$X$69:$X$124,'1CF'!$A23)</f>
        <v>0</v>
      </c>
      <c r="AE23" s="330">
        <f>-SUMIFS('1BS'!AA$3:AA$68,'1BS'!$X$3:$X$68,'1CF'!$A23)+SUMIFS('1BS'!AA$69:AA$124,'1BS'!$X$69:$X$124,'1CF'!$A23)</f>
        <v>0</v>
      </c>
      <c r="AF23" s="330">
        <f>-SUMIFS('1BS'!AB$3:AB$68,'1BS'!$X$3:$X$68,'1CF'!$A23)+SUMIFS('1BS'!AB$69:AB$124,'1BS'!$X$69:$X$124,'1CF'!$A23)</f>
        <v>0</v>
      </c>
      <c r="AG23" s="330">
        <f>-SUMIFS('1BS'!AC$3:AC$68,'1BS'!$X$3:$X$68,'1CF'!$A23)+SUMIFS('1BS'!AC$69:AC$124,'1BS'!$X$69:$X$124,'1CF'!$A23)</f>
        <v>0</v>
      </c>
      <c r="AH23" s="330">
        <f>-SUMIFS('1BS'!AD$3:AD$68,'1BS'!$X$3:$X$68,'1CF'!$A23)+SUMIFS('1BS'!AD$69:AD$124,'1BS'!$X$69:$X$124,'1CF'!$A23)</f>
        <v>0</v>
      </c>
      <c r="AI23" s="330">
        <f>-SUMIFS('1BS'!AE$3:AE$68,'1BS'!$X$3:$X$68,'1CF'!$A23)+SUMIFS('1BS'!AE$69:AE$124,'1BS'!$X$69:$X$124,'1CF'!$A23)</f>
        <v>0</v>
      </c>
      <c r="AJ23" s="330">
        <f>-SUMIFS('1BS'!AF$3:AF$68,'1BS'!$X$3:$X$68,'1CF'!$A23)+SUMIFS('1BS'!AF$69:AF$124,'1BS'!$X$69:$X$124,'1CF'!$A23)</f>
        <v>0</v>
      </c>
      <c r="AM23" s="330" t="s">
        <v>595</v>
      </c>
    </row>
    <row r="24" spans="1:39" s="330" customFormat="1">
      <c r="A24" s="327">
        <v>17</v>
      </c>
      <c r="B24" s="332" t="s">
        <v>617</v>
      </c>
      <c r="C24" s="329"/>
      <c r="D24" s="330">
        <f>SUMIFS(CF!K:K,CF!$A:$A,'1CF'!$A$24)</f>
        <v>-389966</v>
      </c>
      <c r="E24" s="330">
        <f>SUMIFS(CF!L:L,CF!$A:$A,'1CF'!$A$24)</f>
        <v>-339725</v>
      </c>
      <c r="F24" s="330">
        <f>SUMIFS(CF!M:M,CF!$A:$A,'1CF'!$A$24)</f>
        <v>-264897</v>
      </c>
      <c r="G24" s="330">
        <f>SUMIFS(CF!N:N,CF!$A:$A,'1CF'!$A$24)</f>
        <v>-237146</v>
      </c>
      <c r="H24" s="330">
        <f>SUMIFS(CF!O:O,CF!$A:$A,'1CF'!$A$24)</f>
        <v>-111480</v>
      </c>
      <c r="I24" s="330">
        <f>SUMIFS(CF!P:P,CF!$A:$A,'1CF'!$A$24)</f>
        <v>-103608</v>
      </c>
      <c r="J24" s="330">
        <f>SUMIFS(CF!Q:Q,CF!$A:$A,'1CF'!$A$24)</f>
        <v>-177429</v>
      </c>
      <c r="K24" s="330">
        <f>SUMIFS(CF!R:R,CF!$A:$A,'1CF'!$A$24)</f>
        <v>-124451</v>
      </c>
      <c r="L24" s="331">
        <f>SUMIFS(CF!S:S,CF!$A:$A,'1CF'!$A$24)</f>
        <v>-139496</v>
      </c>
      <c r="M24" s="334">
        <v>-2</v>
      </c>
      <c r="N24" s="334">
        <v>0</v>
      </c>
      <c r="O24" s="334">
        <v>0</v>
      </c>
      <c r="P24" s="334">
        <v>-1</v>
      </c>
      <c r="Q24" s="334">
        <v>0</v>
      </c>
      <c r="R24" s="334">
        <v>0</v>
      </c>
      <c r="AC24" s="330">
        <f>-SUMIFS('1BS'!Y$3:Y$68,'1BS'!$X$3:$X$68,'1CF'!$A24)+SUMIFS('1BS'!Y$69:Y$124,'1BS'!$X$69:$X$124,'1CF'!$A24)</f>
        <v>0</v>
      </c>
      <c r="AD24" s="330">
        <f>-SUMIFS('1BS'!Z$3:Z$68,'1BS'!$X$3:$X$68,'1CF'!$A24)+SUMIFS('1BS'!Z$69:Z$124,'1BS'!$X$69:$X$124,'1CF'!$A24)</f>
        <v>0</v>
      </c>
      <c r="AE24" s="330">
        <f>-SUMIFS('1BS'!AA$3:AA$68,'1BS'!$X$3:$X$68,'1CF'!$A24)+SUMIFS('1BS'!AA$69:AA$124,'1BS'!$X$69:$X$124,'1CF'!$A24)</f>
        <v>0</v>
      </c>
      <c r="AF24" s="330">
        <f>-SUMIFS('1BS'!AB$3:AB$68,'1BS'!$X$3:$X$68,'1CF'!$A24)+SUMIFS('1BS'!AB$69:AB$124,'1BS'!$X$69:$X$124,'1CF'!$A24)</f>
        <v>0</v>
      </c>
      <c r="AG24" s="330">
        <f>-SUMIFS('1BS'!AC$3:AC$68,'1BS'!$X$3:$X$68,'1CF'!$A24)+SUMIFS('1BS'!AC$69:AC$124,'1BS'!$X$69:$X$124,'1CF'!$A24)</f>
        <v>0</v>
      </c>
      <c r="AH24" s="330">
        <f>-SUMIFS('1BS'!AD$3:AD$68,'1BS'!$X$3:$X$68,'1CF'!$A24)+SUMIFS('1BS'!AD$69:AD$124,'1BS'!$X$69:$X$124,'1CF'!$A24)</f>
        <v>0</v>
      </c>
      <c r="AI24" s="330">
        <f>-SUMIFS('1BS'!AE$3:AE$68,'1BS'!$X$3:$X$68,'1CF'!$A24)+SUMIFS('1BS'!AE$69:AE$124,'1BS'!$X$69:$X$124,'1CF'!$A24)</f>
        <v>0</v>
      </c>
      <c r="AJ24" s="330">
        <f>-SUMIFS('1BS'!AF$3:AF$68,'1BS'!$X$3:$X$68,'1CF'!$A24)+SUMIFS('1BS'!AF$69:AF$124,'1BS'!$X$69:$X$124,'1CF'!$A24)</f>
        <v>0</v>
      </c>
      <c r="AM24" s="330" t="s">
        <v>595</v>
      </c>
    </row>
    <row r="25" spans="1:39" s="330" customFormat="1">
      <c r="A25" s="327"/>
      <c r="B25" s="328"/>
      <c r="C25" s="329"/>
      <c r="L25" s="331"/>
      <c r="AM25" s="330" t="s">
        <v>595</v>
      </c>
    </row>
    <row r="26" spans="1:39" s="330" customFormat="1">
      <c r="A26" s="327">
        <v>20</v>
      </c>
      <c r="B26" s="328" t="s">
        <v>618</v>
      </c>
      <c r="C26" s="329"/>
      <c r="D26" s="333">
        <f>CF!K25</f>
        <v>5067819</v>
      </c>
      <c r="E26" s="333">
        <f>CF!L25</f>
        <v>4514786</v>
      </c>
      <c r="F26" s="333">
        <f>CF!M25</f>
        <v>5005013</v>
      </c>
      <c r="G26" s="333">
        <f>CF!N25</f>
        <v>4128612</v>
      </c>
      <c r="H26" s="333">
        <f>CF!O25</f>
        <v>3517852</v>
      </c>
      <c r="I26" s="333">
        <f>CF!P25</f>
        <v>4378517</v>
      </c>
      <c r="J26" s="333">
        <f>CF!Q25</f>
        <v>1940064</v>
      </c>
      <c r="K26" s="333">
        <f>CF!R25</f>
        <v>4362510</v>
      </c>
      <c r="L26" s="635">
        <f>CF!S25</f>
        <v>3904076</v>
      </c>
      <c r="M26" s="333">
        <f>SUM(M15:M24)</f>
        <v>3372366.4746106858</v>
      </c>
      <c r="N26" s="333">
        <f>SUM(N15:N24)</f>
        <v>4310974.4759104419</v>
      </c>
      <c r="O26" s="333">
        <f t="shared" ref="O26:R26" si="10">SUM(O15:O24)</f>
        <v>5172453.2861388186</v>
      </c>
      <c r="P26" s="333">
        <f t="shared" si="10"/>
        <v>5048209.6237021834</v>
      </c>
      <c r="Q26" s="333">
        <f t="shared" si="10"/>
        <v>5343280.7101574382</v>
      </c>
      <c r="R26" s="333">
        <f t="shared" si="10"/>
        <v>4905114.3827960836</v>
      </c>
      <c r="AC26" s="333">
        <f>SUM(AC15:AC24)</f>
        <v>6598537</v>
      </c>
      <c r="AD26" s="333">
        <f t="shared" ref="AD26:AJ26" si="11">SUM(AD15:AD24)</f>
        <v>10234497</v>
      </c>
      <c r="AE26" s="333">
        <f t="shared" si="11"/>
        <v>5527011.5423031244</v>
      </c>
      <c r="AF26" s="333">
        <f t="shared" si="11"/>
        <v>6439777.3147781249</v>
      </c>
      <c r="AG26" s="333">
        <f t="shared" si="11"/>
        <v>7364943.8089359989</v>
      </c>
      <c r="AH26" s="333">
        <f t="shared" si="11"/>
        <v>7247573.6046877196</v>
      </c>
      <c r="AI26" s="333">
        <f t="shared" si="11"/>
        <v>7574136.0470427489</v>
      </c>
      <c r="AJ26" s="333">
        <f t="shared" si="11"/>
        <v>7184711.0620575184</v>
      </c>
      <c r="AM26" s="330" t="s">
        <v>595</v>
      </c>
    </row>
    <row r="27" spans="1:39" s="330" customFormat="1">
      <c r="A27" s="327"/>
      <c r="B27" s="328"/>
      <c r="C27" s="329"/>
      <c r="L27" s="331"/>
      <c r="AM27" s="330" t="s">
        <v>595</v>
      </c>
    </row>
    <row r="28" spans="1:39" s="330" customFormat="1">
      <c r="A28" s="327"/>
      <c r="B28" s="332" t="s">
        <v>619</v>
      </c>
      <c r="C28" s="329"/>
      <c r="L28" s="331"/>
      <c r="AM28" s="330" t="s">
        <v>595</v>
      </c>
    </row>
    <row r="29" spans="1:39" s="330" customFormat="1">
      <c r="A29" s="327">
        <v>21</v>
      </c>
      <c r="B29" s="332" t="s">
        <v>620</v>
      </c>
      <c r="C29" s="329"/>
      <c r="D29" s="330">
        <f>SUMIFS(CF!K:K,CF!$A:$A,'1CF'!$A$29)</f>
        <v>-151158</v>
      </c>
      <c r="E29" s="330">
        <f>SUMIFS(CF!L:L,CF!$A:$A,'1CF'!$A$29)</f>
        <v>-290439</v>
      </c>
      <c r="F29" s="330">
        <f>SUMIFS(CF!M:M,CF!$A:$A,'1CF'!$A$29)</f>
        <v>-268998</v>
      </c>
      <c r="G29" s="330">
        <f>SUMIFS(CF!N:N,CF!$A:$A,'1CF'!$A$29)</f>
        <v>-367442</v>
      </c>
      <c r="H29" s="330">
        <f>SUMIFS(CF!O:O,CF!$A:$A,'1CF'!$A$29)</f>
        <v>-329541</v>
      </c>
      <c r="I29" s="330">
        <f>SUMIFS(CF!P:P,CF!$A:$A,'1CF'!$A$29)</f>
        <v>-533164</v>
      </c>
      <c r="J29" s="330">
        <f>SUMIFS(CF!Q:Q,CF!$A:$A,'1CF'!$A$29)</f>
        <v>-283735</v>
      </c>
      <c r="K29" s="330">
        <f>SUMIFS(CF!R:R,CF!$A:$A,'1CF'!$A$29)</f>
        <v>-296018</v>
      </c>
      <c r="L29" s="331">
        <f>SUMIFS(CF!S:S,CF!$A:$A,'1CF'!$A$29)</f>
        <v>-241544</v>
      </c>
      <c r="M29" s="330">
        <f>V29+AE29</f>
        <v>49759.081256246427</v>
      </c>
      <c r="N29" s="330">
        <f>W29+AF29</f>
        <v>-12731.453173224005</v>
      </c>
      <c r="O29" s="330">
        <f t="shared" ref="N29:R35" si="12">X29+AG29</f>
        <v>-72097.475530705531</v>
      </c>
      <c r="P29" s="330">
        <f t="shared" si="12"/>
        <v>-57898.509572592011</v>
      </c>
      <c r="Q29" s="330">
        <f t="shared" si="12"/>
        <v>-67436.359267901935</v>
      </c>
      <c r="R29" s="330">
        <f t="shared" si="12"/>
        <v>-66420.303437657407</v>
      </c>
      <c r="AC29" s="330">
        <f>-SUMIFS('1BS'!Y$3:Y$68,'1BS'!$X$3:$X$68,'1CF'!$A29)+SUMIFS('1BS'!Y$69:Y$124,'1BS'!$X$69:$X$124,'1CF'!$A29)</f>
        <v>-1285986</v>
      </c>
      <c r="AD29" s="330">
        <f>-SUMIFS('1BS'!Z$3:Z$68,'1BS'!$X$3:$X$68,'1CF'!$A29)+SUMIFS('1BS'!Z$69:Z$124,'1BS'!$X$69:$X$124,'1CF'!$A29)</f>
        <v>-5343714</v>
      </c>
      <c r="AE29" s="330">
        <f>-SUMIFS('1BS'!AA$3:AA$68,'1BS'!$X$3:$X$68,'1CF'!$A29)+SUMIFS('1BS'!AA$69:AA$124,'1BS'!$X$69:$X$124,'1CF'!$A29)</f>
        <v>49759.081256246427</v>
      </c>
      <c r="AF29" s="330">
        <f>-SUMIFS('1BS'!AB$3:AB$68,'1BS'!$X$3:$X$68,'1CF'!$A29)+SUMIFS('1BS'!AB$69:AB$124,'1BS'!$X$69:$X$124,'1CF'!$A29)</f>
        <v>-12731.453173224005</v>
      </c>
      <c r="AG29" s="330">
        <f>-SUMIFS('1BS'!AC$3:AC$68,'1BS'!$X$3:$X$68,'1CF'!$A29)+SUMIFS('1BS'!AC$69:AC$124,'1BS'!$X$69:$X$124,'1CF'!$A29)</f>
        <v>-72097.475530705531</v>
      </c>
      <c r="AH29" s="330">
        <f>-SUMIFS('1BS'!AD$3:AD$68,'1BS'!$X$3:$X$68,'1CF'!$A29)+SUMIFS('1BS'!AD$69:AD$124,'1BS'!$X$69:$X$124,'1CF'!$A29)</f>
        <v>-57898.509572592011</v>
      </c>
      <c r="AI29" s="330">
        <f>-SUMIFS('1BS'!AE$3:AE$68,'1BS'!$X$3:$X$68,'1CF'!$A29)+SUMIFS('1BS'!AE$69:AE$124,'1BS'!$X$69:$X$124,'1CF'!$A29)</f>
        <v>-67436.359267901935</v>
      </c>
      <c r="AJ29" s="330">
        <f>-SUMIFS('1BS'!AF$3:AF$68,'1BS'!$X$3:$X$68,'1CF'!$A29)+SUMIFS('1BS'!AF$69:AF$124,'1BS'!$X$69:$X$124,'1CF'!$A29)</f>
        <v>-66420.303437657407</v>
      </c>
      <c r="AM29" s="330" t="s">
        <v>595</v>
      </c>
    </row>
    <row r="30" spans="1:39" s="330" customFormat="1">
      <c r="A30" s="327">
        <v>22</v>
      </c>
      <c r="B30" s="332" t="s">
        <v>621</v>
      </c>
      <c r="C30" s="329"/>
      <c r="D30" s="330">
        <f>SUMIFS(CF!K:K,CF!$A:$A,'1CF'!$A$30)</f>
        <v>14863</v>
      </c>
      <c r="E30" s="330">
        <f>SUMIFS(CF!L:L,CF!$A:$A,'1CF'!$A$30)</f>
        <v>2009</v>
      </c>
      <c r="F30" s="330">
        <f>SUMIFS(CF!M:M,CF!$A:$A,'1CF'!$A$30)</f>
        <v>4839</v>
      </c>
      <c r="G30" s="330">
        <f>SUMIFS(CF!N:N,CF!$A:$A,'1CF'!$A$30)</f>
        <v>1441</v>
      </c>
      <c r="H30" s="330">
        <f>SUMIFS(CF!O:O,CF!$A:$A,'1CF'!$A$30)</f>
        <v>3485</v>
      </c>
      <c r="I30" s="330">
        <f>SUMIFS(CF!P:P,CF!$A:$A,'1CF'!$A$30)</f>
        <v>4266</v>
      </c>
      <c r="J30" s="330">
        <f>SUMIFS(CF!Q:Q,CF!$A:$A,'1CF'!$A$30)</f>
        <v>2485</v>
      </c>
      <c r="K30" s="330">
        <f>SUMIFS(CF!R:R,CF!$A:$A,'1CF'!$A$30)</f>
        <v>3525</v>
      </c>
      <c r="L30" s="331">
        <f>SUMIFS(CF!S:S,CF!$A:$A,'1CF'!$A$30)</f>
        <v>1300</v>
      </c>
      <c r="M30" s="330">
        <f t="shared" ref="M30:M34" si="13">V30+AE30</f>
        <v>0</v>
      </c>
      <c r="N30" s="330">
        <f t="shared" si="12"/>
        <v>0</v>
      </c>
      <c r="O30" s="330">
        <f t="shared" si="12"/>
        <v>0</v>
      </c>
      <c r="P30" s="330">
        <f t="shared" si="12"/>
        <v>0</v>
      </c>
      <c r="Q30" s="330">
        <f t="shared" si="12"/>
        <v>0</v>
      </c>
      <c r="R30" s="330">
        <f t="shared" si="12"/>
        <v>0</v>
      </c>
      <c r="AC30" s="330">
        <f>-SUMIFS('1BS'!Y$3:Y$68,'1BS'!$X$3:$X$68,'1CF'!$A30)+SUMIFS('1BS'!Y$69:Y$124,'1BS'!$X$69:$X$124,'1CF'!$A30)</f>
        <v>0</v>
      </c>
      <c r="AD30" s="330">
        <f>-SUMIFS('1BS'!Z$3:Z$68,'1BS'!$X$3:$X$68,'1CF'!$A30)+SUMIFS('1BS'!Z$69:Z$124,'1BS'!$X$69:$X$124,'1CF'!$A30)</f>
        <v>0</v>
      </c>
      <c r="AE30" s="330">
        <f>-SUMIFS('1BS'!AA$3:AA$68,'1BS'!$X$3:$X$68,'1CF'!$A30)+SUMIFS('1BS'!AA$69:AA$124,'1BS'!$X$69:$X$124,'1CF'!$A30)</f>
        <v>0</v>
      </c>
      <c r="AF30" s="330">
        <f>-SUMIFS('1BS'!AB$3:AB$68,'1BS'!$X$3:$X$68,'1CF'!$A30)+SUMIFS('1BS'!AB$69:AB$124,'1BS'!$X$69:$X$124,'1CF'!$A30)</f>
        <v>0</v>
      </c>
      <c r="AG30" s="330">
        <f>-SUMIFS('1BS'!AC$3:AC$68,'1BS'!$X$3:$X$68,'1CF'!$A30)+SUMIFS('1BS'!AC$69:AC$124,'1BS'!$X$69:$X$124,'1CF'!$A30)</f>
        <v>0</v>
      </c>
      <c r="AH30" s="330">
        <f>-SUMIFS('1BS'!AD$3:AD$68,'1BS'!$X$3:$X$68,'1CF'!$A30)+SUMIFS('1BS'!AD$69:AD$124,'1BS'!$X$69:$X$124,'1CF'!$A30)</f>
        <v>0</v>
      </c>
      <c r="AI30" s="330">
        <f>-SUMIFS('1BS'!AE$3:AE$68,'1BS'!$X$3:$X$68,'1CF'!$A30)+SUMIFS('1BS'!AE$69:AE$124,'1BS'!$X$69:$X$124,'1CF'!$A30)</f>
        <v>0</v>
      </c>
      <c r="AJ30" s="330">
        <f>-SUMIFS('1BS'!AF$3:AF$68,'1BS'!$X$3:$X$68,'1CF'!$A30)+SUMIFS('1BS'!AF$69:AF$124,'1BS'!$X$69:$X$124,'1CF'!$A30)</f>
        <v>0</v>
      </c>
      <c r="AM30" s="330" t="s">
        <v>595</v>
      </c>
    </row>
    <row r="31" spans="1:39" s="330" customFormat="1">
      <c r="A31" s="327">
        <v>23</v>
      </c>
      <c r="B31" s="332" t="s">
        <v>622</v>
      </c>
      <c r="C31" s="329"/>
      <c r="D31" s="330">
        <f>SUMIFS(CF!K:K,CF!$A:$A,'1CF'!$A$31)</f>
        <v>-7278047</v>
      </c>
      <c r="E31" s="330">
        <f>SUMIFS(CF!L:L,CF!$A:$A,'1CF'!$A$31)</f>
        <v>-10860587</v>
      </c>
      <c r="F31" s="330">
        <f>SUMIFS(CF!M:M,CF!$A:$A,'1CF'!$A$31)</f>
        <v>-14261677</v>
      </c>
      <c r="G31" s="330">
        <f>SUMIFS(CF!N:N,CF!$A:$A,'1CF'!$A$31)</f>
        <v>-16247323</v>
      </c>
      <c r="H31" s="330">
        <f>SUMIFS(CF!O:O,CF!$A:$A,'1CF'!$A$31)</f>
        <v>-18159840</v>
      </c>
      <c r="I31" s="330">
        <f>SUMIFS(CF!P:P,CF!$A:$A,'1CF'!$A$31)</f>
        <v>-22641270</v>
      </c>
      <c r="J31" s="330">
        <f>SUMIFS(CF!Q:Q,CF!$A:$A,'1CF'!$A$31)</f>
        <v>-17562408</v>
      </c>
      <c r="K31" s="330">
        <f>SUMIFS(CF!R:R,CF!$A:$A,'1CF'!$A$31)</f>
        <v>-20386135</v>
      </c>
      <c r="L31" s="331">
        <f>SUMIFS(CF!S:S,CF!$A:$A,'1CF'!$A$31)</f>
        <v>-16845775</v>
      </c>
      <c r="M31" s="330">
        <f>V31+AE31</f>
        <v>146720.02935340628</v>
      </c>
      <c r="N31" s="330">
        <f>W31+AF31</f>
        <v>730207.39860778488</v>
      </c>
      <c r="O31" s="330">
        <f t="shared" si="12"/>
        <v>223674.78042893112</v>
      </c>
      <c r="P31" s="330">
        <f t="shared" si="12"/>
        <v>-45966.643931308761</v>
      </c>
      <c r="Q31" s="330">
        <f t="shared" si="12"/>
        <v>61705.126040281728</v>
      </c>
      <c r="R31" s="330">
        <f t="shared" si="12"/>
        <v>-344110.94821140543</v>
      </c>
      <c r="AC31" s="330">
        <f>-SUMIFS('1BS'!Y$3:Y$68,'1BS'!$X$3:$X$68,'1CF'!$A31)+SUMIFS('1BS'!Y$69:Y$124,'1BS'!$X$69:$X$124,'1CF'!$A31)</f>
        <v>1174813</v>
      </c>
      <c r="AD31" s="330">
        <f>-SUMIFS('1BS'!Z$3:Z$68,'1BS'!$X$3:$X$68,'1CF'!$A31)+SUMIFS('1BS'!Z$69:Z$124,'1BS'!$X$69:$X$124,'1CF'!$A31)</f>
        <v>1580750</v>
      </c>
      <c r="AE31" s="330">
        <f>-SUMIFS('1BS'!AA$3:AA$68,'1BS'!$X$3:$X$68,'1CF'!$A31)+SUMIFS('1BS'!AA$69:AA$124,'1BS'!$X$69:$X$124,'1CF'!$A31)</f>
        <v>146720.02935340628</v>
      </c>
      <c r="AF31" s="330">
        <f>-SUMIFS('1BS'!AB$3:AB$68,'1BS'!$X$3:$X$68,'1CF'!$A31)+SUMIFS('1BS'!AB$69:AB$124,'1BS'!$X$69:$X$124,'1CF'!$A31)</f>
        <v>730207.39860778488</v>
      </c>
      <c r="AG31" s="330">
        <f>-SUMIFS('1BS'!AC$3:AC$68,'1BS'!$X$3:$X$68,'1CF'!$A31)+SUMIFS('1BS'!AC$69:AC$124,'1BS'!$X$69:$X$124,'1CF'!$A31)</f>
        <v>223674.78042893112</v>
      </c>
      <c r="AH31" s="330">
        <f>-SUMIFS('1BS'!AD$3:AD$68,'1BS'!$X$3:$X$68,'1CF'!$A31)+SUMIFS('1BS'!AD$69:AD$124,'1BS'!$X$69:$X$124,'1CF'!$A31)</f>
        <v>-45966.643931308761</v>
      </c>
      <c r="AI31" s="330">
        <f>-SUMIFS('1BS'!AE$3:AE$68,'1BS'!$X$3:$X$68,'1CF'!$A31)+SUMIFS('1BS'!AE$69:AE$124,'1BS'!$X$69:$X$124,'1CF'!$A31)</f>
        <v>61705.126040281728</v>
      </c>
      <c r="AJ31" s="330">
        <f>-SUMIFS('1BS'!AF$3:AF$68,'1BS'!$X$3:$X$68,'1CF'!$A31)+SUMIFS('1BS'!AF$69:AF$124,'1BS'!$X$69:$X$124,'1CF'!$A31)</f>
        <v>-344110.94821140543</v>
      </c>
      <c r="AM31" s="330" t="s">
        <v>595</v>
      </c>
    </row>
    <row r="32" spans="1:39" s="330" customFormat="1">
      <c r="A32" s="327">
        <v>24</v>
      </c>
      <c r="B32" s="332" t="s">
        <v>623</v>
      </c>
      <c r="C32" s="329"/>
      <c r="D32" s="330">
        <f>SUMIFS(CF!K:K,CF!$A:$A,'1CF'!$A$32)</f>
        <v>3893567</v>
      </c>
      <c r="E32" s="330">
        <f>SUMIFS(CF!L:L,CF!$A:$A,'1CF'!$A$32)</f>
        <v>9875200</v>
      </c>
      <c r="F32" s="330">
        <f>SUMIFS(CF!M:M,CF!$A:$A,'1CF'!$A$32)</f>
        <v>9379639</v>
      </c>
      <c r="G32" s="330">
        <f>SUMIFS(CF!N:N,CF!$A:$A,'1CF'!$A$32)</f>
        <v>14066130</v>
      </c>
      <c r="H32" s="330">
        <f>SUMIFS(CF!O:O,CF!$A:$A,'1CF'!$A$32)</f>
        <v>15706420</v>
      </c>
      <c r="I32" s="330">
        <f>SUMIFS(CF!P:P,CF!$A:$A,'1CF'!$A$32)</f>
        <v>20288539</v>
      </c>
      <c r="J32" s="330">
        <f>SUMIFS(CF!Q:Q,CF!$A:$A,'1CF'!$A$32)</f>
        <v>19195705</v>
      </c>
      <c r="K32" s="330">
        <f>SUMIFS(CF!R:R,CF!$A:$A,'1CF'!$A$32)</f>
        <v>20264668</v>
      </c>
      <c r="L32" s="331">
        <f>SUMIFS(CF!S:S,CF!$A:$A,'1CF'!$A$32)</f>
        <v>17920926</v>
      </c>
      <c r="N32" s="330">
        <f t="shared" si="12"/>
        <v>0</v>
      </c>
      <c r="O32" s="330">
        <f t="shared" si="12"/>
        <v>0</v>
      </c>
      <c r="P32" s="330">
        <f t="shared" si="12"/>
        <v>0</v>
      </c>
      <c r="Q32" s="330">
        <f t="shared" si="12"/>
        <v>0</v>
      </c>
      <c r="R32" s="330">
        <f t="shared" si="12"/>
        <v>0</v>
      </c>
      <c r="AC32" s="330">
        <f>-SUMIFS('1BS'!Y$3:Y$68,'1BS'!$X$3:$X$68,'1CF'!$A32)+SUMIFS('1BS'!Y$69:Y$124,'1BS'!$X$69:$X$124,'1CF'!$A32)</f>
        <v>0</v>
      </c>
      <c r="AD32" s="330">
        <f>-SUMIFS('1BS'!Z$3:Z$68,'1BS'!$X$3:$X$68,'1CF'!$A32)+SUMIFS('1BS'!Z$69:Z$124,'1BS'!$X$69:$X$124,'1CF'!$A32)</f>
        <v>0</v>
      </c>
      <c r="AE32" s="330">
        <f>-SUMIFS('1BS'!AA$3:AA$68,'1BS'!$X$3:$X$68,'1CF'!$A32)+SUMIFS('1BS'!AA$69:AA$124,'1BS'!$X$69:$X$124,'1CF'!$A32)</f>
        <v>0</v>
      </c>
      <c r="AF32" s="330">
        <f>-SUMIFS('1BS'!AB$3:AB$68,'1BS'!$X$3:$X$68,'1CF'!$A32)+SUMIFS('1BS'!AB$69:AB$124,'1BS'!$X$69:$X$124,'1CF'!$A32)</f>
        <v>0</v>
      </c>
      <c r="AG32" s="330">
        <f>-SUMIFS('1BS'!AC$3:AC$68,'1BS'!$X$3:$X$68,'1CF'!$A32)+SUMIFS('1BS'!AC$69:AC$124,'1BS'!$X$69:$X$124,'1CF'!$A32)</f>
        <v>0</v>
      </c>
      <c r="AH32" s="330">
        <f>-SUMIFS('1BS'!AD$3:AD$68,'1BS'!$X$3:$X$68,'1CF'!$A32)+SUMIFS('1BS'!AD$69:AD$124,'1BS'!$X$69:$X$124,'1CF'!$A32)</f>
        <v>0</v>
      </c>
      <c r="AI32" s="330">
        <f>-SUMIFS('1BS'!AE$3:AE$68,'1BS'!$X$3:$X$68,'1CF'!$A32)+SUMIFS('1BS'!AE$69:AE$124,'1BS'!$X$69:$X$124,'1CF'!$A32)</f>
        <v>0</v>
      </c>
      <c r="AJ32" s="330">
        <f>-SUMIFS('1BS'!AF$3:AF$68,'1BS'!$X$3:$X$68,'1CF'!$A32)+SUMIFS('1BS'!AF$69:AF$124,'1BS'!$X$69:$X$124,'1CF'!$A32)</f>
        <v>0</v>
      </c>
      <c r="AM32" s="330" t="s">
        <v>595</v>
      </c>
    </row>
    <row r="33" spans="1:39" s="330" customFormat="1">
      <c r="A33" s="327">
        <v>25</v>
      </c>
      <c r="B33" s="332" t="s">
        <v>624</v>
      </c>
      <c r="C33" s="329"/>
      <c r="D33" s="330">
        <f>SUMIFS(CF!K:K,CF!$A:$A,'1CF'!$A$33)</f>
        <v>-43881</v>
      </c>
      <c r="E33" s="330">
        <f>SUMIFS(CF!L:L,CF!$A:$A,'1CF'!$A$33)</f>
        <v>0</v>
      </c>
      <c r="F33" s="330">
        <f>SUMIFS(CF!M:M,CF!$A:$A,'1CF'!$A$33)</f>
        <v>0</v>
      </c>
      <c r="G33" s="330">
        <f>SUMIFS(CF!N:N,CF!$A:$A,'1CF'!$A$33)</f>
        <v>0</v>
      </c>
      <c r="H33" s="330">
        <f>SUMIFS(CF!O:O,CF!$A:$A,'1CF'!$A$33)</f>
        <v>0</v>
      </c>
      <c r="I33" s="330">
        <f>SUMIFS(CF!P:P,CF!$A:$A,'1CF'!$A$33)</f>
        <v>0</v>
      </c>
      <c r="J33" s="330">
        <f>SUMIFS(CF!Q:Q,CF!$A:$A,'1CF'!$A$33)</f>
        <v>0</v>
      </c>
      <c r="K33" s="330">
        <f>SUMIFS(CF!R:R,CF!$A:$A,'1CF'!$A$33)</f>
        <v>-954279</v>
      </c>
      <c r="L33" s="331">
        <f>SUMIFS(CF!S:S,CF!$A:$A,'1CF'!$A$33)</f>
        <v>125894</v>
      </c>
      <c r="M33" s="330">
        <f t="shared" si="13"/>
        <v>0</v>
      </c>
      <c r="N33" s="330">
        <f t="shared" si="12"/>
        <v>0</v>
      </c>
      <c r="O33" s="330">
        <f t="shared" si="12"/>
        <v>0</v>
      </c>
      <c r="P33" s="330">
        <f t="shared" si="12"/>
        <v>0</v>
      </c>
      <c r="Q33" s="330">
        <f t="shared" si="12"/>
        <v>0</v>
      </c>
      <c r="R33" s="330">
        <f t="shared" si="12"/>
        <v>0</v>
      </c>
      <c r="AC33" s="330">
        <f>-SUMIFS('1BS'!Y$3:Y$68,'1BS'!$X$3:$X$68,'1CF'!$A33)+SUMIFS('1BS'!Y$69:Y$124,'1BS'!$X$69:$X$124,'1CF'!$A33)</f>
        <v>-74655</v>
      </c>
      <c r="AD33" s="330">
        <f>-SUMIFS('1BS'!Z$3:Z$68,'1BS'!$X$3:$X$68,'1CF'!$A33)+SUMIFS('1BS'!Z$69:Z$124,'1BS'!$X$69:$X$124,'1CF'!$A33)</f>
        <v>84456</v>
      </c>
      <c r="AE33" s="330">
        <f>-SUMIFS('1BS'!AA$3:AA$68,'1BS'!$X$3:$X$68,'1CF'!$A33)+SUMIFS('1BS'!AA$69:AA$124,'1BS'!$X$69:$X$124,'1CF'!$A33)</f>
        <v>0</v>
      </c>
      <c r="AF33" s="330">
        <f>-SUMIFS('1BS'!AB$3:AB$68,'1BS'!$X$3:$X$68,'1CF'!$A33)+SUMIFS('1BS'!AB$69:AB$124,'1BS'!$X$69:$X$124,'1CF'!$A33)</f>
        <v>0</v>
      </c>
      <c r="AG33" s="330">
        <f>-SUMIFS('1BS'!AC$3:AC$68,'1BS'!$X$3:$X$68,'1CF'!$A33)+SUMIFS('1BS'!AC$69:AC$124,'1BS'!$X$69:$X$124,'1CF'!$A33)</f>
        <v>0</v>
      </c>
      <c r="AH33" s="330">
        <f>-SUMIFS('1BS'!AD$3:AD$68,'1BS'!$X$3:$X$68,'1CF'!$A33)+SUMIFS('1BS'!AD$69:AD$124,'1BS'!$X$69:$X$124,'1CF'!$A33)</f>
        <v>0</v>
      </c>
      <c r="AI33" s="330">
        <f>-SUMIFS('1BS'!AE$3:AE$68,'1BS'!$X$3:$X$68,'1CF'!$A33)+SUMIFS('1BS'!AE$69:AE$124,'1BS'!$X$69:$X$124,'1CF'!$A33)</f>
        <v>0</v>
      </c>
      <c r="AJ33" s="330">
        <f>-SUMIFS('1BS'!AF$3:AF$68,'1BS'!$X$3:$X$68,'1CF'!$A33)+SUMIFS('1BS'!AF$69:AF$124,'1BS'!$X$69:$X$124,'1CF'!$A33)</f>
        <v>0</v>
      </c>
      <c r="AM33" s="330" t="s">
        <v>613</v>
      </c>
    </row>
    <row r="34" spans="1:39" s="330" customFormat="1">
      <c r="A34" s="327">
        <v>26</v>
      </c>
      <c r="B34" s="332" t="s">
        <v>625</v>
      </c>
      <c r="C34" s="329"/>
      <c r="D34" s="330">
        <f>SUMIFS(CF!K:K,CF!$A:$A,'1CF'!$A$34)</f>
        <v>66048</v>
      </c>
      <c r="E34" s="330">
        <f>SUMIFS(CF!L:L,CF!$A:$A,'1CF'!$A$34)</f>
        <v>28340</v>
      </c>
      <c r="F34" s="330">
        <f>SUMIFS(CF!M:M,CF!$A:$A,'1CF'!$A$34)</f>
        <v>82063</v>
      </c>
      <c r="G34" s="330">
        <f>SUMIFS(CF!N:N,CF!$A:$A,'1CF'!$A$34)</f>
        <v>0</v>
      </c>
      <c r="H34" s="330">
        <f>SUMIFS(CF!O:O,CF!$A:$A,'1CF'!$A$34)</f>
        <v>444561</v>
      </c>
      <c r="I34" s="330">
        <f>SUMIFS(CF!P:P,CF!$A:$A,'1CF'!$A$34)</f>
        <v>0</v>
      </c>
      <c r="J34" s="330">
        <f>SUMIFS(CF!Q:Q,CF!$A:$A,'1CF'!$A$34)</f>
        <v>0</v>
      </c>
      <c r="K34" s="330">
        <f>SUMIFS(CF!R:R,CF!$A:$A,'1CF'!$A$34)</f>
        <v>0</v>
      </c>
      <c r="L34" s="331">
        <f>SUMIFS(CF!S:S,CF!$A:$A,'1CF'!$A$34)</f>
        <v>0</v>
      </c>
      <c r="M34" s="330">
        <f t="shared" si="13"/>
        <v>0</v>
      </c>
      <c r="N34" s="330">
        <f t="shared" si="12"/>
        <v>0</v>
      </c>
      <c r="O34" s="330">
        <f t="shared" si="12"/>
        <v>0</v>
      </c>
      <c r="P34" s="330">
        <f t="shared" si="12"/>
        <v>0</v>
      </c>
      <c r="Q34" s="330">
        <f t="shared" si="12"/>
        <v>0</v>
      </c>
      <c r="R34" s="330">
        <f t="shared" si="12"/>
        <v>0</v>
      </c>
      <c r="AC34" s="330">
        <f>-SUMIFS('1BS'!Y$3:Y$68,'1BS'!$X$3:$X$68,'1CF'!$A34)+SUMIFS('1BS'!Y$69:Y$124,'1BS'!$X$69:$X$124,'1CF'!$A34)</f>
        <v>0</v>
      </c>
      <c r="AD34" s="330">
        <f>-SUMIFS('1BS'!Z$3:Z$68,'1BS'!$X$3:$X$68,'1CF'!$A34)+SUMIFS('1BS'!Z$69:Z$124,'1BS'!$X$69:$X$124,'1CF'!$A34)</f>
        <v>0</v>
      </c>
      <c r="AE34" s="330">
        <f>-SUMIFS('1BS'!AA$3:AA$68,'1BS'!$X$3:$X$68,'1CF'!$A34)+SUMIFS('1BS'!AA$69:AA$124,'1BS'!$X$69:$X$124,'1CF'!$A34)</f>
        <v>0</v>
      </c>
      <c r="AF34" s="330">
        <f>-SUMIFS('1BS'!AB$3:AB$68,'1BS'!$X$3:$X$68,'1CF'!$A34)+SUMIFS('1BS'!AB$69:AB$124,'1BS'!$X$69:$X$124,'1CF'!$A34)</f>
        <v>0</v>
      </c>
      <c r="AG34" s="330">
        <f>-SUMIFS('1BS'!AC$3:AC$68,'1BS'!$X$3:$X$68,'1CF'!$A34)+SUMIFS('1BS'!AC$69:AC$124,'1BS'!$X$69:$X$124,'1CF'!$A34)</f>
        <v>0</v>
      </c>
      <c r="AH34" s="330">
        <f>-SUMIFS('1BS'!AD$3:AD$68,'1BS'!$X$3:$X$68,'1CF'!$A34)+SUMIFS('1BS'!AD$69:AD$124,'1BS'!$X$69:$X$124,'1CF'!$A34)</f>
        <v>0</v>
      </c>
      <c r="AI34" s="330">
        <f>-SUMIFS('1BS'!AE$3:AE$68,'1BS'!$X$3:$X$68,'1CF'!$A34)+SUMIFS('1BS'!AE$69:AE$124,'1BS'!$X$69:$X$124,'1CF'!$A34)</f>
        <v>0</v>
      </c>
      <c r="AJ34" s="330">
        <f>-SUMIFS('1BS'!AF$3:AF$68,'1BS'!$X$3:$X$68,'1CF'!$A34)+SUMIFS('1BS'!AF$69:AF$124,'1BS'!$X$69:$X$124,'1CF'!$A34)</f>
        <v>0</v>
      </c>
      <c r="AM34" s="330" t="s">
        <v>595</v>
      </c>
    </row>
    <row r="35" spans="1:39" s="330" customFormat="1">
      <c r="A35" s="327">
        <v>27</v>
      </c>
      <c r="B35" s="332" t="s">
        <v>626</v>
      </c>
      <c r="C35" s="329"/>
      <c r="D35" s="330">
        <f>SUMIFS(CF!K:K,CF!$A:$A,'1CF'!$A$35)</f>
        <v>678089</v>
      </c>
      <c r="E35" s="330">
        <f>SUMIFS(CF!L:L,CF!$A:$A,'1CF'!$A$35)</f>
        <v>934229</v>
      </c>
      <c r="F35" s="330">
        <f>SUMIFS(CF!M:M,CF!$A:$A,'1CF'!$A$35)</f>
        <v>955091</v>
      </c>
      <c r="G35" s="330">
        <f>SUMIFS(CF!N:N,CF!$A:$A,'1CF'!$A$35)</f>
        <v>1023969</v>
      </c>
      <c r="H35" s="330">
        <f>SUMIFS(CF!O:O,CF!$A:$A,'1CF'!$A$35)</f>
        <v>1111566</v>
      </c>
      <c r="I35" s="330">
        <f>SUMIFS(CF!P:P,CF!$A:$A,'1CF'!$A$35)</f>
        <v>1013860</v>
      </c>
      <c r="J35" s="330">
        <f>SUMIFS(CF!Q:Q,CF!$A:$A,'1CF'!$A$35)</f>
        <v>1363536</v>
      </c>
      <c r="K35" s="330">
        <f>SUMIFS(CF!R:R,CF!$A:$A,'1CF'!$A$35)</f>
        <v>1387124</v>
      </c>
      <c r="L35" s="331">
        <f>SUMIFS(CF!S:S,CF!$A:$A,'1CF'!$A$35)</f>
        <v>1462274</v>
      </c>
      <c r="M35" s="330">
        <f>V35+AE35</f>
        <v>960583.19962457812</v>
      </c>
      <c r="N35" s="330">
        <f t="shared" si="12"/>
        <v>913313.44559499959</v>
      </c>
      <c r="O35" s="330">
        <f t="shared" si="12"/>
        <v>906594.42290540854</v>
      </c>
      <c r="P35" s="330">
        <f t="shared" si="12"/>
        <v>904404.95931077644</v>
      </c>
      <c r="Q35" s="330">
        <f t="shared" si="12"/>
        <v>901260.30069071427</v>
      </c>
      <c r="R35" s="330">
        <f t="shared" si="12"/>
        <v>924798.59127347788</v>
      </c>
      <c r="T35" s="330">
        <f>-T11</f>
        <v>1044633</v>
      </c>
      <c r="U35" s="330">
        <f t="shared" ref="U35:AA35" si="14">-U11</f>
        <v>995208</v>
      </c>
      <c r="V35" s="330">
        <f t="shared" si="14"/>
        <v>960583.19962457812</v>
      </c>
      <c r="W35" s="330">
        <f t="shared" si="14"/>
        <v>913313.44559499959</v>
      </c>
      <c r="X35" s="330">
        <f t="shared" si="14"/>
        <v>906594.42290540854</v>
      </c>
      <c r="Y35" s="330">
        <f t="shared" si="14"/>
        <v>904404.95931077644</v>
      </c>
      <c r="Z35" s="330">
        <f t="shared" si="14"/>
        <v>901260.30069071427</v>
      </c>
      <c r="AA35" s="330">
        <f t="shared" si="14"/>
        <v>924798.59127347788</v>
      </c>
      <c r="AC35" s="330">
        <f>-SUMIFS('1BS'!Y$3:Y$68,'1BS'!$X$3:$X$68,'1CF'!$A35)+SUMIFS('1BS'!Y$69:Y$124,'1BS'!$X$69:$X$124,'1CF'!$A35)</f>
        <v>0</v>
      </c>
      <c r="AD35" s="330">
        <f>-SUMIFS('1BS'!Z$3:Z$68,'1BS'!$X$3:$X$68,'1CF'!$A35)+SUMIFS('1BS'!Z$69:Z$124,'1BS'!$X$69:$X$124,'1CF'!$A35)</f>
        <v>0</v>
      </c>
      <c r="AE35" s="330">
        <f>-SUMIFS('1BS'!AA$3:AA$68,'1BS'!$X$3:$X$68,'1CF'!$A35)+SUMIFS('1BS'!AA$69:AA$124,'1BS'!$X$69:$X$124,'1CF'!$A35)</f>
        <v>0</v>
      </c>
      <c r="AF35" s="330">
        <f>-SUMIFS('1BS'!AB$3:AB$68,'1BS'!$X$3:$X$68,'1CF'!$A35)+SUMIFS('1BS'!AB$69:AB$124,'1BS'!$X$69:$X$124,'1CF'!$A35)</f>
        <v>0</v>
      </c>
      <c r="AG35" s="330">
        <f>-SUMIFS('1BS'!AC$3:AC$68,'1BS'!$X$3:$X$68,'1CF'!$A35)+SUMIFS('1BS'!AC$69:AC$124,'1BS'!$X$69:$X$124,'1CF'!$A35)</f>
        <v>0</v>
      </c>
      <c r="AH35" s="330">
        <f>-SUMIFS('1BS'!AD$3:AD$68,'1BS'!$X$3:$X$68,'1CF'!$A35)+SUMIFS('1BS'!AD$69:AD$124,'1BS'!$X$69:$X$124,'1CF'!$A35)</f>
        <v>0</v>
      </c>
      <c r="AI35" s="330">
        <f>-SUMIFS('1BS'!AE$3:AE$68,'1BS'!$X$3:$X$68,'1CF'!$A35)+SUMIFS('1BS'!AE$69:AE$124,'1BS'!$X$69:$X$124,'1CF'!$A35)</f>
        <v>0</v>
      </c>
      <c r="AJ35" s="330">
        <f>-SUMIFS('1BS'!AF$3:AF$68,'1BS'!$X$3:$X$68,'1CF'!$A35)+SUMIFS('1BS'!AF$69:AF$124,'1BS'!$X$69:$X$124,'1CF'!$A35)</f>
        <v>0</v>
      </c>
      <c r="AM35" s="330" t="s">
        <v>595</v>
      </c>
    </row>
    <row r="36" spans="1:39" s="330" customFormat="1">
      <c r="A36" s="327"/>
      <c r="B36" s="332"/>
      <c r="C36" s="329"/>
      <c r="L36" s="331"/>
      <c r="AM36" s="330" t="s">
        <v>595</v>
      </c>
    </row>
    <row r="37" spans="1:39" s="330" customFormat="1">
      <c r="A37" s="327">
        <v>30</v>
      </c>
      <c r="B37" s="328" t="s">
        <v>627</v>
      </c>
      <c r="C37" s="329"/>
      <c r="D37" s="333">
        <f>CF!K38</f>
        <v>-2820518</v>
      </c>
      <c r="E37" s="333">
        <f>CF!L38</f>
        <v>-311248</v>
      </c>
      <c r="F37" s="333">
        <f>CF!M38</f>
        <v>-4109044</v>
      </c>
      <c r="G37" s="333">
        <f>CF!N38</f>
        <v>-1523225</v>
      </c>
      <c r="H37" s="333">
        <f>CF!O38</f>
        <v>-1223348</v>
      </c>
      <c r="I37" s="333">
        <f>CF!P38</f>
        <v>-1867768</v>
      </c>
      <c r="J37" s="333">
        <f>CF!Q38</f>
        <v>2715583</v>
      </c>
      <c r="K37" s="333">
        <f>CF!R38</f>
        <v>18884</v>
      </c>
      <c r="L37" s="635">
        <f>CF!S38</f>
        <v>2423075</v>
      </c>
      <c r="M37" s="333">
        <f>SUM(M29:M35)</f>
        <v>1157062.3102342309</v>
      </c>
      <c r="N37" s="333">
        <f>SUM(N29:N35)</f>
        <v>1630789.3910295605</v>
      </c>
      <c r="O37" s="333">
        <f t="shared" ref="O37:R37" si="15">SUM(O29:O35)</f>
        <v>1058171.727803634</v>
      </c>
      <c r="P37" s="333">
        <f t="shared" si="15"/>
        <v>800539.80580687569</v>
      </c>
      <c r="Q37" s="333">
        <f t="shared" si="15"/>
        <v>895529.06746309402</v>
      </c>
      <c r="R37" s="333">
        <f t="shared" si="15"/>
        <v>514267.33962441504</v>
      </c>
      <c r="AC37" s="333">
        <f>SUM(AC29:AC35)</f>
        <v>-185828</v>
      </c>
      <c r="AD37" s="333">
        <f t="shared" ref="AD37:AJ37" si="16">SUM(AD29:AD35)</f>
        <v>-3678508</v>
      </c>
      <c r="AE37" s="333">
        <f>SUM(AE29:AE35)</f>
        <v>196479.11060965271</v>
      </c>
      <c r="AF37" s="333">
        <f t="shared" si="16"/>
        <v>717475.94543456088</v>
      </c>
      <c r="AG37" s="333">
        <f t="shared" si="16"/>
        <v>151577.30489822559</v>
      </c>
      <c r="AH37" s="333">
        <f t="shared" si="16"/>
        <v>-103865.15350390077</v>
      </c>
      <c r="AI37" s="333">
        <f t="shared" si="16"/>
        <v>-5731.2332276202069</v>
      </c>
      <c r="AJ37" s="333">
        <f t="shared" si="16"/>
        <v>-410531.25164906285</v>
      </c>
      <c r="AM37" s="330" t="s">
        <v>595</v>
      </c>
    </row>
    <row r="38" spans="1:39" s="330" customFormat="1">
      <c r="A38" s="327"/>
      <c r="B38" s="332"/>
      <c r="C38" s="329"/>
      <c r="L38" s="331"/>
      <c r="AM38" s="330" t="s">
        <v>595</v>
      </c>
    </row>
    <row r="39" spans="1:39" s="330" customFormat="1">
      <c r="A39" s="335"/>
      <c r="B39" s="336"/>
      <c r="C39" s="337"/>
      <c r="L39" s="331"/>
      <c r="AM39" s="330" t="s">
        <v>595</v>
      </c>
    </row>
    <row r="40" spans="1:39" s="330" customFormat="1" ht="14.5" customHeight="1">
      <c r="A40" s="335"/>
      <c r="B40" s="332" t="s">
        <v>628</v>
      </c>
      <c r="C40" s="337"/>
      <c r="L40" s="331"/>
      <c r="AM40" s="330" t="s">
        <v>595</v>
      </c>
    </row>
    <row r="41" spans="1:39" s="330" customFormat="1" ht="14.5" customHeight="1">
      <c r="A41" s="338">
        <v>31</v>
      </c>
      <c r="B41" s="332" t="s">
        <v>629</v>
      </c>
      <c r="C41" s="339"/>
      <c r="D41" s="330">
        <f>SUMIFS(CF!K:K,CF!$A:$A,'1CF'!$A$41)</f>
        <v>67208</v>
      </c>
      <c r="E41" s="330">
        <f>SUMIFS(CF!L:L,CF!$A:$A,'1CF'!$A$41)</f>
        <v>0</v>
      </c>
      <c r="F41" s="330">
        <f>SUMIFS(CF!M:M,CF!$A:$A,'1CF'!$A$41)</f>
        <v>0</v>
      </c>
      <c r="G41" s="330">
        <f>SUMIFS(CF!N:N,CF!$A:$A,'1CF'!$A$41)</f>
        <v>0</v>
      </c>
      <c r="H41" s="330">
        <f>SUMIFS(CF!O:O,CF!$A:$A,'1CF'!$A$41)</f>
        <v>0</v>
      </c>
      <c r="I41" s="330">
        <f>SUMIFS(CF!P:P,CF!$A:$A,'1CF'!$A$41)</f>
        <v>0</v>
      </c>
      <c r="J41" s="330">
        <f>SUMIFS(CF!Q:Q,CF!$A:$A,'1CF'!$A$41)</f>
        <v>0</v>
      </c>
      <c r="K41" s="330">
        <f>SUMIFS(CF!R:R,CF!$A:$A,'1CF'!$A$41)</f>
        <v>0</v>
      </c>
      <c r="L41" s="331">
        <f>SUMIFS(CF!S:S,CF!$A:$A,'1CF'!$A$41)</f>
        <v>0</v>
      </c>
      <c r="M41" s="330">
        <f t="shared" ref="M41:Q45" si="17">V41+AE41</f>
        <v>0</v>
      </c>
      <c r="N41" s="330">
        <f t="shared" si="17"/>
        <v>0</v>
      </c>
      <c r="O41" s="330">
        <f t="shared" si="17"/>
        <v>0</v>
      </c>
      <c r="P41" s="330">
        <f t="shared" si="17"/>
        <v>0</v>
      </c>
      <c r="Q41" s="330">
        <f t="shared" si="17"/>
        <v>0</v>
      </c>
      <c r="R41" s="330">
        <f>AB41+AJ41</f>
        <v>0</v>
      </c>
      <c r="AC41" s="330">
        <f>-SUMIFS('1BS'!Y$3:Y$68,'1BS'!$X$3:$X$68,'1CF'!$A41)+SUMIFS('1BS'!Y$69:Y$124,'1BS'!$X$69:$X$124,'1CF'!$A41)</f>
        <v>0</v>
      </c>
      <c r="AD41" s="330">
        <f>-SUMIFS('1BS'!Z$3:Z$68,'1BS'!$X$3:$X$68,'1CF'!$A41)+SUMIFS('1BS'!Z$69:Z$124,'1BS'!$X$69:$X$124,'1CF'!$A41)</f>
        <v>0</v>
      </c>
      <c r="AE41" s="330">
        <f>-SUMIFS('1BS'!AA$3:AA$68,'1BS'!$X$3:$X$68,'1CF'!$A41)+SUMIFS('1BS'!AA$69:AA$124,'1BS'!$X$69:$X$124,'1CF'!$A41)</f>
        <v>0</v>
      </c>
      <c r="AF41" s="330">
        <f>-SUMIFS('1BS'!AB$3:AB$68,'1BS'!$X$3:$X$68,'1CF'!$A41)+SUMIFS('1BS'!AB$69:AB$124,'1BS'!$X$69:$X$124,'1CF'!$A41)</f>
        <v>0</v>
      </c>
      <c r="AG41" s="330">
        <f>-SUMIFS('1BS'!AC$3:AC$68,'1BS'!$X$3:$X$68,'1CF'!$A41)+SUMIFS('1BS'!AC$69:AC$124,'1BS'!$X$69:$X$124,'1CF'!$A41)</f>
        <v>0</v>
      </c>
      <c r="AH41" s="330">
        <f>-SUMIFS('1BS'!AD$3:AD$68,'1BS'!$X$3:$X$68,'1CF'!$A41)+SUMIFS('1BS'!AD$69:AD$124,'1BS'!$X$69:$X$124,'1CF'!$A41)</f>
        <v>0</v>
      </c>
      <c r="AI41" s="330">
        <f>-SUMIFS('1BS'!AE$3:AE$68,'1BS'!$X$3:$X$68,'1CF'!$A41)+SUMIFS('1BS'!AE$69:AE$124,'1BS'!$X$69:$X$124,'1CF'!$A41)</f>
        <v>0</v>
      </c>
      <c r="AJ41" s="330">
        <f>-SUMIFS('1BS'!AF$3:AF$68,'1BS'!$X$3:$X$68,'1CF'!$A41)+SUMIFS('1BS'!AF$69:AF$124,'1BS'!$X$69:$X$124,'1CF'!$A41)</f>
        <v>0</v>
      </c>
      <c r="AM41" s="330" t="s">
        <v>595</v>
      </c>
    </row>
    <row r="42" spans="1:39" s="330" customFormat="1" ht="14.5" customHeight="1">
      <c r="A42" s="338">
        <v>32</v>
      </c>
      <c r="B42" s="332" t="s">
        <v>630</v>
      </c>
      <c r="C42" s="339"/>
      <c r="D42" s="330">
        <f>SUMIFS(CF!K:K,CF!$A:$A,'1CF'!$A$42)</f>
        <v>0</v>
      </c>
      <c r="E42" s="330">
        <f>SUMIFS(CF!L:L,CF!$A:$A,'1CF'!$A$42)</f>
        <v>0</v>
      </c>
      <c r="F42" s="330">
        <f>SUMIFS(CF!M:M,CF!$A:$A,'1CF'!$A$42)</f>
        <v>0</v>
      </c>
      <c r="G42" s="330">
        <f>SUMIFS(CF!N:N,CF!$A:$A,'1CF'!$A$42)</f>
        <v>0</v>
      </c>
      <c r="H42" s="330">
        <f>SUMIFS(CF!O:O,CF!$A:$A,'1CF'!$A$42)</f>
        <v>0</v>
      </c>
      <c r="I42" s="330">
        <f>SUMIFS(CF!P:P,CF!$A:$A,'1CF'!$A$42)</f>
        <v>0</v>
      </c>
      <c r="J42" s="330">
        <f>SUMIFS(CF!Q:Q,CF!$A:$A,'1CF'!$A$42)</f>
        <v>0</v>
      </c>
      <c r="K42" s="330">
        <f>SUMIFS(CF!R:R,CF!$A:$A,'1CF'!$A$42)</f>
        <v>0</v>
      </c>
      <c r="L42" s="331">
        <f>SUMIFS(CF!S:S,CF!$A:$A,'1CF'!$A$42)</f>
        <v>0</v>
      </c>
      <c r="M42" s="330">
        <f t="shared" si="17"/>
        <v>0</v>
      </c>
      <c r="N42" s="330">
        <f t="shared" si="17"/>
        <v>0</v>
      </c>
      <c r="O42" s="330">
        <f t="shared" si="17"/>
        <v>0</v>
      </c>
      <c r="P42" s="330">
        <f t="shared" si="17"/>
        <v>0</v>
      </c>
      <c r="Q42" s="330">
        <f t="shared" si="17"/>
        <v>0</v>
      </c>
      <c r="R42" s="330">
        <f>AB42+AJ42</f>
        <v>0</v>
      </c>
      <c r="AC42" s="330">
        <f>-SUMIFS('1BS'!Y$3:Y$68,'1BS'!$X$3:$X$68,'1CF'!$A42)+SUMIFS('1BS'!Y$69:Y$124,'1BS'!$X$69:$X$124,'1CF'!$A42)</f>
        <v>0</v>
      </c>
      <c r="AD42" s="330">
        <f>-SUMIFS('1BS'!Z$3:Z$68,'1BS'!$X$3:$X$68,'1CF'!$A42)+SUMIFS('1BS'!Z$69:Z$124,'1BS'!$X$69:$X$124,'1CF'!$A42)</f>
        <v>0</v>
      </c>
      <c r="AE42" s="330">
        <f>-SUMIFS('1BS'!AA$3:AA$68,'1BS'!$X$3:$X$68,'1CF'!$A42)+SUMIFS('1BS'!AA$69:AA$124,'1BS'!$X$69:$X$124,'1CF'!$A42)</f>
        <v>0</v>
      </c>
      <c r="AF42" s="330">
        <f>-SUMIFS('1BS'!AB$3:AB$68,'1BS'!$X$3:$X$68,'1CF'!$A42)+SUMIFS('1BS'!AB$69:AB$124,'1BS'!$X$69:$X$124,'1CF'!$A42)</f>
        <v>0</v>
      </c>
      <c r="AG42" s="330">
        <f>-SUMIFS('1BS'!AC$3:AC$68,'1BS'!$X$3:$X$68,'1CF'!$A42)+SUMIFS('1BS'!AC$69:AC$124,'1BS'!$X$69:$X$124,'1CF'!$A42)</f>
        <v>0</v>
      </c>
      <c r="AH42" s="330">
        <f>-SUMIFS('1BS'!AD$3:AD$68,'1BS'!$X$3:$X$68,'1CF'!$A42)+SUMIFS('1BS'!AD$69:AD$124,'1BS'!$X$69:$X$124,'1CF'!$A42)</f>
        <v>0</v>
      </c>
      <c r="AI42" s="330">
        <f>-SUMIFS('1BS'!AE$3:AE$68,'1BS'!$X$3:$X$68,'1CF'!$A42)+SUMIFS('1BS'!AE$69:AE$124,'1BS'!$X$69:$X$124,'1CF'!$A42)</f>
        <v>0</v>
      </c>
      <c r="AJ42" s="330">
        <f>-SUMIFS('1BS'!AF$3:AF$68,'1BS'!$X$3:$X$68,'1CF'!$A42)+SUMIFS('1BS'!AF$69:AF$124,'1BS'!$X$69:$X$124,'1CF'!$A42)</f>
        <v>0</v>
      </c>
      <c r="AM42" s="330" t="s">
        <v>595</v>
      </c>
    </row>
    <row r="43" spans="1:39" s="330" customFormat="1" ht="14.5" customHeight="1">
      <c r="A43" s="338">
        <v>33</v>
      </c>
      <c r="B43" s="332" t="s">
        <v>631</v>
      </c>
      <c r="C43" s="339"/>
      <c r="D43" s="330">
        <f>SUMIFS(CF!K:K,CF!$A:$A,'1CF'!$A$43)</f>
        <v>3541517</v>
      </c>
      <c r="E43" s="330">
        <f>SUMIFS(CF!L:L,CF!$A:$A,'1CF'!$A$43)</f>
        <v>3255664</v>
      </c>
      <c r="F43" s="330">
        <f>SUMIFS(CF!M:M,CF!$A:$A,'1CF'!$A$43)</f>
        <v>3235968</v>
      </c>
      <c r="G43" s="330">
        <f>SUMIFS(CF!N:N,CF!$A:$A,'1CF'!$A$43)</f>
        <v>3061076</v>
      </c>
      <c r="H43" s="330">
        <f>SUMIFS(CF!O:O,CF!$A:$A,'1CF'!$A$43)</f>
        <v>2984179</v>
      </c>
      <c r="I43" s="330">
        <f>SUMIFS(CF!P:P,CF!$A:$A,'1CF'!$A$43)</f>
        <v>3279891</v>
      </c>
      <c r="J43" s="330">
        <f>SUMIFS(CF!Q:Q,CF!$A:$A,'1CF'!$A$43)</f>
        <v>4130545</v>
      </c>
      <c r="K43" s="330">
        <f>SUMIFS(CF!R:R,CF!$A:$A,'1CF'!$A$43)</f>
        <v>2934074</v>
      </c>
      <c r="L43" s="331">
        <f>SUMIFS(CF!S:S,CF!$A:$A,'1CF'!$A$43)</f>
        <v>2791553</v>
      </c>
      <c r="M43" s="330">
        <f>V43+AE43</f>
        <v>22700.633038963599</v>
      </c>
      <c r="N43" s="330">
        <f t="shared" si="17"/>
        <v>23383.996931727277</v>
      </c>
      <c r="O43" s="330">
        <f t="shared" si="17"/>
        <v>25772.533757347963</v>
      </c>
      <c r="P43" s="330">
        <f t="shared" si="17"/>
        <v>28377.173190181027</v>
      </c>
      <c r="Q43" s="330">
        <f t="shared" si="17"/>
        <v>31217.467089901911</v>
      </c>
      <c r="R43" s="330">
        <f>AB43+AJ43</f>
        <v>34314.736268544744</v>
      </c>
      <c r="AC43" s="330">
        <f>-SUMIFS('1BS'!Y$3:Y$68,'1BS'!$X$3:$X$68,'1CF'!$A43)+SUMIFS('1BS'!Y$69:Y$124,'1BS'!$X$69:$X$124,'1CF'!$A43)</f>
        <v>-284741</v>
      </c>
      <c r="AD43" s="330">
        <f>-SUMIFS('1BS'!Z$3:Z$68,'1BS'!$X$3:$X$68,'1CF'!$A43)+SUMIFS('1BS'!Z$69:Z$124,'1BS'!$X$69:$X$124,'1CF'!$A43)</f>
        <v>40740</v>
      </c>
      <c r="AE43" s="330">
        <f>-SUMIFS('1BS'!AA$3:AA$68,'1BS'!$X$3:$X$68,'1CF'!$A43)+SUMIFS('1BS'!AA$69:AA$124,'1BS'!$X$69:$X$124,'1CF'!$A43)</f>
        <v>22700.633038963599</v>
      </c>
      <c r="AF43" s="330">
        <f>-SUMIFS('1BS'!AB$3:AB$68,'1BS'!$X$3:$X$68,'1CF'!$A43)+SUMIFS('1BS'!AB$69:AB$124,'1BS'!$X$69:$X$124,'1CF'!$A43)</f>
        <v>23383.996931727277</v>
      </c>
      <c r="AG43" s="330">
        <f>-SUMIFS('1BS'!AC$3:AC$68,'1BS'!$X$3:$X$68,'1CF'!$A43)+SUMIFS('1BS'!AC$69:AC$124,'1BS'!$X$69:$X$124,'1CF'!$A43)</f>
        <v>25772.533757347963</v>
      </c>
      <c r="AH43" s="330">
        <f>-SUMIFS('1BS'!AD$3:AD$68,'1BS'!$X$3:$X$68,'1CF'!$A43)+SUMIFS('1BS'!AD$69:AD$124,'1BS'!$X$69:$X$124,'1CF'!$A43)</f>
        <v>28377.173190181027</v>
      </c>
      <c r="AI43" s="330">
        <f>-SUMIFS('1BS'!AE$3:AE$68,'1BS'!$X$3:$X$68,'1CF'!$A43)+SUMIFS('1BS'!AE$69:AE$124,'1BS'!$X$69:$X$124,'1CF'!$A43)</f>
        <v>31217.467089901911</v>
      </c>
      <c r="AJ43" s="330">
        <f>-SUMIFS('1BS'!AF$3:AF$68,'1BS'!$X$3:$X$68,'1CF'!$A43)+SUMIFS('1BS'!AF$69:AF$124,'1BS'!$X$69:$X$124,'1CF'!$A43)</f>
        <v>34314.736268544744</v>
      </c>
      <c r="AK43" s="330" t="s">
        <v>632</v>
      </c>
      <c r="AM43" s="330" t="s">
        <v>595</v>
      </c>
    </row>
    <row r="44" spans="1:39" s="330" customFormat="1" ht="14.5" customHeight="1">
      <c r="A44" s="338">
        <v>34</v>
      </c>
      <c r="B44" s="332" t="s">
        <v>633</v>
      </c>
      <c r="C44" s="339"/>
      <c r="D44" s="330">
        <f>SUMIFS(CF!K:K,CF!$A:$A,'1CF'!$A$44)</f>
        <v>-4023394</v>
      </c>
      <c r="E44" s="330">
        <f>SUMIFS(CF!L:L,CF!$A:$A,'1CF'!$A$44)</f>
        <v>-3371649</v>
      </c>
      <c r="F44" s="330">
        <f>SUMIFS(CF!M:M,CF!$A:$A,'1CF'!$A$44)</f>
        <v>-3346480</v>
      </c>
      <c r="G44" s="330">
        <f>SUMIFS(CF!N:N,CF!$A:$A,'1CF'!$A$44)</f>
        <v>-3309442</v>
      </c>
      <c r="H44" s="330">
        <f>SUMIFS(CF!O:O,CF!$A:$A,'1CF'!$A$44)</f>
        <v>-3301894</v>
      </c>
      <c r="I44" s="330">
        <f>SUMIFS(CF!P:P,CF!$A:$A,'1CF'!$A$44)</f>
        <v>-2908733</v>
      </c>
      <c r="J44" s="330">
        <f>SUMIFS(CF!Q:Q,CF!$A:$A,'1CF'!$A$44)</f>
        <v>-4461478</v>
      </c>
      <c r="K44" s="330">
        <f>SUMIFS(CF!R:R,CF!$A:$A,'1CF'!$A$44)</f>
        <v>-3218974</v>
      </c>
      <c r="L44" s="331">
        <f>SUMIFS(CF!S:S,CF!$A:$A,'1CF'!$A$44)</f>
        <v>-3066634</v>
      </c>
      <c r="M44" s="330">
        <f t="shared" si="17"/>
        <v>0</v>
      </c>
      <c r="N44" s="330">
        <f t="shared" si="17"/>
        <v>0</v>
      </c>
      <c r="O44" s="330">
        <f t="shared" si="17"/>
        <v>0</v>
      </c>
      <c r="P44" s="330">
        <f t="shared" si="17"/>
        <v>0</v>
      </c>
      <c r="Q44" s="330">
        <f t="shared" si="17"/>
        <v>0</v>
      </c>
      <c r="R44" s="330">
        <f>AB44+AJ44</f>
        <v>0</v>
      </c>
      <c r="AC44" s="330">
        <f>-SUMIFS('1BS'!Y$3:Y$68,'1BS'!$X$3:$X$68,'1CF'!$A44)+SUMIFS('1BS'!Y$69:Y$124,'1BS'!$X$69:$X$124,'1CF'!$A44)</f>
        <v>0</v>
      </c>
      <c r="AD44" s="330">
        <f>-SUMIFS('1BS'!Z$3:Z$68,'1BS'!$X$3:$X$68,'1CF'!$A44)+SUMIFS('1BS'!Z$69:Z$124,'1BS'!$X$69:$X$124,'1CF'!$A44)</f>
        <v>0</v>
      </c>
      <c r="AE44" s="330">
        <f>-SUMIFS('1BS'!AA$3:AA$68,'1BS'!$X$3:$X$68,'1CF'!$A44)+SUMIFS('1BS'!AA$69:AA$124,'1BS'!$X$69:$X$124,'1CF'!$A44)</f>
        <v>0</v>
      </c>
      <c r="AF44" s="330">
        <f>-SUMIFS('1BS'!AB$3:AB$68,'1BS'!$X$3:$X$68,'1CF'!$A44)+SUMIFS('1BS'!AB$69:AB$124,'1BS'!$X$69:$X$124,'1CF'!$A44)</f>
        <v>0</v>
      </c>
      <c r="AG44" s="330">
        <f>-SUMIFS('1BS'!AC$3:AC$68,'1BS'!$X$3:$X$68,'1CF'!$A44)+SUMIFS('1BS'!AC$69:AC$124,'1BS'!$X$69:$X$124,'1CF'!$A44)</f>
        <v>0</v>
      </c>
      <c r="AH44" s="330">
        <f>-SUMIFS('1BS'!AD$3:AD$68,'1BS'!$X$3:$X$68,'1CF'!$A44)+SUMIFS('1BS'!AD$69:AD$124,'1BS'!$X$69:$X$124,'1CF'!$A44)</f>
        <v>0</v>
      </c>
      <c r="AI44" s="330">
        <f>-SUMIFS('1BS'!AE$3:AE$68,'1BS'!$X$3:$X$68,'1CF'!$A44)+SUMIFS('1BS'!AE$69:AE$124,'1BS'!$X$69:$X$124,'1CF'!$A44)</f>
        <v>0</v>
      </c>
      <c r="AJ44" s="330">
        <f>-SUMIFS('1BS'!AF$3:AF$68,'1BS'!$X$3:$X$68,'1CF'!$A44)+SUMIFS('1BS'!AF$69:AF$124,'1BS'!$X$69:$X$124,'1CF'!$A44)</f>
        <v>0</v>
      </c>
      <c r="AM44" s="330" t="s">
        <v>595</v>
      </c>
    </row>
    <row r="45" spans="1:39" s="330" customFormat="1" ht="14.5" customHeight="1">
      <c r="A45" s="338">
        <v>35</v>
      </c>
      <c r="B45" s="332" t="s">
        <v>634</v>
      </c>
      <c r="C45" s="339"/>
      <c r="D45" s="330">
        <f>SUMIFS(CF!K:K,CF!$A:$A,'1CF'!$A$45)</f>
        <v>0</v>
      </c>
      <c r="E45" s="330">
        <f>SUMIFS(CF!L:L,CF!$A:$A,'1CF'!$A$45)</f>
        <v>0</v>
      </c>
      <c r="F45" s="330">
        <f>SUMIFS(CF!M:M,CF!$A:$A,'1CF'!$A$45)</f>
        <v>0</v>
      </c>
      <c r="G45" s="330">
        <f>SUMIFS(CF!N:N,CF!$A:$A,'1CF'!$A$45)</f>
        <v>-12727</v>
      </c>
      <c r="H45" s="330">
        <f>SUMIFS(CF!O:O,CF!$A:$A,'1CF'!$A$45)</f>
        <v>0</v>
      </c>
      <c r="I45" s="330">
        <f>SUMIFS(CF!P:P,CF!$A:$A,'1CF'!$A$45)</f>
        <v>0</v>
      </c>
      <c r="J45" s="330">
        <f>SUMIFS(CF!Q:Q,CF!$A:$A,'1CF'!$A$45)</f>
        <v>0</v>
      </c>
      <c r="K45" s="330">
        <f>SUMIFS(CF!R:R,CF!$A:$A,'1CF'!$A$45)</f>
        <v>0</v>
      </c>
      <c r="L45" s="331">
        <f>SUMIFS(CF!S:S,CF!$A:$A,'1CF'!$A$45)</f>
        <v>0</v>
      </c>
      <c r="M45" s="330">
        <f t="shared" si="17"/>
        <v>0</v>
      </c>
      <c r="N45" s="330">
        <f t="shared" si="17"/>
        <v>0</v>
      </c>
      <c r="O45" s="330">
        <f t="shared" si="17"/>
        <v>0</v>
      </c>
      <c r="P45" s="330">
        <f t="shared" si="17"/>
        <v>0</v>
      </c>
      <c r="Q45" s="330">
        <f t="shared" si="17"/>
        <v>0</v>
      </c>
      <c r="R45" s="330">
        <f>AB45+AJ45</f>
        <v>0</v>
      </c>
      <c r="AC45" s="330">
        <f>-SUMIFS('1BS'!Y$3:Y$68,'1BS'!$X$3:$X$68,'1CF'!$A45)+SUMIFS('1BS'!Y$69:Y$124,'1BS'!$X$69:$X$124,'1CF'!$A45)</f>
        <v>0</v>
      </c>
      <c r="AD45" s="330">
        <f>-SUMIFS('1BS'!Z$3:Z$68,'1BS'!$X$3:$X$68,'1CF'!$A45)+SUMIFS('1BS'!Z$69:Z$124,'1BS'!$X$69:$X$124,'1CF'!$A45)</f>
        <v>0</v>
      </c>
      <c r="AE45" s="330">
        <f>-SUMIFS('1BS'!AA$3:AA$68,'1BS'!$X$3:$X$68,'1CF'!$A45)+SUMIFS('1BS'!AA$69:AA$124,'1BS'!$X$69:$X$124,'1CF'!$A45)</f>
        <v>0</v>
      </c>
      <c r="AF45" s="330">
        <f>-SUMIFS('1BS'!AB$3:AB$68,'1BS'!$X$3:$X$68,'1CF'!$A45)+SUMIFS('1BS'!AB$69:AB$124,'1BS'!$X$69:$X$124,'1CF'!$A45)</f>
        <v>0</v>
      </c>
      <c r="AG45" s="330">
        <f>-SUMIFS('1BS'!AC$3:AC$68,'1BS'!$X$3:$X$68,'1CF'!$A45)+SUMIFS('1BS'!AC$69:AC$124,'1BS'!$X$69:$X$124,'1CF'!$A45)</f>
        <v>0</v>
      </c>
      <c r="AH45" s="330">
        <f>-SUMIFS('1BS'!AD$3:AD$68,'1BS'!$X$3:$X$68,'1CF'!$A45)+SUMIFS('1BS'!AD$69:AD$124,'1BS'!$X$69:$X$124,'1CF'!$A45)</f>
        <v>0</v>
      </c>
      <c r="AI45" s="330">
        <f>-SUMIFS('1BS'!AE$3:AE$68,'1BS'!$X$3:$X$68,'1CF'!$A45)+SUMIFS('1BS'!AE$69:AE$124,'1BS'!$X$69:$X$124,'1CF'!$A45)</f>
        <v>0</v>
      </c>
      <c r="AJ45" s="330">
        <f>-SUMIFS('1BS'!AF$3:AF$68,'1BS'!$X$3:$X$68,'1CF'!$A45)+SUMIFS('1BS'!AF$69:AF$124,'1BS'!$X$69:$X$124,'1CF'!$A45)</f>
        <v>0</v>
      </c>
      <c r="AM45" s="330" t="s">
        <v>595</v>
      </c>
    </row>
    <row r="46" spans="1:39" s="330" customFormat="1" ht="14.5" customHeight="1">
      <c r="A46" s="338">
        <v>36</v>
      </c>
      <c r="B46" s="332" t="s">
        <v>635</v>
      </c>
      <c r="C46" s="339"/>
      <c r="D46" s="330">
        <f>SUMIFS(CF!K:K,CF!$A:$A,'1CF'!$A$46)</f>
        <v>-1008865</v>
      </c>
      <c r="E46" s="330">
        <f>SUMIFS(CF!L:L,CF!$A:$A,'1CF'!$A$46)</f>
        <v>-3888749</v>
      </c>
      <c r="F46" s="330">
        <f>SUMIFS(CF!M:M,CF!$A:$A,'1CF'!$A$46)</f>
        <v>-1136965</v>
      </c>
      <c r="G46" s="330">
        <f>SUMIFS(CF!N:N,CF!$A:$A,'1CF'!$A$46)</f>
        <v>-3734027</v>
      </c>
      <c r="H46" s="330">
        <f>SUMIFS(CF!O:O,CF!$A:$A,'1CF'!$A$46)</f>
        <v>-1096307</v>
      </c>
      <c r="I46" s="330">
        <f>SUMIFS(CF!P:P,CF!$A:$A,'1CF'!$A$46)</f>
        <v>-2418865</v>
      </c>
      <c r="J46" s="330">
        <f>SUMIFS(CF!Q:Q,CF!$A:$A,'1CF'!$A$46)</f>
        <v>-3354093</v>
      </c>
      <c r="K46" s="330">
        <f>SUMIFS(CF!R:R,CF!$A:$A,'1CF'!$A$46)</f>
        <v>-4658550</v>
      </c>
      <c r="L46" s="331">
        <f>SUMIFS(CF!S:S,CF!$A:$A,'1CF'!$A$46)</f>
        <v>-6512668</v>
      </c>
      <c r="M46" s="330">
        <f>Equity!P25+Equity!P131</f>
        <v>-4821433.9799999995</v>
      </c>
      <c r="N46" s="330">
        <f>Equity!Q25+Equity!Q131</f>
        <v>-4790311.9695433984</v>
      </c>
      <c r="O46" s="330">
        <f>Equity!R25+Equity!R131</f>
        <v>-4765744.1607301254</v>
      </c>
      <c r="P46" s="330">
        <f>Equity!S25+Equity!S131</f>
        <v>-4748431.7765747942</v>
      </c>
      <c r="Q46" s="330">
        <f>Equity!T25+Equity!T131</f>
        <v>-4734909.0105298702</v>
      </c>
      <c r="R46" s="330">
        <f>Equity!U25+Equity!U131</f>
        <v>-4725452.7982520051</v>
      </c>
      <c r="T46" s="340"/>
      <c r="U46" s="340"/>
      <c r="V46" s="340"/>
      <c r="W46" s="340"/>
      <c r="X46" s="340"/>
      <c r="Y46" s="340"/>
      <c r="Z46" s="340"/>
      <c r="AA46" s="340"/>
      <c r="AC46" s="330">
        <f>-SUMIFS('1BS'!Y$3:Y$68,'1BS'!$X$3:$X$68,'1CF'!$A46)+SUMIFS('1BS'!Y$69:Y$124,'1BS'!$X$69:$X$124,'1CF'!$A46)</f>
        <v>0</v>
      </c>
      <c r="AD46" s="330">
        <f>-SUMIFS('1BS'!Z$3:Z$68,'1BS'!$X$3:$X$68,'1CF'!$A46)+SUMIFS('1BS'!Z$69:Z$124,'1BS'!$X$69:$X$124,'1CF'!$A46)</f>
        <v>0</v>
      </c>
      <c r="AE46" s="330">
        <f>-SUMIFS('1BS'!AA$3:AA$68,'1BS'!$X$3:$X$68,'1CF'!$A46)+SUMIFS('1BS'!AA$69:AA$124,'1BS'!$X$69:$X$124,'1CF'!$A46)</f>
        <v>0</v>
      </c>
      <c r="AF46" s="330">
        <f>-SUMIFS('1BS'!AB$3:AB$68,'1BS'!$X$3:$X$68,'1CF'!$A46)+SUMIFS('1BS'!AB$69:AB$124,'1BS'!$X$69:$X$124,'1CF'!$A46)</f>
        <v>0</v>
      </c>
      <c r="AG46" s="330">
        <f>-SUMIFS('1BS'!AC$3:AC$68,'1BS'!$X$3:$X$68,'1CF'!$A46)+SUMIFS('1BS'!AC$69:AC$124,'1BS'!$X$69:$X$124,'1CF'!$A46)</f>
        <v>0</v>
      </c>
      <c r="AH46" s="330">
        <f>-SUMIFS('1BS'!AD$3:AD$68,'1BS'!$X$3:$X$68,'1CF'!$A46)+SUMIFS('1BS'!AD$69:AD$124,'1BS'!$X$69:$X$124,'1CF'!$A46)</f>
        <v>0</v>
      </c>
      <c r="AI46" s="330">
        <f>-SUMIFS('1BS'!AE$3:AE$68,'1BS'!$X$3:$X$68,'1CF'!$A46)+SUMIFS('1BS'!AE$69:AE$124,'1BS'!$X$69:$X$124,'1CF'!$A46)</f>
        <v>0</v>
      </c>
      <c r="AJ46" s="330">
        <f>-SUMIFS('1BS'!AF$3:AF$68,'1BS'!$X$3:$X$68,'1CF'!$A46)+SUMIFS('1BS'!AF$69:AF$124,'1BS'!$X$69:$X$124,'1CF'!$A46)</f>
        <v>0</v>
      </c>
      <c r="AM46" s="330" t="s">
        <v>595</v>
      </c>
    </row>
    <row r="47" spans="1:39" s="330" customFormat="1" ht="14.5" customHeight="1">
      <c r="A47" s="338"/>
      <c r="B47" s="332"/>
      <c r="C47" s="339"/>
      <c r="L47" s="331"/>
      <c r="AM47" s="330" t="s">
        <v>595</v>
      </c>
    </row>
    <row r="48" spans="1:39" s="330" customFormat="1" ht="14.5" customHeight="1">
      <c r="A48" s="338">
        <v>40</v>
      </c>
      <c r="B48" s="328" t="s">
        <v>636</v>
      </c>
      <c r="C48" s="339"/>
      <c r="D48" s="341">
        <f>CF!K50</f>
        <v>-1423533</v>
      </c>
      <c r="E48" s="341">
        <f>CF!L50</f>
        <v>-4004734</v>
      </c>
      <c r="F48" s="341">
        <f>CF!M50</f>
        <v>-1247477</v>
      </c>
      <c r="G48" s="341">
        <f>CF!N50</f>
        <v>-3995121</v>
      </c>
      <c r="H48" s="341">
        <f>CF!O50</f>
        <v>-1414022</v>
      </c>
      <c r="I48" s="341">
        <f>CF!P50</f>
        <v>-2047707</v>
      </c>
      <c r="J48" s="341">
        <f>CF!Q50</f>
        <v>-3685025</v>
      </c>
      <c r="K48" s="341">
        <f>CF!R50</f>
        <v>-4943450</v>
      </c>
      <c r="L48" s="636">
        <f>CF!S50</f>
        <v>-6787750</v>
      </c>
      <c r="M48" s="341">
        <f>SUM(M41:M46)</f>
        <v>-4798733.3469610363</v>
      </c>
      <c r="N48" s="341">
        <f>SUM(N41:N46)</f>
        <v>-4766927.9726116713</v>
      </c>
      <c r="O48" s="341">
        <f t="shared" ref="O48:R48" si="18">SUM(O41:O46)</f>
        <v>-4739971.6269727778</v>
      </c>
      <c r="P48" s="341">
        <f t="shared" si="18"/>
        <v>-4720054.6033846131</v>
      </c>
      <c r="Q48" s="341">
        <f t="shared" si="18"/>
        <v>-4703691.5434399685</v>
      </c>
      <c r="R48" s="341">
        <f t="shared" si="18"/>
        <v>-4691138.0619834606</v>
      </c>
      <c r="AC48" s="341">
        <f>SUM(AC41:AC46)</f>
        <v>-284741</v>
      </c>
      <c r="AD48" s="341">
        <f t="shared" ref="AD48:AJ48" si="19">SUM(AD41:AD46)</f>
        <v>40740</v>
      </c>
      <c r="AE48" s="341">
        <f t="shared" si="19"/>
        <v>22700.633038963599</v>
      </c>
      <c r="AF48" s="341">
        <f t="shared" si="19"/>
        <v>23383.996931727277</v>
      </c>
      <c r="AG48" s="341">
        <f t="shared" si="19"/>
        <v>25772.533757347963</v>
      </c>
      <c r="AH48" s="341">
        <f t="shared" si="19"/>
        <v>28377.173190181027</v>
      </c>
      <c r="AI48" s="341">
        <f t="shared" si="19"/>
        <v>31217.467089901911</v>
      </c>
      <c r="AJ48" s="341">
        <f t="shared" si="19"/>
        <v>34314.736268544744</v>
      </c>
      <c r="AM48" s="330" t="s">
        <v>595</v>
      </c>
    </row>
    <row r="49" spans="1:39" s="330" customFormat="1" ht="14.5" customHeight="1">
      <c r="A49" s="338"/>
      <c r="B49" s="328"/>
      <c r="C49" s="339"/>
      <c r="L49" s="331"/>
      <c r="AM49" s="330" t="s">
        <v>595</v>
      </c>
    </row>
    <row r="50" spans="1:39" s="330" customFormat="1" ht="14.5" customHeight="1">
      <c r="A50" s="338"/>
      <c r="B50" s="328"/>
      <c r="C50" s="339"/>
      <c r="L50" s="331"/>
      <c r="AM50" s="330" t="s">
        <v>595</v>
      </c>
    </row>
    <row r="51" spans="1:39" s="330" customFormat="1" ht="14.5" customHeight="1">
      <c r="A51" s="338">
        <v>50</v>
      </c>
      <c r="B51" s="328" t="s">
        <v>637</v>
      </c>
      <c r="C51" s="339"/>
      <c r="D51" s="339">
        <f>CF!K51</f>
        <v>823768</v>
      </c>
      <c r="E51" s="339">
        <f>CF!L51</f>
        <v>198804</v>
      </c>
      <c r="F51" s="339">
        <f>CF!M51</f>
        <v>-351509</v>
      </c>
      <c r="G51" s="339">
        <f>CF!N51</f>
        <v>-1389734</v>
      </c>
      <c r="H51" s="339">
        <f>CF!O51</f>
        <v>880482</v>
      </c>
      <c r="I51" s="339">
        <f>CF!P51</f>
        <v>463042</v>
      </c>
      <c r="J51" s="339">
        <f>CF!Q51</f>
        <v>970623</v>
      </c>
      <c r="K51" s="339">
        <f>CF!R51</f>
        <v>-562056</v>
      </c>
      <c r="L51" s="637">
        <f>CF!S51</f>
        <v>-460598</v>
      </c>
      <c r="M51" s="339">
        <f>SUM(M26,M37,M48)</f>
        <v>-269304.56211612001</v>
      </c>
      <c r="N51" s="339">
        <f>SUM(N26,N37,N48)</f>
        <v>1174835.8943283316</v>
      </c>
      <c r="O51" s="339">
        <f t="shared" ref="O51:P51" si="20">SUM(O26,O37,O48)</f>
        <v>1490653.3869696744</v>
      </c>
      <c r="P51" s="339">
        <f t="shared" si="20"/>
        <v>1128694.8261244455</v>
      </c>
      <c r="Q51" s="339">
        <f>SUM(Q26,Q37,Q48)</f>
        <v>1535118.2341805641</v>
      </c>
      <c r="R51" s="339">
        <f>SUM(R26,R37,R48)</f>
        <v>728243.66043703817</v>
      </c>
      <c r="AC51" s="339">
        <f>SUM(AC26,AC37,AC48)</f>
        <v>6127968</v>
      </c>
      <c r="AD51" s="339">
        <f t="shared" ref="AD51:AJ51" si="21">SUM(AD26,AD37,AD48)</f>
        <v>6596729</v>
      </c>
      <c r="AE51" s="339">
        <f>SUM(AE26,AE37,AE48)</f>
        <v>5746191.2859517401</v>
      </c>
      <c r="AF51" s="339">
        <f t="shared" si="21"/>
        <v>7180637.257144413</v>
      </c>
      <c r="AG51" s="339">
        <f t="shared" si="21"/>
        <v>7542293.6475915723</v>
      </c>
      <c r="AH51" s="339">
        <f t="shared" si="21"/>
        <v>7172085.6243740004</v>
      </c>
      <c r="AI51" s="339">
        <f t="shared" si="21"/>
        <v>7599622.2809050307</v>
      </c>
      <c r="AJ51" s="339">
        <f t="shared" si="21"/>
        <v>6808494.5466769999</v>
      </c>
      <c r="AM51" s="330" t="s">
        <v>595</v>
      </c>
    </row>
    <row r="52" spans="1:39" s="340" customFormat="1" ht="14.5" customHeight="1">
      <c r="A52" s="342"/>
      <c r="B52" s="349"/>
      <c r="C52" s="343"/>
      <c r="L52" s="638"/>
    </row>
    <row r="53" spans="1:39" s="330" customFormat="1" ht="14.5" customHeight="1">
      <c r="A53" s="338">
        <v>60</v>
      </c>
      <c r="B53" s="328" t="s">
        <v>638</v>
      </c>
      <c r="C53" s="339"/>
      <c r="D53" s="330">
        <f>CF!K52</f>
        <v>3444825</v>
      </c>
      <c r="E53" s="330">
        <f>CF!L52</f>
        <v>4268599</v>
      </c>
      <c r="F53" s="330">
        <f>CF!M52</f>
        <v>4467392</v>
      </c>
      <c r="G53" s="330">
        <f>CF!N52</f>
        <v>4115885</v>
      </c>
      <c r="H53" s="330">
        <f>CF!O52</f>
        <v>2726137</v>
      </c>
      <c r="I53" s="330">
        <f>CF!P52</f>
        <v>3606454</v>
      </c>
      <c r="J53" s="330">
        <f>CF!Q52</f>
        <v>4069464</v>
      </c>
      <c r="K53" s="330">
        <f>CF!R52</f>
        <v>5039908</v>
      </c>
      <c r="L53" s="331">
        <f>CF!S52</f>
        <v>4477502</v>
      </c>
      <c r="M53" s="330">
        <f>L57</f>
        <v>4016882</v>
      </c>
      <c r="N53" s="330">
        <f>M57</f>
        <v>3747577.43788388</v>
      </c>
      <c r="O53" s="330">
        <f t="shared" ref="O53:Q53" si="22">N57</f>
        <v>4922413.3322122116</v>
      </c>
      <c r="P53" s="330">
        <f t="shared" si="22"/>
        <v>6413066.7191818859</v>
      </c>
      <c r="Q53" s="330">
        <f t="shared" si="22"/>
        <v>7541761.5453063315</v>
      </c>
      <c r="R53" s="330">
        <f>Q57</f>
        <v>9076879.7794868946</v>
      </c>
      <c r="AC53" s="330">
        <f>I57</f>
        <v>4069464</v>
      </c>
      <c r="AD53" s="330">
        <f t="shared" ref="AD53:AJ53" si="23">AC57</f>
        <v>10197432</v>
      </c>
      <c r="AE53" s="330">
        <f t="shared" si="23"/>
        <v>16794161</v>
      </c>
      <c r="AF53" s="330">
        <f t="shared" si="23"/>
        <v>22540352.285951741</v>
      </c>
      <c r="AG53" s="330">
        <f t="shared" si="23"/>
        <v>29720989.543096155</v>
      </c>
      <c r="AH53" s="330">
        <f t="shared" si="23"/>
        <v>37263283.190687731</v>
      </c>
      <c r="AI53" s="330">
        <f t="shared" si="23"/>
        <v>44435368.815061733</v>
      </c>
      <c r="AJ53" s="330">
        <f t="shared" si="23"/>
        <v>52034991.095966764</v>
      </c>
      <c r="AM53" s="330" t="s">
        <v>595</v>
      </c>
    </row>
    <row r="54" spans="1:39" s="330" customFormat="1" ht="14.5" customHeight="1">
      <c r="A54" s="338"/>
      <c r="B54" s="328"/>
      <c r="C54" s="339"/>
      <c r="L54" s="331"/>
    </row>
    <row r="55" spans="1:39" s="330" customFormat="1" ht="14.5" customHeight="1">
      <c r="A55" s="338">
        <v>61</v>
      </c>
      <c r="B55" s="328" t="s">
        <v>639</v>
      </c>
      <c r="C55" s="339"/>
      <c r="D55" s="330">
        <f>SUMIFS(CF!K:K,CF!$A:$A,'1CF'!$A$55)</f>
        <v>6</v>
      </c>
      <c r="E55" s="330">
        <f>SUMIFS(CF!L:L,CF!$A:$A,'1CF'!$A$55)</f>
        <v>-11</v>
      </c>
      <c r="F55" s="330">
        <f>SUMIFS(CF!M:M,CF!$A:$A,'1CF'!$A$55)</f>
        <v>2</v>
      </c>
      <c r="G55" s="330">
        <f>SUMIFS(CF!N:N,CF!$A:$A,'1CF'!$A$55)</f>
        <v>-14</v>
      </c>
      <c r="H55" s="330">
        <f>SUMIFS(CF!O:O,CF!$A:$A,'1CF'!$A$55)</f>
        <v>-164</v>
      </c>
      <c r="I55" s="330">
        <f>SUMIFS(CF!P:P,CF!$A:$A,'1CF'!$A$55)</f>
        <v>-32</v>
      </c>
      <c r="J55" s="330">
        <f>SUMIFS(CF!Q:Q,CF!$A:$A,'1CF'!$A$55)</f>
        <v>-179</v>
      </c>
      <c r="K55" s="330">
        <f>SUMIFS(CF!R:R,CF!$A:$A,'1CF'!$A$55)</f>
        <v>-350</v>
      </c>
      <c r="L55" s="331">
        <f>SUMIFS(CF!S:S,CF!$A:$A,'1CF'!$A$55)</f>
        <v>-22</v>
      </c>
      <c r="M55" s="330">
        <v>0</v>
      </c>
      <c r="N55" s="330">
        <v>0</v>
      </c>
      <c r="O55" s="330">
        <v>0</v>
      </c>
      <c r="P55" s="330">
        <v>0</v>
      </c>
      <c r="Q55" s="330">
        <v>0</v>
      </c>
      <c r="R55" s="330">
        <v>0</v>
      </c>
      <c r="AC55" s="330">
        <f>-SUMIFS('1BS'!Y$3:Y$68,'1BS'!$X$3:$X$68,'1CF'!$A55)+SUMIFS('1BS'!Y$69:Y$124,'1BS'!$X$69:$X$124,'1CF'!$A55)</f>
        <v>0</v>
      </c>
      <c r="AD55" s="330">
        <f>-SUMIFS('1BS'!Z$3:Z$68,'1BS'!$X$3:$X$68,'1CF'!$A55)+SUMIFS('1BS'!Z$69:Z$124,'1BS'!$X$69:$X$124,'1CF'!$A55)</f>
        <v>0</v>
      </c>
      <c r="AE55" s="330">
        <f>-SUMIFS('1BS'!AA$3:AA$68,'1BS'!$X$3:$X$68,'1CF'!$A55)+SUMIFS('1BS'!AA$69:AA$124,'1BS'!$X$69:$X$124,'1CF'!$A55)</f>
        <v>0</v>
      </c>
      <c r="AF55" s="330">
        <f>-SUMIFS('1BS'!AB$3:AB$68,'1BS'!$X$3:$X$68,'1CF'!$A55)+SUMIFS('1BS'!AB$69:AB$124,'1BS'!$X$69:$X$124,'1CF'!$A55)</f>
        <v>0</v>
      </c>
      <c r="AG55" s="330">
        <f>-SUMIFS('1BS'!AC$3:AC$68,'1BS'!$X$3:$X$68,'1CF'!$A55)+SUMIFS('1BS'!AC$69:AC$124,'1BS'!$X$69:$X$124,'1CF'!$A55)</f>
        <v>0</v>
      </c>
      <c r="AH55" s="330">
        <f>-SUMIFS('1BS'!AD$3:AD$68,'1BS'!$X$3:$X$68,'1CF'!$A55)+SUMIFS('1BS'!AD$69:AD$124,'1BS'!$X$69:$X$124,'1CF'!$A55)</f>
        <v>0</v>
      </c>
      <c r="AI55" s="330">
        <f>-SUMIFS('1BS'!AE$3:AE$68,'1BS'!$X$3:$X$68,'1CF'!$A55)+SUMIFS('1BS'!AE$69:AE$124,'1BS'!$X$69:$X$124,'1CF'!$A55)</f>
        <v>0</v>
      </c>
      <c r="AJ55" s="330">
        <f>-SUMIFS('1BS'!AF$3:AF$68,'1BS'!$X$3:$X$68,'1CF'!$A55)+SUMIFS('1BS'!AF$69:AF$124,'1BS'!$X$69:$X$124,'1CF'!$A55)</f>
        <v>0</v>
      </c>
      <c r="AM55" s="330" t="s">
        <v>595</v>
      </c>
    </row>
    <row r="56" spans="1:39" s="330" customFormat="1" ht="14.5" customHeight="1">
      <c r="A56" s="338"/>
      <c r="B56" s="328"/>
      <c r="C56" s="339"/>
      <c r="L56" s="331"/>
      <c r="AM56" s="330" t="s">
        <v>595</v>
      </c>
    </row>
    <row r="57" spans="1:39" s="347" customFormat="1" ht="14.5" customHeight="1">
      <c r="A57" s="344">
        <v>70</v>
      </c>
      <c r="B57" s="350" t="s">
        <v>640</v>
      </c>
      <c r="C57" s="345"/>
      <c r="D57" s="346">
        <f>D55+D53+D51</f>
        <v>4268599</v>
      </c>
      <c r="E57" s="346">
        <f t="shared" ref="E57:K57" si="24">E55+E53+E51</f>
        <v>4467392</v>
      </c>
      <c r="F57" s="346">
        <f t="shared" si="24"/>
        <v>4115885</v>
      </c>
      <c r="G57" s="346">
        <f t="shared" si="24"/>
        <v>2726137</v>
      </c>
      <c r="H57" s="346">
        <f t="shared" si="24"/>
        <v>3606455</v>
      </c>
      <c r="I57" s="346">
        <f t="shared" si="24"/>
        <v>4069464</v>
      </c>
      <c r="J57" s="346">
        <f t="shared" si="24"/>
        <v>5039908</v>
      </c>
      <c r="K57" s="346">
        <f t="shared" si="24"/>
        <v>4477502</v>
      </c>
      <c r="L57" s="639">
        <f t="shared" ref="L57:R57" si="25">L55+L53+L51</f>
        <v>4016882</v>
      </c>
      <c r="M57" s="346">
        <f t="shared" si="25"/>
        <v>3747577.43788388</v>
      </c>
      <c r="N57" s="346">
        <f t="shared" si="25"/>
        <v>4922413.3322122116</v>
      </c>
      <c r="O57" s="346">
        <f t="shared" si="25"/>
        <v>6413066.7191818859</v>
      </c>
      <c r="P57" s="346">
        <f t="shared" si="25"/>
        <v>7541761.5453063315</v>
      </c>
      <c r="Q57" s="346">
        <f t="shared" si="25"/>
        <v>9076879.7794868946</v>
      </c>
      <c r="R57" s="346">
        <f t="shared" si="25"/>
        <v>9805123.4399239328</v>
      </c>
      <c r="S57" s="346"/>
      <c r="AC57" s="346">
        <f>AC55+AC53+AC51</f>
        <v>10197432</v>
      </c>
      <c r="AD57" s="346">
        <f t="shared" ref="AD57:AJ57" si="26">AD55+AD53+AD51</f>
        <v>16794161</v>
      </c>
      <c r="AE57" s="346">
        <f t="shared" si="26"/>
        <v>22540352.285951741</v>
      </c>
      <c r="AF57" s="346">
        <f t="shared" si="26"/>
        <v>29720989.543096155</v>
      </c>
      <c r="AG57" s="346">
        <f t="shared" si="26"/>
        <v>37263283.190687731</v>
      </c>
      <c r="AH57" s="346">
        <f t="shared" si="26"/>
        <v>44435368.815061733</v>
      </c>
      <c r="AI57" s="346">
        <f t="shared" si="26"/>
        <v>52034991.095966764</v>
      </c>
      <c r="AJ57" s="346">
        <f t="shared" si="26"/>
        <v>58843485.642643765</v>
      </c>
      <c r="AM57" s="347" t="s">
        <v>595</v>
      </c>
    </row>
    <row r="58" spans="1:39" s="330" customFormat="1">
      <c r="A58" s="337"/>
      <c r="B58" s="337"/>
      <c r="C58" s="339"/>
      <c r="L58" s="331"/>
    </row>
    <row r="59" spans="1:39" s="330" customFormat="1">
      <c r="C59" s="330" t="s">
        <v>641</v>
      </c>
      <c r="D59" s="330">
        <f>ROUND('1BS'!G4-CF!K54,0)</f>
        <v>0</v>
      </c>
      <c r="E59" s="330">
        <f>ROUND('1BS'!H4-CF!L54,0)</f>
        <v>0</v>
      </c>
      <c r="F59" s="330">
        <f>ROUND('1BS'!I4-CF!M54,0)</f>
        <v>0</v>
      </c>
      <c r="G59" s="330">
        <f>ROUND('1BS'!J4-CF!N54,0)</f>
        <v>0</v>
      </c>
      <c r="H59" s="330">
        <f>ROUND('1BS'!K4-CF!O54,0)</f>
        <v>0</v>
      </c>
      <c r="I59" s="330">
        <f>ROUND('1BS'!L4-CF!P54,0)</f>
        <v>0</v>
      </c>
      <c r="J59" s="330">
        <f>ROUND('1BS'!M4-CF!Q54,0)</f>
        <v>0</v>
      </c>
      <c r="K59" s="330">
        <f>ROUND('1BS'!N4-CF!R54,0)</f>
        <v>0</v>
      </c>
      <c r="L59" s="330">
        <f>ROUND('1BS'!O4-CF!S54,0)</f>
        <v>0</v>
      </c>
      <c r="M59" s="330">
        <f>ROUND('1BS'!P4-'1CF'!M57,0)</f>
        <v>0</v>
      </c>
      <c r="N59" s="330">
        <f>ROUND('1BS'!Q4-'1CF'!N57,0)</f>
        <v>0</v>
      </c>
      <c r="O59" s="330">
        <f>ROUND('1BS'!R4-'1CF'!O57,0)</f>
        <v>0</v>
      </c>
      <c r="P59" s="330">
        <f>ROUND('1BS'!S4-'1CF'!P57,0)</f>
        <v>0</v>
      </c>
      <c r="Q59" s="330">
        <f>ROUND('1BS'!T4-'1CF'!Q57,0)</f>
        <v>0</v>
      </c>
      <c r="R59" s="330">
        <f>ROUND('1BS'!U4-'1CF'!R57,0)</f>
        <v>0</v>
      </c>
      <c r="T59" s="330">
        <f>SUM(T6:T57)</f>
        <v>0</v>
      </c>
      <c r="U59" s="330">
        <f t="shared" ref="U59:AA59" si="27">SUM(U6:U57)</f>
        <v>0</v>
      </c>
      <c r="V59" s="330">
        <f t="shared" si="27"/>
        <v>0</v>
      </c>
      <c r="W59" s="330">
        <f t="shared" si="27"/>
        <v>0</v>
      </c>
      <c r="X59" s="330">
        <f t="shared" si="27"/>
        <v>0</v>
      </c>
      <c r="Y59" s="330">
        <f t="shared" si="27"/>
        <v>0</v>
      </c>
      <c r="Z59" s="330">
        <f t="shared" si="27"/>
        <v>0</v>
      </c>
      <c r="AA59" s="330">
        <f t="shared" si="27"/>
        <v>0</v>
      </c>
    </row>
  </sheetData>
  <mergeCells count="1">
    <mergeCell ref="J2:O2"/>
  </mergeCells>
  <conditionalFormatting sqref="D59:R59">
    <cfRule type="cellIs" dxfId="31" priority="1" operator="notEqual">
      <formula>0</formula>
    </cfRule>
    <cfRule type="cellIs" dxfId="30" priority="2" operator="equal">
      <formula>0</formula>
    </cfRule>
  </conditionalFormatting>
  <conditionalFormatting sqref="T59:AA59">
    <cfRule type="cellIs" dxfId="29" priority="3" operator="notEqual">
      <formula>0</formula>
    </cfRule>
    <cfRule type="cellIs" dxfId="28" priority="4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DFE1-A0AA-4EC5-8FAB-4C4AD852EB71}">
  <sheetPr>
    <tabColor theme="5" tint="0.59999389629810485"/>
  </sheetPr>
  <dimension ref="A1:W137"/>
  <sheetViews>
    <sheetView topLeftCell="J1" zoomScale="90" zoomScaleNormal="90" workbookViewId="0">
      <pane ySplit="4" topLeftCell="A17" activePane="bottomLeft" state="frozen"/>
      <selection activeCell="F1" sqref="F1"/>
      <selection pane="bottomLeft" activeCell="J1" sqref="A1:XFD1048576"/>
    </sheetView>
  </sheetViews>
  <sheetFormatPr defaultColWidth="9.1640625" defaultRowHeight="12.5" outlineLevelRow="1" outlineLevelCol="1"/>
  <cols>
    <col min="1" max="1" width="4.4140625" style="191" customWidth="1"/>
    <col min="2" max="2" width="38" style="191" customWidth="1"/>
    <col min="3" max="3" width="11.6640625" style="191" customWidth="1"/>
    <col min="4" max="6" width="13.1640625" style="191" customWidth="1" outlineLevel="1"/>
    <col min="7" max="8" width="11.75" style="191" customWidth="1" outlineLevel="1"/>
    <col min="9" max="14" width="11.75" style="191" customWidth="1"/>
    <col min="15" max="15" width="11.75" style="193" customWidth="1"/>
    <col min="16" max="21" width="11.75" style="191" customWidth="1"/>
    <col min="22" max="22" width="9.1640625" style="191"/>
    <col min="23" max="23" width="11.1640625" style="191" bestFit="1" customWidth="1"/>
    <col min="24" max="16384" width="9.1640625" style="191"/>
  </cols>
  <sheetData>
    <row r="1" spans="1:21" s="187" customFormat="1" ht="13">
      <c r="B1" s="188" t="s">
        <v>546</v>
      </c>
      <c r="C1" s="188"/>
      <c r="D1" s="188"/>
      <c r="E1" s="189"/>
      <c r="F1" s="189"/>
      <c r="G1" s="189" t="s">
        <v>590</v>
      </c>
      <c r="H1" s="189"/>
      <c r="I1" s="189"/>
      <c r="J1" s="189"/>
      <c r="K1" s="189"/>
      <c r="L1" s="189"/>
      <c r="M1" s="189"/>
      <c r="O1" s="190"/>
    </row>
    <row r="2" spans="1:21" ht="13">
      <c r="B2" s="188" t="s">
        <v>185</v>
      </c>
      <c r="C2" s="188"/>
      <c r="D2" s="188"/>
      <c r="E2" s="192"/>
      <c r="F2" s="192"/>
      <c r="G2" s="192"/>
      <c r="H2" s="192"/>
      <c r="I2" s="192"/>
      <c r="J2" s="192"/>
      <c r="K2" s="192"/>
      <c r="L2" s="192"/>
      <c r="M2" s="192"/>
    </row>
    <row r="3" spans="1:21" ht="15" customHeight="1">
      <c r="B3" s="194" t="s">
        <v>813</v>
      </c>
      <c r="C3" s="194"/>
      <c r="D3" s="194"/>
      <c r="E3" s="194"/>
      <c r="F3" s="194"/>
      <c r="G3" s="194"/>
      <c r="H3" s="194"/>
      <c r="I3" s="195"/>
      <c r="J3" s="196"/>
      <c r="K3" s="196" t="s">
        <v>547</v>
      </c>
      <c r="L3" s="196"/>
      <c r="M3" s="196"/>
      <c r="N3" s="196"/>
      <c r="O3" s="197"/>
      <c r="P3" s="196" t="s">
        <v>548</v>
      </c>
      <c r="Q3" s="196"/>
      <c r="R3" s="196"/>
      <c r="S3" s="196"/>
      <c r="T3" s="196"/>
      <c r="U3" s="196"/>
    </row>
    <row r="4" spans="1:21" ht="13">
      <c r="B4" s="198" t="s">
        <v>549</v>
      </c>
      <c r="C4" s="199">
        <v>2013</v>
      </c>
      <c r="D4" s="199">
        <v>2014</v>
      </c>
      <c r="E4" s="199">
        <v>2015</v>
      </c>
      <c r="F4" s="199">
        <v>2016</v>
      </c>
      <c r="G4" s="199">
        <v>2017</v>
      </c>
      <c r="H4" s="199">
        <v>2018</v>
      </c>
      <c r="I4" s="199">
        <v>2019</v>
      </c>
      <c r="J4" s="199">
        <v>2020</v>
      </c>
      <c r="K4" s="199">
        <v>2021</v>
      </c>
      <c r="L4" s="199">
        <v>2022</v>
      </c>
      <c r="M4" s="199">
        <v>2023</v>
      </c>
      <c r="N4" s="199">
        <v>2024</v>
      </c>
      <c r="O4" s="200">
        <v>2025</v>
      </c>
      <c r="P4" s="199">
        <f>O4+1</f>
        <v>2026</v>
      </c>
      <c r="Q4" s="199">
        <f t="shared" ref="Q4:U4" si="0">P4+1</f>
        <v>2027</v>
      </c>
      <c r="R4" s="199">
        <f t="shared" si="0"/>
        <v>2028</v>
      </c>
      <c r="S4" s="199">
        <f t="shared" si="0"/>
        <v>2029</v>
      </c>
      <c r="T4" s="199">
        <f t="shared" si="0"/>
        <v>2030</v>
      </c>
      <c r="U4" s="199">
        <f t="shared" si="0"/>
        <v>2031</v>
      </c>
    </row>
    <row r="5" spans="1:21" ht="13">
      <c r="A5" s="201">
        <v>1</v>
      </c>
      <c r="B5" s="202" t="s">
        <v>550</v>
      </c>
      <c r="C5" s="202"/>
      <c r="D5" s="203"/>
      <c r="E5" s="203"/>
      <c r="F5" s="203"/>
      <c r="G5" s="203">
        <f>G37</f>
        <v>6412812</v>
      </c>
      <c r="H5" s="203">
        <f t="shared" ref="H5:U5" si="1">H37</f>
        <v>6412812</v>
      </c>
      <c r="I5" s="203">
        <f t="shared" si="1"/>
        <v>6412812</v>
      </c>
      <c r="J5" s="203">
        <f t="shared" si="1"/>
        <v>6412812</v>
      </c>
      <c r="K5" s="203">
        <f t="shared" si="1"/>
        <v>6412812</v>
      </c>
      <c r="L5" s="203">
        <f t="shared" si="1"/>
        <v>6412812</v>
      </c>
      <c r="M5" s="203">
        <f t="shared" si="1"/>
        <v>12825624</v>
      </c>
      <c r="N5" s="203">
        <f t="shared" si="1"/>
        <v>12825624</v>
      </c>
      <c r="O5" s="204">
        <f t="shared" si="1"/>
        <v>12825624</v>
      </c>
      <c r="P5" s="203">
        <f>P37</f>
        <v>12825624</v>
      </c>
      <c r="Q5" s="203">
        <f t="shared" si="1"/>
        <v>12825624</v>
      </c>
      <c r="R5" s="203">
        <f t="shared" si="1"/>
        <v>12825624</v>
      </c>
      <c r="S5" s="203">
        <f t="shared" si="1"/>
        <v>12825624</v>
      </c>
      <c r="T5" s="203">
        <f t="shared" si="1"/>
        <v>12825624</v>
      </c>
      <c r="U5" s="203">
        <f t="shared" si="1"/>
        <v>12825624</v>
      </c>
    </row>
    <row r="6" spans="1:21" ht="13">
      <c r="A6" s="201">
        <v>2</v>
      </c>
      <c r="B6" s="202" t="s">
        <v>551</v>
      </c>
      <c r="C6" s="202"/>
      <c r="D6" s="203"/>
      <c r="E6" s="203"/>
      <c r="F6" s="203"/>
      <c r="G6" s="203">
        <f>F40</f>
        <v>0</v>
      </c>
      <c r="H6" s="203">
        <f>G40</f>
        <v>0</v>
      </c>
      <c r="I6" s="203">
        <f>H40</f>
        <v>0</v>
      </c>
      <c r="J6" s="203">
        <f>I40</f>
        <v>0</v>
      </c>
      <c r="K6" s="203">
        <f t="shared" ref="K6:U6" si="2">K40</f>
        <v>0</v>
      </c>
      <c r="L6" s="203">
        <f t="shared" si="2"/>
        <v>0</v>
      </c>
      <c r="M6" s="203">
        <f t="shared" si="2"/>
        <v>0</v>
      </c>
      <c r="N6" s="203">
        <f t="shared" si="2"/>
        <v>0</v>
      </c>
      <c r="O6" s="204">
        <f t="shared" si="2"/>
        <v>0</v>
      </c>
      <c r="P6" s="203">
        <f t="shared" ca="1" si="2"/>
        <v>0</v>
      </c>
      <c r="Q6" s="203">
        <f t="shared" ca="1" si="2"/>
        <v>0</v>
      </c>
      <c r="R6" s="203">
        <f t="shared" ca="1" si="2"/>
        <v>0</v>
      </c>
      <c r="S6" s="203">
        <f t="shared" ca="1" si="2"/>
        <v>0</v>
      </c>
      <c r="T6" s="203">
        <f t="shared" ca="1" si="2"/>
        <v>0</v>
      </c>
      <c r="U6" s="203">
        <f t="shared" ca="1" si="2"/>
        <v>0</v>
      </c>
    </row>
    <row r="7" spans="1:21" ht="13">
      <c r="A7" s="201">
        <f>A6+1</f>
        <v>3</v>
      </c>
      <c r="B7" s="202" t="s">
        <v>552</v>
      </c>
      <c r="C7" s="202"/>
      <c r="D7" s="203"/>
      <c r="E7" s="203"/>
      <c r="F7" s="203"/>
      <c r="G7" s="203">
        <f t="shared" ref="G7:O7" si="3">F50</f>
        <v>0</v>
      </c>
      <c r="H7" s="203">
        <f t="shared" si="3"/>
        <v>3209</v>
      </c>
      <c r="I7" s="203">
        <f t="shared" si="3"/>
        <v>3209</v>
      </c>
      <c r="J7" s="203">
        <f t="shared" si="3"/>
        <v>3209</v>
      </c>
      <c r="K7" s="203">
        <f t="shared" si="3"/>
        <v>3209</v>
      </c>
      <c r="L7" s="203">
        <f t="shared" si="3"/>
        <v>3209</v>
      </c>
      <c r="M7" s="203">
        <f t="shared" si="3"/>
        <v>3209</v>
      </c>
      <c r="N7" s="203">
        <f t="shared" si="3"/>
        <v>3209</v>
      </c>
      <c r="O7" s="204">
        <f t="shared" si="3"/>
        <v>3209</v>
      </c>
      <c r="P7" s="203">
        <f t="shared" ref="P7:U7" si="4">P50</f>
        <v>3409</v>
      </c>
      <c r="Q7" s="203">
        <f t="shared" si="4"/>
        <v>3409</v>
      </c>
      <c r="R7" s="203">
        <f t="shared" si="4"/>
        <v>3409</v>
      </c>
      <c r="S7" s="203">
        <f t="shared" si="4"/>
        <v>3409</v>
      </c>
      <c r="T7" s="203">
        <f t="shared" si="4"/>
        <v>3409</v>
      </c>
      <c r="U7" s="203">
        <f t="shared" si="4"/>
        <v>3409</v>
      </c>
    </row>
    <row r="8" spans="1:21" ht="13">
      <c r="A8" s="201">
        <f t="shared" ref="A8:A15" si="5">A7+1</f>
        <v>4</v>
      </c>
      <c r="B8" s="191" t="s">
        <v>553</v>
      </c>
      <c r="G8" s="205">
        <f>G57</f>
        <v>0</v>
      </c>
      <c r="H8" s="205">
        <f t="shared" ref="H8:U8" si="6">H57</f>
        <v>0</v>
      </c>
      <c r="I8" s="205">
        <f t="shared" si="6"/>
        <v>0</v>
      </c>
      <c r="J8" s="205">
        <f t="shared" si="6"/>
        <v>0</v>
      </c>
      <c r="K8" s="205">
        <f t="shared" si="6"/>
        <v>0</v>
      </c>
      <c r="L8" s="205">
        <f t="shared" si="6"/>
        <v>0</v>
      </c>
      <c r="M8" s="205">
        <f t="shared" si="6"/>
        <v>0</v>
      </c>
      <c r="N8" s="205">
        <f t="shared" si="6"/>
        <v>0</v>
      </c>
      <c r="O8" s="206">
        <f t="shared" si="6"/>
        <v>0</v>
      </c>
      <c r="P8" s="205">
        <f t="shared" si="6"/>
        <v>0</v>
      </c>
      <c r="Q8" s="205">
        <f t="shared" si="6"/>
        <v>0</v>
      </c>
      <c r="R8" s="205">
        <f t="shared" si="6"/>
        <v>0</v>
      </c>
      <c r="S8" s="205">
        <f t="shared" si="6"/>
        <v>0</v>
      </c>
      <c r="T8" s="205">
        <f t="shared" si="6"/>
        <v>0</v>
      </c>
      <c r="U8" s="205">
        <f t="shared" si="6"/>
        <v>0</v>
      </c>
    </row>
    <row r="9" spans="1:21" ht="13">
      <c r="A9" s="201">
        <f t="shared" si="5"/>
        <v>5</v>
      </c>
      <c r="B9" s="191" t="s">
        <v>554</v>
      </c>
      <c r="G9" s="205">
        <f>G64</f>
        <v>0</v>
      </c>
      <c r="H9" s="205">
        <f t="shared" ref="H9:U9" si="7">H64</f>
        <v>0</v>
      </c>
      <c r="I9" s="205">
        <f t="shared" si="7"/>
        <v>0</v>
      </c>
      <c r="J9" s="205">
        <f t="shared" si="7"/>
        <v>0</v>
      </c>
      <c r="K9" s="205">
        <f t="shared" si="7"/>
        <v>0</v>
      </c>
      <c r="L9" s="205">
        <f t="shared" si="7"/>
        <v>0</v>
      </c>
      <c r="M9" s="205">
        <f t="shared" si="7"/>
        <v>0</v>
      </c>
      <c r="N9" s="205">
        <f t="shared" si="7"/>
        <v>0</v>
      </c>
      <c r="O9" s="206">
        <f t="shared" si="7"/>
        <v>0</v>
      </c>
      <c r="P9" s="205">
        <f t="shared" si="7"/>
        <v>0</v>
      </c>
      <c r="Q9" s="205">
        <f t="shared" si="7"/>
        <v>0</v>
      </c>
      <c r="R9" s="205">
        <f t="shared" si="7"/>
        <v>0</v>
      </c>
      <c r="S9" s="205">
        <f t="shared" si="7"/>
        <v>0</v>
      </c>
      <c r="T9" s="205">
        <f t="shared" si="7"/>
        <v>0</v>
      </c>
      <c r="U9" s="205">
        <f t="shared" si="7"/>
        <v>0</v>
      </c>
    </row>
    <row r="10" spans="1:21" ht="13">
      <c r="A10" s="201">
        <f t="shared" si="5"/>
        <v>6</v>
      </c>
      <c r="B10" s="202" t="s">
        <v>555</v>
      </c>
      <c r="C10" s="202"/>
      <c r="E10" s="207"/>
      <c r="F10" s="207"/>
      <c r="G10" s="207">
        <f>G71</f>
        <v>19114</v>
      </c>
      <c r="H10" s="207">
        <f t="shared" ref="H10:U10" si="8">H71</f>
        <v>21099</v>
      </c>
      <c r="I10" s="207">
        <f t="shared" si="8"/>
        <v>27273</v>
      </c>
      <c r="J10" s="207">
        <f t="shared" si="8"/>
        <v>26865</v>
      </c>
      <c r="K10" s="207">
        <f t="shared" si="8"/>
        <v>27339</v>
      </c>
      <c r="L10" s="207">
        <f t="shared" si="8"/>
        <v>37136</v>
      </c>
      <c r="M10" s="207">
        <f t="shared" si="8"/>
        <v>43954</v>
      </c>
      <c r="N10" s="207">
        <f t="shared" si="8"/>
        <v>53776</v>
      </c>
      <c r="O10" s="208">
        <f t="shared" si="8"/>
        <v>89863</v>
      </c>
      <c r="P10" s="207">
        <f t="shared" si="8"/>
        <v>89863</v>
      </c>
      <c r="Q10" s="207">
        <f t="shared" si="8"/>
        <v>89863</v>
      </c>
      <c r="R10" s="207">
        <f t="shared" si="8"/>
        <v>89863</v>
      </c>
      <c r="S10" s="207">
        <f t="shared" si="8"/>
        <v>89863</v>
      </c>
      <c r="T10" s="207">
        <f t="shared" si="8"/>
        <v>89863</v>
      </c>
      <c r="U10" s="207">
        <f t="shared" si="8"/>
        <v>89863</v>
      </c>
    </row>
    <row r="11" spans="1:21" ht="13">
      <c r="A11" s="201">
        <f t="shared" si="5"/>
        <v>7</v>
      </c>
      <c r="B11" s="202" t="s">
        <v>556</v>
      </c>
      <c r="C11" s="202"/>
      <c r="D11" s="203"/>
      <c r="E11" s="203"/>
      <c r="F11" s="203"/>
      <c r="G11" s="203">
        <f>G78</f>
        <v>1118963</v>
      </c>
      <c r="H11" s="203">
        <f t="shared" ref="H11:U11" si="9">H78</f>
        <v>1130147</v>
      </c>
      <c r="I11" s="203">
        <f t="shared" si="9"/>
        <v>1130373</v>
      </c>
      <c r="J11" s="203">
        <f t="shared" si="9"/>
        <v>1122846</v>
      </c>
      <c r="K11" s="203">
        <f t="shared" si="9"/>
        <v>1122241</v>
      </c>
      <c r="L11" s="203">
        <f t="shared" si="9"/>
        <v>1122241</v>
      </c>
      <c r="M11" s="203">
        <f t="shared" si="9"/>
        <v>1122241</v>
      </c>
      <c r="N11" s="203">
        <f t="shared" si="9"/>
        <v>1181710</v>
      </c>
      <c r="O11" s="204">
        <f t="shared" si="9"/>
        <v>1186744</v>
      </c>
      <c r="P11" s="203">
        <f>P78</f>
        <v>1186744</v>
      </c>
      <c r="Q11" s="203">
        <f t="shared" si="9"/>
        <v>1186744</v>
      </c>
      <c r="R11" s="203">
        <f t="shared" si="9"/>
        <v>1186744</v>
      </c>
      <c r="S11" s="203">
        <f t="shared" si="9"/>
        <v>1186744</v>
      </c>
      <c r="T11" s="203">
        <f t="shared" si="9"/>
        <v>1186744</v>
      </c>
      <c r="U11" s="203">
        <f t="shared" si="9"/>
        <v>1186744</v>
      </c>
    </row>
    <row r="12" spans="1:21" ht="13">
      <c r="A12" s="201">
        <f t="shared" si="5"/>
        <v>8</v>
      </c>
      <c r="B12" s="191" t="s">
        <v>557</v>
      </c>
      <c r="G12" s="205">
        <f>G85</f>
        <v>0</v>
      </c>
      <c r="H12" s="205">
        <f t="shared" ref="H12:U12" si="10">H85</f>
        <v>0</v>
      </c>
      <c r="I12" s="205">
        <f t="shared" si="10"/>
        <v>0</v>
      </c>
      <c r="J12" s="205">
        <f t="shared" si="10"/>
        <v>0</v>
      </c>
      <c r="K12" s="205">
        <f t="shared" si="10"/>
        <v>0</v>
      </c>
      <c r="L12" s="205">
        <f t="shared" si="10"/>
        <v>0</v>
      </c>
      <c r="M12" s="205">
        <f t="shared" si="10"/>
        <v>0</v>
      </c>
      <c r="N12" s="205">
        <f t="shared" si="10"/>
        <v>0</v>
      </c>
      <c r="O12" s="206">
        <f t="shared" si="10"/>
        <v>0</v>
      </c>
      <c r="P12" s="205">
        <f t="shared" si="10"/>
        <v>0</v>
      </c>
      <c r="Q12" s="205">
        <f t="shared" si="10"/>
        <v>0</v>
      </c>
      <c r="R12" s="205">
        <f t="shared" si="10"/>
        <v>0</v>
      </c>
      <c r="S12" s="205">
        <f t="shared" si="10"/>
        <v>0</v>
      </c>
      <c r="T12" s="205">
        <f t="shared" si="10"/>
        <v>0</v>
      </c>
      <c r="U12" s="205">
        <f t="shared" si="10"/>
        <v>0</v>
      </c>
    </row>
    <row r="13" spans="1:21" ht="13">
      <c r="A13" s="201">
        <f t="shared" si="5"/>
        <v>9</v>
      </c>
      <c r="B13" s="202" t="s">
        <v>558</v>
      </c>
      <c r="C13" s="202"/>
      <c r="D13" s="203"/>
      <c r="E13" s="203"/>
      <c r="F13" s="203"/>
      <c r="G13" s="203">
        <f>G92</f>
        <v>0</v>
      </c>
      <c r="H13" s="203">
        <f t="shared" ref="H13:U13" si="11">H92</f>
        <v>0</v>
      </c>
      <c r="I13" s="203">
        <f t="shared" si="11"/>
        <v>0</v>
      </c>
      <c r="J13" s="203">
        <f t="shared" si="11"/>
        <v>0</v>
      </c>
      <c r="K13" s="203">
        <f t="shared" si="11"/>
        <v>0</v>
      </c>
      <c r="L13" s="203">
        <f t="shared" si="11"/>
        <v>0</v>
      </c>
      <c r="M13" s="203">
        <f t="shared" si="11"/>
        <v>0</v>
      </c>
      <c r="N13" s="203">
        <f t="shared" si="11"/>
        <v>0</v>
      </c>
      <c r="O13" s="204">
        <f t="shared" si="11"/>
        <v>0</v>
      </c>
      <c r="P13" s="203">
        <f t="shared" si="11"/>
        <v>0</v>
      </c>
      <c r="Q13" s="203">
        <f t="shared" si="11"/>
        <v>0</v>
      </c>
      <c r="R13" s="203">
        <f t="shared" si="11"/>
        <v>0</v>
      </c>
      <c r="S13" s="203">
        <f t="shared" si="11"/>
        <v>0</v>
      </c>
      <c r="T13" s="203">
        <f t="shared" si="11"/>
        <v>0</v>
      </c>
      <c r="U13" s="203">
        <f t="shared" si="11"/>
        <v>0</v>
      </c>
    </row>
    <row r="14" spans="1:21" ht="13">
      <c r="A14" s="201">
        <f t="shared" si="5"/>
        <v>10</v>
      </c>
      <c r="B14" s="191" t="s">
        <v>559</v>
      </c>
      <c r="G14" s="205">
        <f>G99</f>
        <v>5327</v>
      </c>
      <c r="H14" s="205">
        <f t="shared" ref="H14:U14" si="12">H99</f>
        <v>5327</v>
      </c>
      <c r="I14" s="205">
        <f t="shared" si="12"/>
        <v>0</v>
      </c>
      <c r="J14" s="205">
        <f t="shared" si="12"/>
        <v>0</v>
      </c>
      <c r="K14" s="205">
        <f t="shared" si="12"/>
        <v>0</v>
      </c>
      <c r="L14" s="205">
        <f t="shared" si="12"/>
        <v>0</v>
      </c>
      <c r="M14" s="205">
        <f t="shared" si="12"/>
        <v>0</v>
      </c>
      <c r="N14" s="205">
        <f t="shared" si="12"/>
        <v>0</v>
      </c>
      <c r="O14" s="206">
        <f t="shared" si="12"/>
        <v>0</v>
      </c>
      <c r="P14" s="205">
        <f t="shared" si="12"/>
        <v>0</v>
      </c>
      <c r="Q14" s="205">
        <f t="shared" si="12"/>
        <v>0</v>
      </c>
      <c r="R14" s="205">
        <f t="shared" si="12"/>
        <v>0</v>
      </c>
      <c r="S14" s="205">
        <f t="shared" si="12"/>
        <v>0</v>
      </c>
      <c r="T14" s="205">
        <f t="shared" si="12"/>
        <v>0</v>
      </c>
      <c r="U14" s="205">
        <f t="shared" si="12"/>
        <v>0</v>
      </c>
    </row>
    <row r="15" spans="1:21" ht="13">
      <c r="A15" s="201">
        <f t="shared" si="5"/>
        <v>11</v>
      </c>
      <c r="B15" s="202" t="s">
        <v>560</v>
      </c>
      <c r="C15" s="202"/>
      <c r="D15" s="203"/>
      <c r="E15" s="203"/>
      <c r="F15" s="203"/>
      <c r="G15" s="203">
        <f>G28</f>
        <v>5823904</v>
      </c>
      <c r="H15" s="203">
        <f t="shared" ref="H15:U15" si="13">H28</f>
        <v>7473778</v>
      </c>
      <c r="I15" s="203">
        <f t="shared" si="13"/>
        <v>11231596</v>
      </c>
      <c r="J15" s="203">
        <f t="shared" si="13"/>
        <v>12374499</v>
      </c>
      <c r="K15" s="203">
        <f t="shared" si="13"/>
        <v>13655871</v>
      </c>
      <c r="L15" s="203">
        <f t="shared" si="13"/>
        <v>15564896</v>
      </c>
      <c r="M15" s="203">
        <f t="shared" si="13"/>
        <v>10217284</v>
      </c>
      <c r="N15" s="203">
        <f t="shared" si="13"/>
        <v>9217801</v>
      </c>
      <c r="O15" s="204">
        <f t="shared" si="13"/>
        <v>7047144</v>
      </c>
      <c r="P15" s="203">
        <f>P28</f>
        <v>6830031.078749706</v>
      </c>
      <c r="Q15" s="203">
        <f t="shared" si="13"/>
        <v>6754546.8680432728</v>
      </c>
      <c r="R15" s="203">
        <f t="shared" si="13"/>
        <v>7100453.5508570084</v>
      </c>
      <c r="S15" s="203">
        <f t="shared" si="13"/>
        <v>7546514.8526415555</v>
      </c>
      <c r="T15" s="203">
        <f t="shared" si="13"/>
        <v>8235374.9017519997</v>
      </c>
      <c r="U15" s="203">
        <f t="shared" si="13"/>
        <v>9146469.3342575356</v>
      </c>
    </row>
    <row r="16" spans="1:21" ht="13">
      <c r="A16" s="209">
        <v>12</v>
      </c>
      <c r="B16" s="210" t="s">
        <v>561</v>
      </c>
      <c r="C16" s="210"/>
      <c r="D16" s="210"/>
      <c r="E16" s="210"/>
      <c r="F16" s="210"/>
      <c r="G16" s="211">
        <f>'1BS'!G118</f>
        <v>1037160</v>
      </c>
      <c r="H16" s="211">
        <f>'1BS'!H118</f>
        <v>1065496</v>
      </c>
      <c r="I16" s="211">
        <f>'1BS'!I118</f>
        <v>1270984</v>
      </c>
      <c r="J16" s="211">
        <f>'1BS'!J118</f>
        <v>1275046</v>
      </c>
      <c r="K16" s="211">
        <f>'1BS'!K118</f>
        <v>1373313</v>
      </c>
      <c r="L16" s="211">
        <f>'1BS'!L118</f>
        <v>1450552</v>
      </c>
      <c r="M16" s="211">
        <f>'1BS'!M118</f>
        <v>1272846</v>
      </c>
      <c r="N16" s="211">
        <f>'1BS'!N118</f>
        <v>1154973</v>
      </c>
      <c r="O16" s="212">
        <f>'1BS'!O118</f>
        <v>1847031</v>
      </c>
      <c r="P16" s="211">
        <f>P132</f>
        <v>1674130.9419077702</v>
      </c>
      <c r="Q16" s="211">
        <f t="shared" ref="Q16:U16" si="14">Q132</f>
        <v>1537643.1151673649</v>
      </c>
      <c r="R16" s="211">
        <f t="shared" si="14"/>
        <v>1441463.2031933037</v>
      </c>
      <c r="S16" s="211">
        <f t="shared" si="14"/>
        <v>1366336.7251659464</v>
      </c>
      <c r="T16" s="211">
        <f t="shared" si="14"/>
        <v>1313802.2125111434</v>
      </c>
      <c r="U16" s="211">
        <f t="shared" si="14"/>
        <v>1279024.9760509711</v>
      </c>
    </row>
    <row r="17" spans="1:23" s="213" customFormat="1" ht="37.5" customHeight="1">
      <c r="B17" s="214" t="s">
        <v>562</v>
      </c>
      <c r="C17" s="214"/>
      <c r="D17" s="215">
        <f>SUM(D5:D15)</f>
        <v>0</v>
      </c>
      <c r="E17" s="215">
        <f>SUM(E5:E15)</f>
        <v>0</v>
      </c>
      <c r="F17" s="215">
        <f>SUM(F5:F15)</f>
        <v>0</v>
      </c>
      <c r="G17" s="216">
        <f>'1BS'!G100</f>
        <v>14420526</v>
      </c>
      <c r="H17" s="216">
        <f>'1BS'!H100</f>
        <v>16111906</v>
      </c>
      <c r="I17" s="216">
        <f>'1BS'!I100</f>
        <v>20076247</v>
      </c>
      <c r="J17" s="216">
        <f>'1BS'!J100</f>
        <v>21215276</v>
      </c>
      <c r="K17" s="216">
        <f>'1BS'!K100</f>
        <v>22594786</v>
      </c>
      <c r="L17" s="216">
        <f>'1BS'!L100</f>
        <v>24590846</v>
      </c>
      <c r="M17" s="216">
        <f>'1BS'!M100</f>
        <v>25485158</v>
      </c>
      <c r="N17" s="216">
        <f>'1BS'!N100</f>
        <v>24437093</v>
      </c>
      <c r="O17" s="217">
        <f>'1BS'!O100</f>
        <v>22999815</v>
      </c>
      <c r="P17" s="215">
        <f t="shared" ref="P17:U17" ca="1" si="15">SUM(P5:P15)</f>
        <v>20935671.078749705</v>
      </c>
      <c r="Q17" s="215">
        <f t="shared" ca="1" si="15"/>
        <v>20860186.868043274</v>
      </c>
      <c r="R17" s="215">
        <f t="shared" ca="1" si="15"/>
        <v>21206093.550857008</v>
      </c>
      <c r="S17" s="215">
        <f t="shared" ca="1" si="15"/>
        <v>21652154.852641556</v>
      </c>
      <c r="T17" s="215">
        <f t="shared" ca="1" si="15"/>
        <v>22341014.901751999</v>
      </c>
      <c r="U17" s="215">
        <f t="shared" ca="1" si="15"/>
        <v>23252109.334257536</v>
      </c>
    </row>
    <row r="18" spans="1:23" ht="13">
      <c r="B18" s="198" t="s">
        <v>563</v>
      </c>
      <c r="C18" s="199">
        <f>C4</f>
        <v>2013</v>
      </c>
      <c r="D18" s="199">
        <f t="shared" ref="D18:T18" si="16">D4</f>
        <v>2014</v>
      </c>
      <c r="E18" s="199">
        <f t="shared" si="16"/>
        <v>2015</v>
      </c>
      <c r="F18" s="199">
        <f t="shared" si="16"/>
        <v>2016</v>
      </c>
      <c r="G18" s="199">
        <v>2017</v>
      </c>
      <c r="H18" s="199">
        <v>2018</v>
      </c>
      <c r="I18" s="199">
        <v>2019</v>
      </c>
      <c r="J18" s="199">
        <v>2020</v>
      </c>
      <c r="K18" s="199">
        <v>2021</v>
      </c>
      <c r="L18" s="199">
        <v>2022</v>
      </c>
      <c r="M18" s="199">
        <v>2023</v>
      </c>
      <c r="N18" s="199">
        <v>2024</v>
      </c>
      <c r="O18" s="200">
        <v>2025</v>
      </c>
      <c r="P18" s="199">
        <f t="shared" si="16"/>
        <v>2026</v>
      </c>
      <c r="Q18" s="199">
        <f t="shared" si="16"/>
        <v>2027</v>
      </c>
      <c r="R18" s="199">
        <f t="shared" si="16"/>
        <v>2028</v>
      </c>
      <c r="S18" s="199">
        <f t="shared" si="16"/>
        <v>2029</v>
      </c>
      <c r="T18" s="199">
        <f t="shared" si="16"/>
        <v>2030</v>
      </c>
      <c r="U18" s="199">
        <f>U4</f>
        <v>2031</v>
      </c>
      <c r="W18" s="218"/>
    </row>
    <row r="19" spans="1:23" ht="13">
      <c r="A19" s="201">
        <v>11</v>
      </c>
      <c r="B19" s="202" t="s">
        <v>564</v>
      </c>
      <c r="C19" s="202"/>
      <c r="D19" s="202"/>
      <c r="E19" s="219"/>
      <c r="F19" s="219"/>
      <c r="G19" s="306">
        <f>'1BS'!F115</f>
        <v>3852925</v>
      </c>
      <c r="H19" s="306">
        <f>'1BS'!G115</f>
        <v>5823904</v>
      </c>
      <c r="I19" s="306">
        <f>H28</f>
        <v>7473778</v>
      </c>
      <c r="J19" s="306">
        <f t="shared" ref="J19:U19" si="17">I28</f>
        <v>11231596</v>
      </c>
      <c r="K19" s="306">
        <f t="shared" si="17"/>
        <v>12374499</v>
      </c>
      <c r="L19" s="306">
        <f t="shared" si="17"/>
        <v>13655871</v>
      </c>
      <c r="M19" s="306">
        <f t="shared" si="17"/>
        <v>15564896</v>
      </c>
      <c r="N19" s="203">
        <f t="shared" si="17"/>
        <v>10217284</v>
      </c>
      <c r="O19" s="204">
        <f t="shared" si="17"/>
        <v>9217801</v>
      </c>
      <c r="P19" s="203">
        <f>O28</f>
        <v>7047144</v>
      </c>
      <c r="Q19" s="203">
        <f t="shared" si="17"/>
        <v>6830031.078749706</v>
      </c>
      <c r="R19" s="203">
        <f t="shared" si="17"/>
        <v>6754546.8680432728</v>
      </c>
      <c r="S19" s="203">
        <f t="shared" si="17"/>
        <v>7100453.5508570084</v>
      </c>
      <c r="T19" s="203">
        <f t="shared" si="17"/>
        <v>7546514.8526415555</v>
      </c>
      <c r="U19" s="203">
        <f t="shared" si="17"/>
        <v>8235374.9017519997</v>
      </c>
    </row>
    <row r="20" spans="1:23">
      <c r="B20" s="220" t="s">
        <v>565</v>
      </c>
      <c r="C20" s="220"/>
      <c r="D20" s="220"/>
      <c r="E20" s="207"/>
      <c r="F20" s="207"/>
      <c r="G20" s="203">
        <f>'1IS'!F23</f>
        <v>4477972</v>
      </c>
      <c r="H20" s="203">
        <f>'1IS'!G23</f>
        <v>4711485</v>
      </c>
      <c r="I20" s="203">
        <f>'1IS'!H23</f>
        <v>4177432</v>
      </c>
      <c r="J20" s="203">
        <f>'1IS'!I23</f>
        <v>5053364</v>
      </c>
      <c r="K20" s="203">
        <f>'1IS'!J23</f>
        <v>4723497</v>
      </c>
      <c r="L20" s="203">
        <f>'1IS'!K23</f>
        <v>3677252</v>
      </c>
      <c r="M20" s="203">
        <f>'1IS'!L23</f>
        <v>5223851</v>
      </c>
      <c r="N20" s="203">
        <f>'1IS'!M23</f>
        <v>4117605</v>
      </c>
      <c r="O20" s="204">
        <f>'1IS'!N23</f>
        <v>4330113</v>
      </c>
      <c r="P20" s="207">
        <f>'1IS'!P23</f>
        <v>4399449.3897428075</v>
      </c>
      <c r="Q20" s="207">
        <f>'1IS'!Q23</f>
        <v>4545308.3372825338</v>
      </c>
      <c r="R20" s="207">
        <f>'1IS'!R23</f>
        <v>4979285.5442743497</v>
      </c>
      <c r="S20" s="207">
        <f>'1IS'!S23</f>
        <v>5082431.6313793436</v>
      </c>
      <c r="T20" s="207">
        <f>'1IS'!T23</f>
        <v>5332482.4128411412</v>
      </c>
      <c r="U20" s="207">
        <f>'1IS'!U23</f>
        <v>5561354.6036891248</v>
      </c>
    </row>
    <row r="21" spans="1:23">
      <c r="B21" s="220" t="s">
        <v>566</v>
      </c>
      <c r="C21" s="220"/>
      <c r="D21" s="220"/>
      <c r="E21" s="221"/>
      <c r="F21" s="221"/>
      <c r="G21" s="221">
        <f>SUM(G22:G24)</f>
        <v>-565</v>
      </c>
      <c r="H21" s="221">
        <f>SUM(H22:H24)</f>
        <v>-404985</v>
      </c>
      <c r="I21" s="221">
        <f>SUM(I22:I24)</f>
        <v>-260747</v>
      </c>
      <c r="J21" s="221">
        <f t="shared" ref="J21:U21" si="18">SUM(J22:J24)</f>
        <v>-322868</v>
      </c>
      <c r="K21" s="221">
        <f t="shared" si="18"/>
        <v>-170112</v>
      </c>
      <c r="L21" s="221">
        <f t="shared" si="18"/>
        <v>-170371</v>
      </c>
      <c r="M21" s="221">
        <f t="shared" si="18"/>
        <v>-121347</v>
      </c>
      <c r="N21" s="222">
        <f t="shared" si="18"/>
        <v>-201885</v>
      </c>
      <c r="O21" s="223">
        <f t="shared" si="18"/>
        <v>-130617</v>
      </c>
      <c r="P21" s="222">
        <f>SUM(P22:P24)</f>
        <v>-127593.91099310132</v>
      </c>
      <c r="Q21" s="222">
        <f t="shared" si="18"/>
        <v>-131824.1479889676</v>
      </c>
      <c r="R21" s="222">
        <f t="shared" si="18"/>
        <v>-144410.46146061446</v>
      </c>
      <c r="S21" s="222">
        <f t="shared" si="18"/>
        <v>-147401.92959479627</v>
      </c>
      <c r="T21" s="222">
        <f t="shared" si="18"/>
        <v>-154653.96373069918</v>
      </c>
      <c r="U21" s="222">
        <f t="shared" si="18"/>
        <v>-161291.77118359067</v>
      </c>
    </row>
    <row r="22" spans="1:23" s="224" customFormat="1" ht="13">
      <c r="B22" s="225" t="s">
        <v>567</v>
      </c>
      <c r="C22" s="225"/>
      <c r="D22" s="225"/>
      <c r="E22" s="226"/>
      <c r="F22" s="226"/>
      <c r="G22" s="226">
        <f>-G76</f>
        <v>-565</v>
      </c>
      <c r="H22" s="226">
        <f>-H76</f>
        <v>-11184</v>
      </c>
      <c r="I22" s="226">
        <f>-I76</f>
        <v>-226</v>
      </c>
      <c r="J22" s="226">
        <f t="shared" ref="J22:U22" si="19">-J76</f>
        <v>0</v>
      </c>
      <c r="K22" s="226">
        <f t="shared" si="19"/>
        <v>0</v>
      </c>
      <c r="L22" s="226">
        <f t="shared" si="19"/>
        <v>0</v>
      </c>
      <c r="M22" s="226">
        <f t="shared" si="19"/>
        <v>0</v>
      </c>
      <c r="N22" s="226">
        <f t="shared" si="19"/>
        <v>-59469</v>
      </c>
      <c r="O22" s="227">
        <f t="shared" si="19"/>
        <v>-5034</v>
      </c>
      <c r="P22" s="226">
        <f t="shared" si="19"/>
        <v>0</v>
      </c>
      <c r="Q22" s="226">
        <f t="shared" si="19"/>
        <v>0</v>
      </c>
      <c r="R22" s="226">
        <f t="shared" si="19"/>
        <v>0</v>
      </c>
      <c r="S22" s="226">
        <f t="shared" si="19"/>
        <v>0</v>
      </c>
      <c r="T22" s="226">
        <f t="shared" si="19"/>
        <v>0</v>
      </c>
      <c r="U22" s="226">
        <f t="shared" si="19"/>
        <v>0</v>
      </c>
    </row>
    <row r="23" spans="1:23" s="224" customFormat="1" ht="13">
      <c r="B23" s="225" t="s">
        <v>568</v>
      </c>
      <c r="C23" s="225"/>
      <c r="D23" s="225"/>
      <c r="E23" s="225"/>
      <c r="F23" s="225"/>
      <c r="G23" s="225"/>
      <c r="H23" s="225"/>
      <c r="I23" s="226">
        <f t="shared" ref="I23:U23" si="20">I90</f>
        <v>0</v>
      </c>
      <c r="J23" s="226">
        <f t="shared" si="20"/>
        <v>0</v>
      </c>
      <c r="K23" s="226">
        <f t="shared" si="20"/>
        <v>0</v>
      </c>
      <c r="L23" s="226">
        <f t="shared" si="20"/>
        <v>0</v>
      </c>
      <c r="M23" s="226">
        <f t="shared" si="20"/>
        <v>0</v>
      </c>
      <c r="N23" s="226">
        <f t="shared" si="20"/>
        <v>0</v>
      </c>
      <c r="O23" s="227">
        <f t="shared" si="20"/>
        <v>0</v>
      </c>
      <c r="P23" s="226">
        <f t="shared" si="20"/>
        <v>0</v>
      </c>
      <c r="Q23" s="226">
        <f t="shared" si="20"/>
        <v>0</v>
      </c>
      <c r="R23" s="226">
        <f t="shared" si="20"/>
        <v>0</v>
      </c>
      <c r="S23" s="226">
        <f t="shared" si="20"/>
        <v>0</v>
      </c>
      <c r="T23" s="226">
        <f t="shared" si="20"/>
        <v>0</v>
      </c>
      <c r="U23" s="226">
        <f t="shared" si="20"/>
        <v>0</v>
      </c>
    </row>
    <row r="24" spans="1:23" s="224" customFormat="1" ht="13">
      <c r="B24" s="225" t="s">
        <v>569</v>
      </c>
      <c r="C24" s="225"/>
      <c r="D24" s="225"/>
      <c r="E24" s="228"/>
      <c r="F24" s="228"/>
      <c r="G24" s="228">
        <f t="shared" ref="G24:M24" si="21">-F105</f>
        <v>0</v>
      </c>
      <c r="H24" s="228">
        <f t="shared" si="21"/>
        <v>-393801</v>
      </c>
      <c r="I24" s="229">
        <f t="shared" si="21"/>
        <v>-260521</v>
      </c>
      <c r="J24" s="229">
        <f t="shared" si="21"/>
        <v>-322868</v>
      </c>
      <c r="K24" s="229">
        <f t="shared" si="21"/>
        <v>-170112</v>
      </c>
      <c r="L24" s="229">
        <f t="shared" si="21"/>
        <v>-170371</v>
      </c>
      <c r="M24" s="229">
        <f t="shared" si="21"/>
        <v>-121347</v>
      </c>
      <c r="N24" s="229">
        <f t="shared" ref="N24:O24" si="22">-M105</f>
        <v>-142416</v>
      </c>
      <c r="O24" s="310">
        <f t="shared" si="22"/>
        <v>-125583</v>
      </c>
      <c r="P24" s="230">
        <f t="shared" ref="P24:U24" si="23">-P105</f>
        <v>-127593.91099310132</v>
      </c>
      <c r="Q24" s="230">
        <f t="shared" si="23"/>
        <v>-131824.1479889676</v>
      </c>
      <c r="R24" s="230">
        <f t="shared" si="23"/>
        <v>-144410.46146061446</v>
      </c>
      <c r="S24" s="230">
        <f t="shared" si="23"/>
        <v>-147401.92959479627</v>
      </c>
      <c r="T24" s="230">
        <f t="shared" si="23"/>
        <v>-154653.96373069918</v>
      </c>
      <c r="U24" s="230">
        <f t="shared" si="23"/>
        <v>-161291.77118359067</v>
      </c>
    </row>
    <row r="25" spans="1:23">
      <c r="B25" s="220" t="s">
        <v>570</v>
      </c>
      <c r="C25" s="220"/>
      <c r="D25" s="220"/>
      <c r="E25" s="231"/>
      <c r="F25" s="231"/>
      <c r="G25" s="207">
        <f>CF!K47</f>
        <v>-1008865</v>
      </c>
      <c r="H25" s="207">
        <f>CF!L47</f>
        <v>-3888749</v>
      </c>
      <c r="I25" s="207">
        <f>CF!M47</f>
        <v>-1136965</v>
      </c>
      <c r="J25" s="207">
        <f>CF!N47</f>
        <v>-3734027</v>
      </c>
      <c r="K25" s="207">
        <f>CF!O47</f>
        <v>-1096307</v>
      </c>
      <c r="L25" s="207">
        <f>CF!P47</f>
        <v>-2418865</v>
      </c>
      <c r="M25" s="207">
        <f>CF!Q47</f>
        <v>-3354093</v>
      </c>
      <c r="N25" s="207">
        <f>CF!R47</f>
        <v>-4658550</v>
      </c>
      <c r="O25" s="208">
        <f>CF!S47</f>
        <v>-6512668</v>
      </c>
      <c r="P25" s="232">
        <f>-P34*P113</f>
        <v>-4488968.3999999994</v>
      </c>
      <c r="Q25" s="232">
        <f>-Q34*Q113</f>
        <v>-4488968.3999999994</v>
      </c>
      <c r="R25" s="232">
        <f t="shared" ref="R25:T25" si="24">-R34*R113</f>
        <v>-4488968.3999999994</v>
      </c>
      <c r="S25" s="232">
        <f>-S34*S113</f>
        <v>-4488968.3999999994</v>
      </c>
      <c r="T25" s="232">
        <f t="shared" si="24"/>
        <v>-4488968.3999999994</v>
      </c>
      <c r="U25" s="232">
        <f>-U34*U113</f>
        <v>-4488968.3999999994</v>
      </c>
    </row>
    <row r="26" spans="1:23">
      <c r="B26" s="234" t="s">
        <v>571</v>
      </c>
      <c r="C26" s="234"/>
      <c r="D26" s="234"/>
      <c r="E26" s="235"/>
      <c r="F26" s="235"/>
      <c r="G26" s="235">
        <f>-G35</f>
        <v>0</v>
      </c>
      <c r="H26" s="235">
        <f>-H35</f>
        <v>0</v>
      </c>
      <c r="I26" s="235">
        <f>-I35</f>
        <v>0</v>
      </c>
      <c r="J26" s="235">
        <f t="shared" ref="J26" si="25">-J35</f>
        <v>0</v>
      </c>
      <c r="K26" s="235">
        <v>0</v>
      </c>
      <c r="L26" s="235">
        <v>0</v>
      </c>
      <c r="M26" s="235">
        <v>0</v>
      </c>
      <c r="N26" s="222">
        <f>-N35</f>
        <v>0</v>
      </c>
      <c r="O26" s="223">
        <v>0</v>
      </c>
      <c r="P26" s="222">
        <v>0</v>
      </c>
      <c r="Q26" s="222">
        <v>0</v>
      </c>
      <c r="R26" s="222">
        <v>0</v>
      </c>
      <c r="S26" s="222">
        <v>0</v>
      </c>
      <c r="T26" s="222">
        <v>0</v>
      </c>
      <c r="U26" s="222">
        <v>0</v>
      </c>
    </row>
    <row r="27" spans="1:23">
      <c r="B27" s="309" t="s">
        <v>572</v>
      </c>
      <c r="C27" s="309"/>
      <c r="D27" s="220"/>
      <c r="E27" s="220"/>
      <c r="F27" s="220"/>
      <c r="G27" s="220"/>
      <c r="H27" s="308">
        <v>-39</v>
      </c>
      <c r="I27" s="207">
        <v>-41</v>
      </c>
      <c r="J27" s="207">
        <v>-43</v>
      </c>
      <c r="K27" s="207">
        <v>116</v>
      </c>
      <c r="L27" s="207">
        <v>18</v>
      </c>
      <c r="M27" s="236">
        <v>12</v>
      </c>
      <c r="N27" s="232">
        <v>-44</v>
      </c>
      <c r="O27" s="233">
        <f>O28-SUM(O19:O26)</f>
        <v>273132</v>
      </c>
      <c r="P27" s="222">
        <v>0</v>
      </c>
      <c r="Q27" s="222">
        <v>0</v>
      </c>
      <c r="R27" s="222">
        <v>0</v>
      </c>
      <c r="S27" s="222">
        <v>0</v>
      </c>
      <c r="T27" s="222">
        <v>0</v>
      </c>
      <c r="U27" s="222">
        <v>0</v>
      </c>
    </row>
    <row r="28" spans="1:23" s="237" customFormat="1" ht="13">
      <c r="B28" s="238" t="s">
        <v>573</v>
      </c>
      <c r="C28" s="238"/>
      <c r="D28" s="239"/>
      <c r="E28" s="240">
        <f t="shared" ref="E28:U28" si="26">SUM(E19:E21,E25:E27)</f>
        <v>0</v>
      </c>
      <c r="F28" s="240">
        <f t="shared" si="26"/>
        <v>0</v>
      </c>
      <c r="G28" s="240">
        <f>'1BS'!G115</f>
        <v>5823904</v>
      </c>
      <c r="H28" s="240">
        <f>'1BS'!H115</f>
        <v>7473778</v>
      </c>
      <c r="I28" s="240">
        <f>'1BS'!I115</f>
        <v>11231596</v>
      </c>
      <c r="J28" s="240">
        <f>'1BS'!J115</f>
        <v>12374499</v>
      </c>
      <c r="K28" s="240">
        <f>'1BS'!K115</f>
        <v>13655871</v>
      </c>
      <c r="L28" s="240">
        <f>'1BS'!L115</f>
        <v>15564896</v>
      </c>
      <c r="M28" s="240">
        <f>'1BS'!M115</f>
        <v>10217284</v>
      </c>
      <c r="N28" s="240">
        <f>'1BS'!N115</f>
        <v>9217801</v>
      </c>
      <c r="O28" s="241">
        <f>'1BS'!O115</f>
        <v>7047144</v>
      </c>
      <c r="P28" s="240">
        <f>SUM(P19:P21,P25:P27)</f>
        <v>6830031.078749706</v>
      </c>
      <c r="Q28" s="240">
        <f t="shared" si="26"/>
        <v>6754546.8680432728</v>
      </c>
      <c r="R28" s="240">
        <f t="shared" si="26"/>
        <v>7100453.5508570084</v>
      </c>
      <c r="S28" s="240">
        <f t="shared" si="26"/>
        <v>7546514.8526415555</v>
      </c>
      <c r="T28" s="240">
        <f t="shared" si="26"/>
        <v>8235374.9017519997</v>
      </c>
      <c r="U28" s="240">
        <f t="shared" si="26"/>
        <v>9146469.3342575356</v>
      </c>
    </row>
    <row r="29" spans="1:23">
      <c r="B29" s="202"/>
      <c r="C29" s="20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3"/>
      <c r="P29" s="222"/>
      <c r="Q29" s="222"/>
      <c r="R29" s="222"/>
      <c r="S29" s="222"/>
      <c r="T29" s="222"/>
      <c r="U29" s="222"/>
    </row>
    <row r="30" spans="1:23">
      <c r="B30" s="202"/>
      <c r="C30" s="20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22"/>
      <c r="O30" s="223"/>
      <c r="P30" s="222"/>
      <c r="Q30" s="222"/>
      <c r="R30" s="222"/>
      <c r="S30" s="222"/>
      <c r="T30" s="222"/>
      <c r="U30" s="222"/>
    </row>
    <row r="31" spans="1:23">
      <c r="B31" s="202"/>
      <c r="C31" s="20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22"/>
      <c r="O31" s="223"/>
      <c r="P31" s="222"/>
      <c r="Q31" s="222"/>
      <c r="R31" s="222"/>
      <c r="S31" s="222"/>
      <c r="T31" s="222"/>
      <c r="U31" s="222"/>
    </row>
    <row r="32" spans="1:23" ht="13">
      <c r="B32" s="198" t="s">
        <v>574</v>
      </c>
      <c r="C32" s="199">
        <f>C4</f>
        <v>2013</v>
      </c>
      <c r="D32" s="199">
        <v>2014</v>
      </c>
      <c r="E32" s="199">
        <v>2015</v>
      </c>
      <c r="F32" s="199">
        <v>2016</v>
      </c>
      <c r="G32" s="199">
        <v>2017</v>
      </c>
      <c r="H32" s="199">
        <v>2018</v>
      </c>
      <c r="I32" s="199">
        <f t="shared" ref="I32:T32" si="27">I18</f>
        <v>2019</v>
      </c>
      <c r="J32" s="199">
        <f t="shared" si="27"/>
        <v>2020</v>
      </c>
      <c r="K32" s="199">
        <f t="shared" si="27"/>
        <v>2021</v>
      </c>
      <c r="L32" s="199">
        <f t="shared" si="27"/>
        <v>2022</v>
      </c>
      <c r="M32" s="199">
        <f t="shared" si="27"/>
        <v>2023</v>
      </c>
      <c r="N32" s="199">
        <f t="shared" si="27"/>
        <v>2024</v>
      </c>
      <c r="O32" s="200">
        <f t="shared" si="27"/>
        <v>2025</v>
      </c>
      <c r="P32" s="199">
        <f t="shared" si="27"/>
        <v>2026</v>
      </c>
      <c r="Q32" s="199">
        <f t="shared" si="27"/>
        <v>2027</v>
      </c>
      <c r="R32" s="199">
        <f t="shared" si="27"/>
        <v>2028</v>
      </c>
      <c r="S32" s="199">
        <f t="shared" si="27"/>
        <v>2029</v>
      </c>
      <c r="T32" s="199">
        <f t="shared" si="27"/>
        <v>2030</v>
      </c>
      <c r="U32" s="199">
        <v>2030</v>
      </c>
    </row>
    <row r="33" spans="1:21" ht="13">
      <c r="A33" s="201">
        <v>1</v>
      </c>
      <c r="B33" s="237" t="s">
        <v>550</v>
      </c>
      <c r="C33" s="237"/>
      <c r="D33" s="237"/>
      <c r="E33" s="237"/>
      <c r="F33" s="237"/>
      <c r="G33" s="237"/>
      <c r="H33" s="237"/>
    </row>
    <row r="34" spans="1:21">
      <c r="B34" s="234" t="s">
        <v>564</v>
      </c>
      <c r="C34" s="234"/>
      <c r="D34" s="244"/>
      <c r="E34" s="244"/>
      <c r="F34" s="244"/>
      <c r="G34" s="298">
        <f>'1BS'!F102</f>
        <v>6412812</v>
      </c>
      <c r="H34" s="298">
        <f>'1BS'!G102</f>
        <v>6412812</v>
      </c>
      <c r="I34" s="298">
        <f>'1BS'!H102</f>
        <v>6412812</v>
      </c>
      <c r="J34" s="298">
        <f>'1BS'!I102</f>
        <v>6412812</v>
      </c>
      <c r="K34" s="298">
        <f>'1BS'!J102</f>
        <v>6412812</v>
      </c>
      <c r="L34" s="298">
        <f>'1BS'!K102</f>
        <v>6412812</v>
      </c>
      <c r="M34" s="298">
        <f>'1BS'!L102</f>
        <v>6412812</v>
      </c>
      <c r="N34" s="298">
        <f>'1BS'!M102</f>
        <v>12825624</v>
      </c>
      <c r="O34" s="301">
        <f>'1BS'!N102</f>
        <v>12825624</v>
      </c>
      <c r="P34" s="222">
        <f>O37</f>
        <v>12825624</v>
      </c>
      <c r="Q34" s="222">
        <f t="shared" ref="Q34:U34" si="28">P37</f>
        <v>12825624</v>
      </c>
      <c r="R34" s="222">
        <f t="shared" si="28"/>
        <v>12825624</v>
      </c>
      <c r="S34" s="222">
        <f t="shared" si="28"/>
        <v>12825624</v>
      </c>
      <c r="T34" s="222">
        <f t="shared" si="28"/>
        <v>12825624</v>
      </c>
      <c r="U34" s="222">
        <f t="shared" si="28"/>
        <v>12825624</v>
      </c>
    </row>
    <row r="35" spans="1:21">
      <c r="B35" s="245" t="s">
        <v>575</v>
      </c>
      <c r="C35" s="245"/>
      <c r="D35" s="207"/>
      <c r="E35" s="207"/>
      <c r="F35" s="207"/>
      <c r="G35" s="207"/>
      <c r="H35" s="207">
        <v>0</v>
      </c>
      <c r="I35" s="246">
        <v>0</v>
      </c>
      <c r="J35" s="246">
        <v>0</v>
      </c>
      <c r="K35" s="246">
        <v>0</v>
      </c>
      <c r="L35" s="246">
        <v>0</v>
      </c>
      <c r="M35" s="246">
        <v>6412812</v>
      </c>
      <c r="N35" s="246">
        <v>0</v>
      </c>
      <c r="O35" s="291">
        <v>0</v>
      </c>
      <c r="P35" s="222">
        <v>0</v>
      </c>
      <c r="Q35" s="222">
        <v>0</v>
      </c>
      <c r="R35" s="222">
        <v>0</v>
      </c>
      <c r="S35" s="222">
        <v>0</v>
      </c>
      <c r="T35" s="222">
        <v>0</v>
      </c>
      <c r="U35" s="222">
        <v>0</v>
      </c>
    </row>
    <row r="36" spans="1:21">
      <c r="B36" s="245" t="s">
        <v>576</v>
      </c>
      <c r="C36" s="245"/>
      <c r="D36" s="207"/>
      <c r="E36" s="207"/>
      <c r="F36" s="207"/>
      <c r="G36" s="207"/>
      <c r="H36" s="207"/>
      <c r="I36" s="246">
        <v>0</v>
      </c>
      <c r="J36" s="246">
        <v>0</v>
      </c>
      <c r="K36" s="246">
        <v>0</v>
      </c>
      <c r="L36" s="246">
        <v>0</v>
      </c>
      <c r="M36" s="246">
        <v>0</v>
      </c>
      <c r="N36" s="246">
        <v>0</v>
      </c>
      <c r="O36" s="292">
        <v>0</v>
      </c>
      <c r="P36" s="222">
        <v>0</v>
      </c>
      <c r="Q36" s="222">
        <v>0</v>
      </c>
      <c r="R36" s="222">
        <v>0</v>
      </c>
      <c r="S36" s="222">
        <v>0</v>
      </c>
      <c r="T36" s="222">
        <v>0</v>
      </c>
      <c r="U36" s="222">
        <v>0</v>
      </c>
    </row>
    <row r="37" spans="1:21" ht="13">
      <c r="A37" s="201"/>
      <c r="B37" s="247" t="s">
        <v>573</v>
      </c>
      <c r="C37" s="247"/>
      <c r="D37" s="248"/>
      <c r="E37" s="248"/>
      <c r="F37" s="248"/>
      <c r="G37" s="299">
        <f t="shared" ref="G37:M37" si="29">SUM(G34:G36)</f>
        <v>6412812</v>
      </c>
      <c r="H37" s="299">
        <f t="shared" si="29"/>
        <v>6412812</v>
      </c>
      <c r="I37" s="300">
        <f t="shared" si="29"/>
        <v>6412812</v>
      </c>
      <c r="J37" s="300">
        <f t="shared" si="29"/>
        <v>6412812</v>
      </c>
      <c r="K37" s="300">
        <f t="shared" si="29"/>
        <v>6412812</v>
      </c>
      <c r="L37" s="300">
        <f t="shared" si="29"/>
        <v>6412812</v>
      </c>
      <c r="M37" s="300">
        <f t="shared" si="29"/>
        <v>12825624</v>
      </c>
      <c r="N37" s="249">
        <f>SUM(N34:N36)</f>
        <v>12825624</v>
      </c>
      <c r="O37" s="250">
        <f t="shared" ref="O37:U37" si="30">SUM(O34:O36)</f>
        <v>12825624</v>
      </c>
      <c r="P37" s="249">
        <f>SUM(P34:P36)</f>
        <v>12825624</v>
      </c>
      <c r="Q37" s="249">
        <f t="shared" si="30"/>
        <v>12825624</v>
      </c>
      <c r="R37" s="249">
        <f t="shared" si="30"/>
        <v>12825624</v>
      </c>
      <c r="S37" s="249">
        <f t="shared" si="30"/>
        <v>12825624</v>
      </c>
      <c r="T37" s="249">
        <f t="shared" si="30"/>
        <v>12825624</v>
      </c>
      <c r="U37" s="249">
        <f t="shared" si="30"/>
        <v>12825624</v>
      </c>
    </row>
    <row r="38" spans="1:21" ht="14">
      <c r="B38" s="237"/>
      <c r="C38" s="237"/>
      <c r="D38" s="237"/>
      <c r="E38" s="237"/>
      <c r="F38" s="237"/>
      <c r="G38" s="172">
        <f>'1BS'!G103-Equity!G37</f>
        <v>0</v>
      </c>
      <c r="H38" s="172">
        <f>'1BS'!H103-Equity!H37</f>
        <v>0</v>
      </c>
      <c r="I38" s="172">
        <f>'1BS'!I103-Equity!I37</f>
        <v>0</v>
      </c>
      <c r="J38" s="172">
        <f>'1BS'!J103-Equity!J37</f>
        <v>0</v>
      </c>
      <c r="K38" s="172">
        <f>'1BS'!K103-Equity!K37</f>
        <v>0</v>
      </c>
      <c r="L38" s="172">
        <f>'1BS'!L103-Equity!L37</f>
        <v>0</v>
      </c>
      <c r="M38" s="172">
        <f>'1BS'!M103-Equity!M37</f>
        <v>0</v>
      </c>
      <c r="N38" s="172">
        <f>'1BS'!N103-Equity!N37</f>
        <v>0</v>
      </c>
      <c r="O38" s="186">
        <f>'1BS'!O103-Equity!O37</f>
        <v>0</v>
      </c>
      <c r="P38" s="172">
        <f>'1BS'!P103-Equity!P37</f>
        <v>0</v>
      </c>
      <c r="Q38" s="172">
        <f>'1BS'!Q103-Equity!Q37</f>
        <v>0</v>
      </c>
      <c r="R38" s="172">
        <f>'1BS'!R103-Equity!R37</f>
        <v>0</v>
      </c>
      <c r="S38" s="172">
        <f>'1BS'!S103-Equity!S37</f>
        <v>0</v>
      </c>
      <c r="T38" s="172">
        <f>'1BS'!T103-Equity!T37</f>
        <v>0</v>
      </c>
      <c r="U38" s="172">
        <f>'1BS'!U103-Equity!U37</f>
        <v>0</v>
      </c>
    </row>
    <row r="39" spans="1:21" ht="13">
      <c r="A39" s="201">
        <v>2</v>
      </c>
      <c r="B39" s="237" t="s">
        <v>551</v>
      </c>
      <c r="C39" s="237"/>
      <c r="D39" s="237"/>
      <c r="E39" s="237"/>
      <c r="F39" s="237"/>
      <c r="G39" s="237"/>
      <c r="H39" s="237"/>
      <c r="I39" s="222"/>
      <c r="J39" s="222"/>
      <c r="K39" s="222"/>
      <c r="L39" s="222"/>
      <c r="M39" s="222"/>
      <c r="N39" s="222"/>
      <c r="O39" s="223"/>
      <c r="P39" s="222"/>
      <c r="Q39" s="222"/>
      <c r="R39" s="222"/>
      <c r="S39" s="222"/>
      <c r="T39" s="222"/>
      <c r="U39" s="222"/>
    </row>
    <row r="40" spans="1:21">
      <c r="B40" s="234" t="s">
        <v>564</v>
      </c>
      <c r="C40" s="234"/>
      <c r="D40" s="244"/>
      <c r="E40" s="244"/>
      <c r="F40" s="244"/>
      <c r="G40" s="258">
        <f>'1BS'!E105</f>
        <v>0</v>
      </c>
      <c r="H40" s="258">
        <f>'1BS'!F105</f>
        <v>0</v>
      </c>
      <c r="I40" s="258">
        <f>'1BS'!G105</f>
        <v>0</v>
      </c>
      <c r="J40" s="258">
        <f>'1BS'!H105</f>
        <v>0</v>
      </c>
      <c r="K40" s="258">
        <f>'1BS'!I105</f>
        <v>0</v>
      </c>
      <c r="L40" s="258">
        <f>'1BS'!J105</f>
        <v>0</v>
      </c>
      <c r="M40" s="258">
        <f>'1BS'!K105</f>
        <v>0</v>
      </c>
      <c r="N40" s="258">
        <f>'1BS'!L105</f>
        <v>0</v>
      </c>
      <c r="O40" s="311">
        <f>'1BS'!M105</f>
        <v>0</v>
      </c>
      <c r="P40" s="222">
        <f t="shared" ref="P40:U40" ca="1" si="31">O43</f>
        <v>0</v>
      </c>
      <c r="Q40" s="222">
        <f t="shared" ca="1" si="31"/>
        <v>0</v>
      </c>
      <c r="R40" s="222">
        <f t="shared" ca="1" si="31"/>
        <v>0</v>
      </c>
      <c r="S40" s="222">
        <f t="shared" ca="1" si="31"/>
        <v>0</v>
      </c>
      <c r="T40" s="222">
        <f t="shared" ca="1" si="31"/>
        <v>0</v>
      </c>
      <c r="U40" s="222">
        <f t="shared" ca="1" si="31"/>
        <v>0</v>
      </c>
    </row>
    <row r="41" spans="1:21">
      <c r="B41" s="234" t="s">
        <v>577</v>
      </c>
      <c r="C41" s="234"/>
      <c r="D41" s="295"/>
      <c r="E41" s="295"/>
      <c r="F41" s="295"/>
      <c r="G41" s="207">
        <f>'1BS'!I105</f>
        <v>0</v>
      </c>
      <c r="H41" s="207">
        <f>'1BS'!J105</f>
        <v>0</v>
      </c>
      <c r="I41" s="207">
        <f>'1BS'!K105</f>
        <v>0</v>
      </c>
      <c r="J41" s="207">
        <f>'1BS'!L105</f>
        <v>0</v>
      </c>
      <c r="K41" s="207">
        <f>'1BS'!M105</f>
        <v>0</v>
      </c>
      <c r="L41" s="207">
        <f>'1BS'!N105</f>
        <v>0</v>
      </c>
      <c r="M41" s="207">
        <f>'1BS'!O105</f>
        <v>0</v>
      </c>
      <c r="N41" s="207">
        <f ca="1">'1BS'!P105</f>
        <v>0</v>
      </c>
      <c r="O41" s="208">
        <f ca="1">'1BS'!Q105</f>
        <v>0</v>
      </c>
      <c r="P41" s="222">
        <v>0</v>
      </c>
      <c r="Q41" s="222">
        <v>0</v>
      </c>
      <c r="R41" s="222">
        <v>0</v>
      </c>
      <c r="S41" s="222">
        <v>0</v>
      </c>
      <c r="T41" s="222">
        <v>0</v>
      </c>
      <c r="U41" s="222">
        <v>0</v>
      </c>
    </row>
    <row r="42" spans="1:21">
      <c r="B42" s="234" t="s">
        <v>578</v>
      </c>
      <c r="C42" s="234"/>
      <c r="D42" s="295"/>
      <c r="E42" s="295"/>
      <c r="F42" s="295"/>
      <c r="G42" s="236">
        <f>'1BS'!E105</f>
        <v>0</v>
      </c>
      <c r="H42" s="236">
        <f>'1BS'!F105</f>
        <v>0</v>
      </c>
      <c r="I42" s="236">
        <f>'1BS'!G105</f>
        <v>0</v>
      </c>
      <c r="J42" s="236">
        <f>'1BS'!H105</f>
        <v>0</v>
      </c>
      <c r="K42" s="236">
        <f>'1BS'!I105</f>
        <v>0</v>
      </c>
      <c r="L42" s="236">
        <f>'1BS'!J105</f>
        <v>0</v>
      </c>
      <c r="M42" s="236">
        <f>'1BS'!K105</f>
        <v>0</v>
      </c>
      <c r="N42" s="236">
        <f>'1BS'!L105</f>
        <v>0</v>
      </c>
      <c r="O42" s="303">
        <f>'1BS'!M105</f>
        <v>0</v>
      </c>
      <c r="P42" s="222">
        <v>0</v>
      </c>
      <c r="Q42" s="222">
        <v>0</v>
      </c>
      <c r="R42" s="222">
        <v>0</v>
      </c>
      <c r="S42" s="222">
        <v>0</v>
      </c>
      <c r="T42" s="222">
        <v>0</v>
      </c>
      <c r="U42" s="222">
        <v>0</v>
      </c>
    </row>
    <row r="43" spans="1:21">
      <c r="B43" s="251" t="s">
        <v>573</v>
      </c>
      <c r="C43" s="251"/>
      <c r="D43" s="252"/>
      <c r="E43" s="252"/>
      <c r="F43" s="252"/>
      <c r="G43" s="258">
        <f>SUM(G40:G42)</f>
        <v>0</v>
      </c>
      <c r="H43" s="258">
        <f t="shared" ref="H43:O43" si="32">SUM(H40:H42)</f>
        <v>0</v>
      </c>
      <c r="I43" s="258">
        <f t="shared" si="32"/>
        <v>0</v>
      </c>
      <c r="J43" s="258">
        <f t="shared" si="32"/>
        <v>0</v>
      </c>
      <c r="K43" s="258">
        <f t="shared" si="32"/>
        <v>0</v>
      </c>
      <c r="L43" s="258">
        <f t="shared" si="32"/>
        <v>0</v>
      </c>
      <c r="M43" s="258">
        <f t="shared" si="32"/>
        <v>0</v>
      </c>
      <c r="N43" s="258">
        <f t="shared" ca="1" si="32"/>
        <v>0</v>
      </c>
      <c r="O43" s="311">
        <f t="shared" ca="1" si="32"/>
        <v>0</v>
      </c>
      <c r="P43" s="253">
        <f t="shared" ref="P43:U43" ca="1" si="33">SUM(P40:P42)</f>
        <v>0</v>
      </c>
      <c r="Q43" s="253">
        <f t="shared" ca="1" si="33"/>
        <v>0</v>
      </c>
      <c r="R43" s="253">
        <f t="shared" ca="1" si="33"/>
        <v>0</v>
      </c>
      <c r="S43" s="253">
        <f t="shared" ca="1" si="33"/>
        <v>0</v>
      </c>
      <c r="T43" s="253">
        <f t="shared" ca="1" si="33"/>
        <v>0</v>
      </c>
      <c r="U43" s="253">
        <f t="shared" ca="1" si="33"/>
        <v>0</v>
      </c>
    </row>
    <row r="44" spans="1:21" ht="14">
      <c r="D44" s="205"/>
      <c r="E44" s="205"/>
      <c r="F44" s="205"/>
      <c r="G44" s="172"/>
      <c r="H44" s="172"/>
      <c r="I44" s="172"/>
      <c r="J44" s="172"/>
      <c r="K44" s="172"/>
      <c r="L44" s="172"/>
      <c r="M44" s="172"/>
      <c r="N44" s="172"/>
      <c r="O44" s="186"/>
      <c r="P44" s="172">
        <f ca="1">'1BS'!P105-P43</f>
        <v>0</v>
      </c>
      <c r="Q44" s="172">
        <f ca="1">'1BS'!Q105-Q43</f>
        <v>0</v>
      </c>
      <c r="R44" s="172">
        <f ca="1">'1BS'!R105-R43</f>
        <v>0</v>
      </c>
      <c r="S44" s="172">
        <f ca="1">'1BS'!S105-S43</f>
        <v>0</v>
      </c>
      <c r="T44" s="172">
        <f ca="1">'1BS'!T105-T43</f>
        <v>0</v>
      </c>
      <c r="U44" s="172">
        <f ca="1">'1BS'!U105-U43</f>
        <v>0</v>
      </c>
    </row>
    <row r="45" spans="1:21">
      <c r="I45" s="222"/>
      <c r="J45" s="222"/>
      <c r="K45" s="222"/>
      <c r="L45" s="222"/>
      <c r="M45" s="222"/>
      <c r="N45" s="222"/>
      <c r="O45" s="223"/>
      <c r="P45" s="222"/>
      <c r="Q45" s="222"/>
      <c r="R45" s="222"/>
      <c r="S45" s="222"/>
      <c r="T45" s="222"/>
      <c r="U45" s="222"/>
    </row>
    <row r="46" spans="1:21" ht="13">
      <c r="A46" s="201">
        <v>3</v>
      </c>
      <c r="B46" s="237" t="s">
        <v>552</v>
      </c>
      <c r="C46" s="237"/>
      <c r="D46" s="237"/>
      <c r="E46" s="237"/>
      <c r="F46" s="237"/>
      <c r="G46" s="237"/>
      <c r="H46" s="237"/>
      <c r="I46" s="222"/>
      <c r="J46" s="222"/>
      <c r="K46" s="222"/>
      <c r="L46" s="222"/>
      <c r="M46" s="222"/>
      <c r="N46" s="222"/>
      <c r="O46" s="223"/>
      <c r="P46" s="222"/>
      <c r="Q46" s="222"/>
      <c r="R46" s="222"/>
      <c r="S46" s="222"/>
      <c r="T46" s="222"/>
      <c r="U46" s="222"/>
    </row>
    <row r="47" spans="1:21">
      <c r="B47" s="234" t="s">
        <v>564</v>
      </c>
      <c r="C47" s="234"/>
      <c r="D47" s="205"/>
      <c r="E47" s="205"/>
      <c r="F47" s="205"/>
      <c r="G47" s="298">
        <f>'1BS'!E107</f>
        <v>3209</v>
      </c>
      <c r="H47" s="298">
        <f>'1BS'!F107</f>
        <v>3209</v>
      </c>
      <c r="I47" s="298">
        <f>'1BS'!G107</f>
        <v>3209</v>
      </c>
      <c r="J47" s="298">
        <f>'1BS'!H107</f>
        <v>3209</v>
      </c>
      <c r="K47" s="298">
        <f>'1BS'!I107</f>
        <v>3209</v>
      </c>
      <c r="L47" s="298">
        <f>'1BS'!J107</f>
        <v>3209</v>
      </c>
      <c r="M47" s="298">
        <f>'1BS'!K107</f>
        <v>3209</v>
      </c>
      <c r="N47" s="298">
        <f>'1BS'!L107</f>
        <v>3209</v>
      </c>
      <c r="O47" s="301">
        <f>'1BS'!M107</f>
        <v>3209</v>
      </c>
      <c r="P47" s="255">
        <f>O50</f>
        <v>3409</v>
      </c>
      <c r="Q47" s="255">
        <f t="shared" ref="Q47:U47" si="34">P50</f>
        <v>3409</v>
      </c>
      <c r="R47" s="255">
        <f t="shared" si="34"/>
        <v>3409</v>
      </c>
      <c r="S47" s="255">
        <f t="shared" si="34"/>
        <v>3409</v>
      </c>
      <c r="T47" s="255">
        <f t="shared" si="34"/>
        <v>3409</v>
      </c>
      <c r="U47" s="255">
        <f t="shared" si="34"/>
        <v>3409</v>
      </c>
    </row>
    <row r="48" spans="1:21">
      <c r="B48" s="234" t="s">
        <v>577</v>
      </c>
      <c r="C48" s="234"/>
      <c r="D48" s="205"/>
      <c r="E48" s="205"/>
      <c r="F48" s="205"/>
      <c r="G48" s="207">
        <v>0</v>
      </c>
      <c r="H48" s="246">
        <v>0</v>
      </c>
      <c r="I48" s="246">
        <v>0</v>
      </c>
      <c r="J48" s="246">
        <v>0</v>
      </c>
      <c r="K48" s="246">
        <v>0</v>
      </c>
      <c r="L48" s="246">
        <v>0</v>
      </c>
      <c r="M48" s="246">
        <v>0</v>
      </c>
      <c r="N48" s="246">
        <v>0</v>
      </c>
      <c r="O48" s="291">
        <v>200</v>
      </c>
      <c r="P48" s="255">
        <v>0</v>
      </c>
      <c r="Q48" s="255">
        <v>0</v>
      </c>
      <c r="R48" s="255">
        <v>0</v>
      </c>
      <c r="S48" s="255">
        <v>0</v>
      </c>
      <c r="T48" s="255">
        <v>0</v>
      </c>
      <c r="U48" s="255">
        <v>0</v>
      </c>
    </row>
    <row r="49" spans="1:21">
      <c r="B49" s="234" t="s">
        <v>578</v>
      </c>
      <c r="C49" s="234"/>
      <c r="D49" s="205"/>
      <c r="E49" s="205"/>
      <c r="F49" s="205"/>
      <c r="G49" s="207">
        <v>0</v>
      </c>
      <c r="H49" s="246">
        <v>0</v>
      </c>
      <c r="I49" s="246">
        <v>0</v>
      </c>
      <c r="J49" s="246">
        <v>0</v>
      </c>
      <c r="K49" s="246">
        <v>0</v>
      </c>
      <c r="L49" s="246"/>
      <c r="M49" s="246">
        <v>0</v>
      </c>
      <c r="N49" s="246">
        <v>0</v>
      </c>
      <c r="O49" s="292">
        <v>0</v>
      </c>
      <c r="P49" s="255">
        <v>0</v>
      </c>
      <c r="Q49" s="255">
        <v>0</v>
      </c>
      <c r="R49" s="255">
        <v>0</v>
      </c>
      <c r="S49" s="255">
        <v>0</v>
      </c>
      <c r="T49" s="255">
        <v>0</v>
      </c>
      <c r="U49" s="255">
        <v>0</v>
      </c>
    </row>
    <row r="50" spans="1:21">
      <c r="B50" s="251" t="s">
        <v>573</v>
      </c>
      <c r="C50" s="251"/>
      <c r="D50" s="252"/>
      <c r="E50" s="252"/>
      <c r="F50" s="252"/>
      <c r="G50" s="249">
        <f>SUM(G47:G49)</f>
        <v>3209</v>
      </c>
      <c r="H50" s="249">
        <f t="shared" ref="H50:N50" si="35">SUM(H47:H49)</f>
        <v>3209</v>
      </c>
      <c r="I50" s="249">
        <f t="shared" si="35"/>
        <v>3209</v>
      </c>
      <c r="J50" s="249">
        <f t="shared" si="35"/>
        <v>3209</v>
      </c>
      <c r="K50" s="249">
        <f t="shared" si="35"/>
        <v>3209</v>
      </c>
      <c r="L50" s="249">
        <f t="shared" si="35"/>
        <v>3209</v>
      </c>
      <c r="M50" s="249">
        <f t="shared" si="35"/>
        <v>3209</v>
      </c>
      <c r="N50" s="249">
        <f t="shared" si="35"/>
        <v>3209</v>
      </c>
      <c r="O50" s="250">
        <f>SUM(O47:O49)</f>
        <v>3409</v>
      </c>
      <c r="P50" s="256">
        <f t="shared" ref="P50:R50" si="36">SUM(P47:P49)</f>
        <v>3409</v>
      </c>
      <c r="Q50" s="256">
        <f t="shared" si="36"/>
        <v>3409</v>
      </c>
      <c r="R50" s="256">
        <f t="shared" si="36"/>
        <v>3409</v>
      </c>
      <c r="S50" s="256">
        <f t="shared" ref="S50:U50" si="37">SUM(S47:S49)</f>
        <v>3409</v>
      </c>
      <c r="T50" s="256">
        <f t="shared" si="37"/>
        <v>3409</v>
      </c>
      <c r="U50" s="256">
        <f t="shared" si="37"/>
        <v>3409</v>
      </c>
    </row>
    <row r="51" spans="1:21" ht="14">
      <c r="D51" s="205"/>
      <c r="E51" s="205"/>
      <c r="F51" s="205"/>
      <c r="G51" s="172">
        <f>'1BS'!G107-Equity!G50</f>
        <v>0</v>
      </c>
      <c r="H51" s="172">
        <f>'1BS'!H107-Equity!H50</f>
        <v>0</v>
      </c>
      <c r="I51" s="172">
        <f>'1BS'!I107-Equity!I50</f>
        <v>0</v>
      </c>
      <c r="J51" s="172">
        <f>'1BS'!J107-Equity!J50</f>
        <v>0</v>
      </c>
      <c r="K51" s="172">
        <f>'1BS'!K107-Equity!K50</f>
        <v>0</v>
      </c>
      <c r="L51" s="172">
        <f>'1BS'!L107-Equity!L50</f>
        <v>0</v>
      </c>
      <c r="M51" s="172">
        <f>'1BS'!M107-Equity!M50</f>
        <v>0</v>
      </c>
      <c r="N51" s="172">
        <f>'1BS'!N107-Equity!N50</f>
        <v>0</v>
      </c>
      <c r="O51" s="186">
        <f>'1BS'!O107-Equity!O50</f>
        <v>0</v>
      </c>
      <c r="P51" s="257">
        <f>'1BS'!P107-Equity!P50</f>
        <v>0</v>
      </c>
      <c r="Q51" s="257">
        <f>'1BS'!Q107-Equity!Q50</f>
        <v>0</v>
      </c>
      <c r="R51" s="257">
        <f>'1BS'!R107-Equity!R50</f>
        <v>0</v>
      </c>
      <c r="S51" s="257">
        <f>'1BS'!S107-Equity!S50</f>
        <v>0</v>
      </c>
      <c r="T51" s="257">
        <f>'1BS'!T107-Equity!T50</f>
        <v>0</v>
      </c>
      <c r="U51" s="257">
        <f>'1BS'!U107-Equity!U50</f>
        <v>0</v>
      </c>
    </row>
    <row r="52" spans="1:21">
      <c r="I52" s="222"/>
      <c r="J52" s="222"/>
      <c r="K52" s="222"/>
      <c r="L52" s="222"/>
      <c r="M52" s="222"/>
      <c r="N52" s="222"/>
      <c r="O52" s="223"/>
      <c r="P52" s="222"/>
      <c r="Q52" s="222"/>
      <c r="R52" s="222"/>
      <c r="S52" s="222"/>
      <c r="T52" s="222"/>
      <c r="U52" s="222"/>
    </row>
    <row r="53" spans="1:21" ht="13">
      <c r="A53" s="201">
        <v>4</v>
      </c>
      <c r="B53" s="237" t="s">
        <v>579</v>
      </c>
      <c r="C53" s="237"/>
      <c r="E53" s="237"/>
      <c r="F53" s="237"/>
      <c r="G53" s="237"/>
      <c r="H53" s="237"/>
    </row>
    <row r="54" spans="1:21">
      <c r="B54" s="234" t="s">
        <v>564</v>
      </c>
      <c r="C54" s="234"/>
      <c r="D54" s="244"/>
      <c r="E54" s="244"/>
      <c r="F54" s="244"/>
      <c r="G54" s="298">
        <f>'1BS'!F108</f>
        <v>-23450</v>
      </c>
      <c r="H54" s="244">
        <f>'1BS'!G108</f>
        <v>0</v>
      </c>
      <c r="I54" s="244">
        <f>'1BS'!H108</f>
        <v>0</v>
      </c>
      <c r="J54" s="244">
        <f>'1BS'!I108</f>
        <v>0</v>
      </c>
      <c r="K54" s="244">
        <f>'1BS'!J108</f>
        <v>0</v>
      </c>
      <c r="L54" s="244">
        <f>'1BS'!K108</f>
        <v>0</v>
      </c>
      <c r="M54" s="244">
        <f>'1BS'!L108</f>
        <v>0</v>
      </c>
      <c r="N54" s="244">
        <f>'1BS'!M108</f>
        <v>0</v>
      </c>
      <c r="O54" s="296">
        <f>'1BS'!N108</f>
        <v>0</v>
      </c>
      <c r="P54" s="222">
        <f t="shared" ref="P54:U54" si="38">O57</f>
        <v>0</v>
      </c>
      <c r="Q54" s="222">
        <f t="shared" si="38"/>
        <v>0</v>
      </c>
      <c r="R54" s="222">
        <f t="shared" si="38"/>
        <v>0</v>
      </c>
      <c r="S54" s="222">
        <f t="shared" si="38"/>
        <v>0</v>
      </c>
      <c r="T54" s="222">
        <f t="shared" si="38"/>
        <v>0</v>
      </c>
      <c r="U54" s="222">
        <f t="shared" si="38"/>
        <v>0</v>
      </c>
    </row>
    <row r="55" spans="1:21">
      <c r="B55" s="234" t="s">
        <v>577</v>
      </c>
      <c r="C55" s="234"/>
      <c r="D55" s="207"/>
      <c r="E55" s="207"/>
      <c r="F55" s="207"/>
      <c r="G55" s="207">
        <v>0</v>
      </c>
      <c r="H55" s="258">
        <v>0</v>
      </c>
      <c r="I55" s="207">
        <v>0</v>
      </c>
      <c r="J55" s="207">
        <v>0</v>
      </c>
      <c r="K55" s="207">
        <v>0</v>
      </c>
      <c r="L55" s="207">
        <v>0</v>
      </c>
      <c r="M55" s="207">
        <v>0</v>
      </c>
      <c r="N55" s="258">
        <v>0</v>
      </c>
      <c r="O55" s="311">
        <v>0</v>
      </c>
      <c r="P55" s="222"/>
      <c r="Q55" s="222">
        <v>0</v>
      </c>
      <c r="R55" s="222">
        <v>0</v>
      </c>
      <c r="S55" s="222">
        <v>0</v>
      </c>
      <c r="T55" s="222">
        <v>0</v>
      </c>
      <c r="U55" s="222">
        <v>0</v>
      </c>
    </row>
    <row r="56" spans="1:21">
      <c r="B56" s="234" t="s">
        <v>578</v>
      </c>
      <c r="C56" s="234"/>
      <c r="D56" s="207"/>
      <c r="E56" s="207"/>
      <c r="F56" s="207"/>
      <c r="G56" s="207">
        <v>23450</v>
      </c>
      <c r="H56" s="207">
        <v>0</v>
      </c>
      <c r="I56" s="207">
        <v>0</v>
      </c>
      <c r="J56" s="207">
        <v>0</v>
      </c>
      <c r="K56" s="207">
        <v>0</v>
      </c>
      <c r="L56" s="207">
        <v>0</v>
      </c>
      <c r="M56" s="207">
        <v>0</v>
      </c>
      <c r="N56" s="258">
        <v>0</v>
      </c>
      <c r="O56" s="311">
        <v>0</v>
      </c>
      <c r="P56" s="222">
        <v>0</v>
      </c>
      <c r="Q56" s="222">
        <v>0</v>
      </c>
      <c r="R56" s="222">
        <v>0</v>
      </c>
      <c r="S56" s="222">
        <v>0</v>
      </c>
      <c r="T56" s="222">
        <v>0</v>
      </c>
      <c r="U56" s="222">
        <v>0</v>
      </c>
    </row>
    <row r="57" spans="1:21">
      <c r="B57" s="251" t="s">
        <v>573</v>
      </c>
      <c r="C57" s="251"/>
      <c r="D57" s="252"/>
      <c r="E57" s="252"/>
      <c r="F57" s="252"/>
      <c r="G57" s="252">
        <f t="shared" ref="G57:M57" si="39">SUM(G54:G56)</f>
        <v>0</v>
      </c>
      <c r="H57" s="252">
        <f t="shared" si="39"/>
        <v>0</v>
      </c>
      <c r="I57" s="252">
        <f t="shared" si="39"/>
        <v>0</v>
      </c>
      <c r="J57" s="252">
        <f t="shared" si="39"/>
        <v>0</v>
      </c>
      <c r="K57" s="252">
        <f t="shared" si="39"/>
        <v>0</v>
      </c>
      <c r="L57" s="252">
        <f t="shared" si="39"/>
        <v>0</v>
      </c>
      <c r="M57" s="252">
        <f t="shared" si="39"/>
        <v>0</v>
      </c>
      <c r="N57" s="253">
        <f t="shared" ref="N57:U57" si="40">SUM(N54:N56)</f>
        <v>0</v>
      </c>
      <c r="O57" s="254">
        <f t="shared" si="40"/>
        <v>0</v>
      </c>
      <c r="P57" s="253">
        <f t="shared" si="40"/>
        <v>0</v>
      </c>
      <c r="Q57" s="253">
        <f t="shared" si="40"/>
        <v>0</v>
      </c>
      <c r="R57" s="253">
        <f t="shared" si="40"/>
        <v>0</v>
      </c>
      <c r="S57" s="253">
        <f t="shared" si="40"/>
        <v>0</v>
      </c>
      <c r="T57" s="253">
        <f t="shared" si="40"/>
        <v>0</v>
      </c>
      <c r="U57" s="253">
        <f t="shared" si="40"/>
        <v>0</v>
      </c>
    </row>
    <row r="58" spans="1:21" ht="14">
      <c r="D58" s="205"/>
      <c r="E58" s="205"/>
      <c r="F58" s="205"/>
      <c r="G58" s="172">
        <f>'1BS'!G108-G57</f>
        <v>0</v>
      </c>
      <c r="H58" s="172">
        <f>'1BS'!H108-H57</f>
        <v>0</v>
      </c>
      <c r="I58" s="172">
        <f>'1BS'!I108-I57</f>
        <v>0</v>
      </c>
      <c r="J58" s="172">
        <f>'1BS'!J108-J57</f>
        <v>0</v>
      </c>
      <c r="K58" s="172">
        <f>'1BS'!K108-K57</f>
        <v>0</v>
      </c>
      <c r="L58" s="172">
        <f>'1BS'!L108-L57</f>
        <v>0</v>
      </c>
      <c r="M58" s="172">
        <f>'1BS'!M108-M57</f>
        <v>0</v>
      </c>
      <c r="N58" s="172">
        <f>'1BS'!N108-N57</f>
        <v>0</v>
      </c>
      <c r="O58" s="186">
        <f>'1BS'!O108-O57</f>
        <v>0</v>
      </c>
      <c r="P58" s="172">
        <f>'1BS'!P108-P57</f>
        <v>0</v>
      </c>
      <c r="Q58" s="172">
        <f>'1BS'!Q108-Q57</f>
        <v>0</v>
      </c>
      <c r="R58" s="172">
        <f>'1BS'!R108-R57</f>
        <v>0</v>
      </c>
      <c r="S58" s="172">
        <f>'1BS'!S108-S57</f>
        <v>0</v>
      </c>
      <c r="T58" s="172">
        <f>'1BS'!T108-T57</f>
        <v>0</v>
      </c>
      <c r="U58" s="172">
        <f>'1BS'!U108-U57</f>
        <v>0</v>
      </c>
    </row>
    <row r="59" spans="1:21">
      <c r="I59" s="222"/>
      <c r="J59" s="222"/>
      <c r="K59" s="222"/>
      <c r="L59" s="222"/>
      <c r="M59" s="222"/>
      <c r="N59" s="222"/>
      <c r="O59" s="223"/>
      <c r="P59" s="222"/>
      <c r="Q59" s="222"/>
      <c r="R59" s="222"/>
      <c r="S59" s="222"/>
      <c r="T59" s="222"/>
      <c r="U59" s="222"/>
    </row>
    <row r="60" spans="1:21" ht="13">
      <c r="A60" s="201">
        <v>5</v>
      </c>
      <c r="B60" s="237" t="s">
        <v>554</v>
      </c>
      <c r="C60" s="237"/>
      <c r="E60" s="237"/>
      <c r="F60" s="237"/>
      <c r="G60" s="237"/>
      <c r="H60" s="237"/>
    </row>
    <row r="61" spans="1:21">
      <c r="B61" s="234" t="s">
        <v>564</v>
      </c>
      <c r="C61" s="234"/>
      <c r="D61" s="244"/>
      <c r="E61" s="244"/>
      <c r="F61" s="244"/>
      <c r="G61" s="258">
        <f>'1BS'!E109</f>
        <v>0</v>
      </c>
      <c r="H61" s="258">
        <f>'1BS'!F109</f>
        <v>0</v>
      </c>
      <c r="I61" s="258">
        <f>'1BS'!G109</f>
        <v>0</v>
      </c>
      <c r="J61" s="258">
        <f>'1BS'!H109</f>
        <v>0</v>
      </c>
      <c r="K61" s="258">
        <f>'1BS'!I109</f>
        <v>0</v>
      </c>
      <c r="L61" s="258">
        <f>'1BS'!J109</f>
        <v>0</v>
      </c>
      <c r="M61" s="258">
        <f>'1BS'!K109</f>
        <v>0</v>
      </c>
      <c r="N61" s="258">
        <f>'1BS'!L109</f>
        <v>0</v>
      </c>
      <c r="O61" s="311">
        <f>'1BS'!M109</f>
        <v>0</v>
      </c>
      <c r="P61" s="222">
        <f t="shared" ref="P61:U61" si="41">O64</f>
        <v>0</v>
      </c>
      <c r="Q61" s="222">
        <f t="shared" si="41"/>
        <v>0</v>
      </c>
      <c r="R61" s="222">
        <f t="shared" si="41"/>
        <v>0</v>
      </c>
      <c r="S61" s="222">
        <f t="shared" si="41"/>
        <v>0</v>
      </c>
      <c r="T61" s="222">
        <f t="shared" si="41"/>
        <v>0</v>
      </c>
      <c r="U61" s="222">
        <f t="shared" si="41"/>
        <v>0</v>
      </c>
    </row>
    <row r="62" spans="1:21">
      <c r="B62" s="234" t="s">
        <v>577</v>
      </c>
      <c r="C62" s="234"/>
      <c r="D62" s="207"/>
      <c r="E62" s="207"/>
      <c r="F62" s="207"/>
      <c r="G62" s="258">
        <v>0</v>
      </c>
      <c r="H62" s="258">
        <v>0</v>
      </c>
      <c r="I62" s="207">
        <v>0</v>
      </c>
      <c r="J62" s="207">
        <v>0</v>
      </c>
      <c r="K62" s="207">
        <v>0</v>
      </c>
      <c r="L62" s="207">
        <v>0</v>
      </c>
      <c r="M62" s="207">
        <v>0</v>
      </c>
      <c r="N62" s="258">
        <v>0</v>
      </c>
      <c r="O62" s="311">
        <v>0</v>
      </c>
      <c r="P62" s="222"/>
      <c r="Q62" s="222">
        <v>0</v>
      </c>
      <c r="R62" s="222">
        <v>0</v>
      </c>
      <c r="S62" s="222">
        <v>0</v>
      </c>
      <c r="T62" s="222">
        <v>0</v>
      </c>
      <c r="U62" s="222">
        <v>0</v>
      </c>
    </row>
    <row r="63" spans="1:21">
      <c r="B63" s="234" t="s">
        <v>578</v>
      </c>
      <c r="C63" s="234"/>
      <c r="D63" s="207"/>
      <c r="E63" s="207"/>
      <c r="F63" s="207"/>
      <c r="G63" s="302">
        <v>0</v>
      </c>
      <c r="H63" s="302">
        <v>0</v>
      </c>
      <c r="I63" s="236">
        <v>0</v>
      </c>
      <c r="J63" s="236">
        <v>0</v>
      </c>
      <c r="K63" s="236">
        <v>0</v>
      </c>
      <c r="L63" s="236">
        <v>0</v>
      </c>
      <c r="M63" s="236">
        <v>0</v>
      </c>
      <c r="N63" s="302">
        <v>0</v>
      </c>
      <c r="O63" s="312">
        <v>0</v>
      </c>
      <c r="P63" s="222">
        <v>0</v>
      </c>
      <c r="Q63" s="222">
        <v>0</v>
      </c>
      <c r="R63" s="222">
        <v>0</v>
      </c>
      <c r="S63" s="222">
        <v>0</v>
      </c>
      <c r="T63" s="222">
        <v>0</v>
      </c>
      <c r="U63" s="222">
        <v>0</v>
      </c>
    </row>
    <row r="64" spans="1:21">
      <c r="B64" s="251" t="s">
        <v>573</v>
      </c>
      <c r="C64" s="251"/>
      <c r="D64" s="252"/>
      <c r="E64" s="252"/>
      <c r="F64" s="252"/>
      <c r="G64" s="258">
        <f>SUM(G61:G63)</f>
        <v>0</v>
      </c>
      <c r="H64" s="258">
        <f t="shared" ref="H64:O64" si="42">SUM(H61:H63)</f>
        <v>0</v>
      </c>
      <c r="I64" s="258">
        <f t="shared" si="42"/>
        <v>0</v>
      </c>
      <c r="J64" s="258">
        <f t="shared" si="42"/>
        <v>0</v>
      </c>
      <c r="K64" s="258">
        <f t="shared" si="42"/>
        <v>0</v>
      </c>
      <c r="L64" s="258">
        <f t="shared" si="42"/>
        <v>0</v>
      </c>
      <c r="M64" s="258">
        <f t="shared" si="42"/>
        <v>0</v>
      </c>
      <c r="N64" s="258">
        <f t="shared" si="42"/>
        <v>0</v>
      </c>
      <c r="O64" s="311">
        <f t="shared" si="42"/>
        <v>0</v>
      </c>
      <c r="P64" s="253">
        <f t="shared" ref="P64:R64" si="43">SUM(P61:P63)</f>
        <v>0</v>
      </c>
      <c r="Q64" s="253">
        <f t="shared" si="43"/>
        <v>0</v>
      </c>
      <c r="R64" s="253">
        <f t="shared" si="43"/>
        <v>0</v>
      </c>
      <c r="S64" s="253">
        <f t="shared" ref="S64:U64" si="44">SUM(S61:S63)</f>
        <v>0</v>
      </c>
      <c r="T64" s="253">
        <f t="shared" si="44"/>
        <v>0</v>
      </c>
      <c r="U64" s="253">
        <f t="shared" si="44"/>
        <v>0</v>
      </c>
    </row>
    <row r="65" spans="1:21" ht="14">
      <c r="D65" s="205"/>
      <c r="E65" s="205"/>
      <c r="F65" s="205"/>
      <c r="G65" s="172">
        <f>'1BS'!G109-Equity!G64</f>
        <v>0</v>
      </c>
      <c r="H65" s="172">
        <f>'1BS'!H109-Equity!H64</f>
        <v>0</v>
      </c>
      <c r="I65" s="172">
        <f>'1BS'!I109-Equity!I64</f>
        <v>0</v>
      </c>
      <c r="J65" s="172">
        <f>'1BS'!J109-Equity!J64</f>
        <v>0</v>
      </c>
      <c r="K65" s="172">
        <f>'1BS'!K109-Equity!K64</f>
        <v>0</v>
      </c>
      <c r="L65" s="172">
        <f>'1BS'!L109-Equity!L64</f>
        <v>0</v>
      </c>
      <c r="M65" s="172">
        <f>'1BS'!M109-Equity!M64</f>
        <v>0</v>
      </c>
      <c r="N65" s="172">
        <f>'1BS'!N109-Equity!N64</f>
        <v>0</v>
      </c>
      <c r="O65" s="186">
        <f>'1BS'!O109-Equity!O64</f>
        <v>0</v>
      </c>
      <c r="P65" s="172">
        <f>'1BS'!P109-Equity!P64</f>
        <v>0</v>
      </c>
      <c r="Q65" s="172">
        <f>'1BS'!Q109-Equity!Q64</f>
        <v>0</v>
      </c>
      <c r="R65" s="172">
        <f>'1BS'!R109-Equity!R64</f>
        <v>0</v>
      </c>
      <c r="S65" s="172">
        <f>'1BS'!S109-Equity!S64</f>
        <v>0</v>
      </c>
      <c r="T65" s="172">
        <f>'1BS'!T109-Equity!T64</f>
        <v>0</v>
      </c>
      <c r="U65" s="172">
        <f>'1BS'!U109-Equity!U64</f>
        <v>0</v>
      </c>
    </row>
    <row r="66" spans="1:21">
      <c r="I66" s="222"/>
      <c r="J66" s="222"/>
      <c r="K66" s="222"/>
      <c r="L66" s="222"/>
      <c r="M66" s="222"/>
      <c r="N66" s="222"/>
      <c r="O66" s="223"/>
      <c r="P66" s="222"/>
      <c r="Q66" s="222"/>
      <c r="R66" s="222"/>
      <c r="S66" s="222"/>
      <c r="T66" s="222"/>
      <c r="U66" s="222"/>
    </row>
    <row r="67" spans="1:21" ht="13">
      <c r="A67" s="201">
        <v>6</v>
      </c>
      <c r="B67" s="237" t="s">
        <v>555</v>
      </c>
      <c r="C67" s="237"/>
      <c r="E67" s="237"/>
      <c r="F67" s="237"/>
      <c r="G67" s="237"/>
      <c r="H67" s="237"/>
    </row>
    <row r="68" spans="1:21">
      <c r="B68" s="234" t="s">
        <v>564</v>
      </c>
      <c r="C68" s="234"/>
      <c r="D68" s="244"/>
      <c r="E68" s="244"/>
      <c r="F68" s="244"/>
      <c r="G68" s="298">
        <f>'1BS'!F110</f>
        <v>17007</v>
      </c>
      <c r="H68" s="298">
        <f>'1BS'!G110</f>
        <v>19114</v>
      </c>
      <c r="I68" s="298">
        <f>'1BS'!H110</f>
        <v>21099</v>
      </c>
      <c r="J68" s="298">
        <f>'1BS'!I110</f>
        <v>27273</v>
      </c>
      <c r="K68" s="298">
        <f>'1BS'!J110</f>
        <v>26865</v>
      </c>
      <c r="L68" s="298">
        <f>'1BS'!K110</f>
        <v>27339</v>
      </c>
      <c r="M68" s="298">
        <f>'1BS'!L110</f>
        <v>37136</v>
      </c>
      <c r="N68" s="298">
        <f>'1BS'!M110</f>
        <v>43954</v>
      </c>
      <c r="O68" s="301">
        <f>'1BS'!N110</f>
        <v>53776</v>
      </c>
      <c r="P68" s="222">
        <f>O71</f>
        <v>89863</v>
      </c>
      <c r="Q68" s="222">
        <f t="shared" ref="Q68:U68" si="45">P71</f>
        <v>89863</v>
      </c>
      <c r="R68" s="222">
        <f t="shared" si="45"/>
        <v>89863</v>
      </c>
      <c r="S68" s="222">
        <f t="shared" si="45"/>
        <v>89863</v>
      </c>
      <c r="T68" s="222">
        <f t="shared" si="45"/>
        <v>89863</v>
      </c>
      <c r="U68" s="222">
        <f t="shared" si="45"/>
        <v>89863</v>
      </c>
    </row>
    <row r="69" spans="1:21">
      <c r="B69" s="234" t="s">
        <v>577</v>
      </c>
      <c r="C69" s="234"/>
      <c r="D69" s="207"/>
      <c r="E69" s="207"/>
      <c r="F69" s="207"/>
      <c r="G69" s="207">
        <f>G71-G68</f>
        <v>2107</v>
      </c>
      <c r="H69" s="207">
        <f t="shared" ref="H69:O69" si="46">H71-H68</f>
        <v>1985</v>
      </c>
      <c r="I69" s="207">
        <f t="shared" si="46"/>
        <v>6174</v>
      </c>
      <c r="J69" s="207">
        <v>0</v>
      </c>
      <c r="K69" s="207">
        <f t="shared" si="46"/>
        <v>474</v>
      </c>
      <c r="L69" s="207">
        <f t="shared" si="46"/>
        <v>9797</v>
      </c>
      <c r="M69" s="207">
        <f t="shared" si="46"/>
        <v>6818</v>
      </c>
      <c r="N69" s="207">
        <f t="shared" si="46"/>
        <v>9822</v>
      </c>
      <c r="O69" s="208">
        <f t="shared" si="46"/>
        <v>36087</v>
      </c>
      <c r="P69" s="222">
        <v>0</v>
      </c>
      <c r="Q69" s="222">
        <v>0</v>
      </c>
      <c r="R69" s="222">
        <v>0</v>
      </c>
      <c r="S69" s="222">
        <v>0</v>
      </c>
      <c r="T69" s="222">
        <v>0</v>
      </c>
      <c r="U69" s="222">
        <v>0</v>
      </c>
    </row>
    <row r="70" spans="1:21">
      <c r="B70" s="234" t="s">
        <v>578</v>
      </c>
      <c r="C70" s="234"/>
      <c r="D70" s="207"/>
      <c r="E70" s="207"/>
      <c r="F70" s="207"/>
      <c r="G70" s="207">
        <v>0</v>
      </c>
      <c r="H70" s="207">
        <v>0</v>
      </c>
      <c r="I70" s="207">
        <v>0</v>
      </c>
      <c r="J70" s="207">
        <f>J71-J68</f>
        <v>-408</v>
      </c>
      <c r="K70" s="207">
        <v>0</v>
      </c>
      <c r="L70" s="207">
        <v>0</v>
      </c>
      <c r="M70" s="207">
        <v>0</v>
      </c>
      <c r="N70" s="222">
        <v>0</v>
      </c>
      <c r="O70" s="259">
        <v>0</v>
      </c>
      <c r="P70" s="222">
        <v>0</v>
      </c>
      <c r="Q70" s="222">
        <v>0</v>
      </c>
      <c r="R70" s="222">
        <v>0</v>
      </c>
      <c r="S70" s="222">
        <v>0</v>
      </c>
      <c r="T70" s="222">
        <v>0</v>
      </c>
      <c r="U70" s="222">
        <v>0</v>
      </c>
    </row>
    <row r="71" spans="1:21">
      <c r="B71" s="251" t="s">
        <v>573</v>
      </c>
      <c r="C71" s="251"/>
      <c r="D71" s="252"/>
      <c r="E71" s="252"/>
      <c r="F71" s="252"/>
      <c r="G71" s="249">
        <f>'1BS'!G110</f>
        <v>19114</v>
      </c>
      <c r="H71" s="249">
        <f>'1BS'!H110</f>
        <v>21099</v>
      </c>
      <c r="I71" s="249">
        <f>'1BS'!I110</f>
        <v>27273</v>
      </c>
      <c r="J71" s="249">
        <f>'1BS'!J110</f>
        <v>26865</v>
      </c>
      <c r="K71" s="249">
        <f>'1BS'!K110</f>
        <v>27339</v>
      </c>
      <c r="L71" s="249">
        <f>'1BS'!L110</f>
        <v>37136</v>
      </c>
      <c r="M71" s="249">
        <f>'1BS'!M110</f>
        <v>43954</v>
      </c>
      <c r="N71" s="249">
        <f>'1BS'!N110</f>
        <v>53776</v>
      </c>
      <c r="O71" s="250">
        <f>'1BS'!O110</f>
        <v>89863</v>
      </c>
      <c r="P71" s="253">
        <f t="shared" ref="P71:U71" si="47">SUM(P68:P70)</f>
        <v>89863</v>
      </c>
      <c r="Q71" s="253">
        <f t="shared" si="47"/>
        <v>89863</v>
      </c>
      <c r="R71" s="253">
        <f t="shared" si="47"/>
        <v>89863</v>
      </c>
      <c r="S71" s="253">
        <f t="shared" si="47"/>
        <v>89863</v>
      </c>
      <c r="T71" s="253">
        <f t="shared" si="47"/>
        <v>89863</v>
      </c>
      <c r="U71" s="253">
        <f t="shared" si="47"/>
        <v>89863</v>
      </c>
    </row>
    <row r="72" spans="1:21" ht="14">
      <c r="D72" s="205"/>
      <c r="E72" s="205"/>
      <c r="F72" s="205"/>
      <c r="G72" s="172">
        <f>'1BS'!G110-Equity!G71</f>
        <v>0</v>
      </c>
      <c r="H72" s="172">
        <f>'1BS'!H110-Equity!H71</f>
        <v>0</v>
      </c>
      <c r="I72" s="172">
        <f>'1BS'!I110-Equity!I71</f>
        <v>0</v>
      </c>
      <c r="J72" s="172">
        <f>'1BS'!J110-Equity!J71</f>
        <v>0</v>
      </c>
      <c r="K72" s="172">
        <f>'1BS'!K110-Equity!K71</f>
        <v>0</v>
      </c>
      <c r="L72" s="172">
        <f>'1BS'!L110-Equity!L71</f>
        <v>0</v>
      </c>
      <c r="M72" s="172">
        <f>'1BS'!M110-Equity!M71</f>
        <v>0</v>
      </c>
      <c r="N72" s="172">
        <f>'1BS'!N110-Equity!N71</f>
        <v>0</v>
      </c>
      <c r="O72" s="186">
        <f>'1BS'!O110-Equity!O71</f>
        <v>0</v>
      </c>
      <c r="P72" s="172">
        <f>'1BS'!P110-Equity!P71</f>
        <v>0</v>
      </c>
      <c r="Q72" s="172">
        <f>'1BS'!Q110-Equity!Q71</f>
        <v>0</v>
      </c>
      <c r="R72" s="172">
        <f>'1BS'!R110-Equity!R71</f>
        <v>0</v>
      </c>
      <c r="S72" s="172">
        <f>'1BS'!S110-Equity!S71</f>
        <v>0</v>
      </c>
      <c r="T72" s="172">
        <f>'1BS'!T110-Equity!T71</f>
        <v>0</v>
      </c>
      <c r="U72" s="172">
        <f>'1BS'!U110-Equity!U71</f>
        <v>0</v>
      </c>
    </row>
    <row r="73" spans="1:21">
      <c r="I73" s="222"/>
      <c r="J73" s="222"/>
      <c r="K73" s="222"/>
      <c r="L73" s="222"/>
      <c r="M73" s="222"/>
      <c r="N73" s="222"/>
      <c r="O73" s="223"/>
      <c r="P73" s="222"/>
      <c r="Q73" s="222"/>
      <c r="R73" s="222"/>
      <c r="S73" s="222"/>
      <c r="T73" s="222"/>
      <c r="U73" s="222"/>
    </row>
    <row r="74" spans="1:21" ht="13">
      <c r="A74" s="201">
        <v>7</v>
      </c>
      <c r="B74" s="237" t="s">
        <v>580</v>
      </c>
      <c r="C74" s="237"/>
      <c r="D74" s="237"/>
      <c r="E74" s="237"/>
      <c r="F74" s="237"/>
      <c r="G74" s="237"/>
      <c r="H74" s="237"/>
      <c r="I74" s="260"/>
      <c r="J74" s="260"/>
      <c r="K74" s="261"/>
      <c r="L74" s="261"/>
      <c r="M74" s="261"/>
      <c r="N74" s="262"/>
      <c r="O74" s="263"/>
      <c r="P74" s="262"/>
      <c r="Q74" s="262"/>
      <c r="R74" s="262"/>
      <c r="S74" s="262"/>
      <c r="T74" s="262"/>
      <c r="U74" s="262"/>
    </row>
    <row r="75" spans="1:21">
      <c r="B75" s="234" t="s">
        <v>564</v>
      </c>
      <c r="C75" s="234"/>
      <c r="D75" s="244"/>
      <c r="E75" s="244"/>
      <c r="F75" s="244"/>
      <c r="G75" s="298">
        <f>'1BS'!F111</f>
        <v>1118398</v>
      </c>
      <c r="H75" s="298">
        <f>'1BS'!G111</f>
        <v>1118963</v>
      </c>
      <c r="I75" s="298">
        <f>'1BS'!H111</f>
        <v>1130147</v>
      </c>
      <c r="J75" s="298">
        <f>'1BS'!I111</f>
        <v>1130373</v>
      </c>
      <c r="K75" s="298">
        <f>'1BS'!J111</f>
        <v>1122846</v>
      </c>
      <c r="L75" s="298">
        <f>'1BS'!K111</f>
        <v>1122241</v>
      </c>
      <c r="M75" s="298">
        <f>'1BS'!L111</f>
        <v>1122241</v>
      </c>
      <c r="N75" s="298">
        <f>'1BS'!M111</f>
        <v>1122241</v>
      </c>
      <c r="O75" s="301">
        <f>'1BS'!N111</f>
        <v>1181710</v>
      </c>
      <c r="P75" s="222">
        <f t="shared" ref="P75:U75" si="48">O78</f>
        <v>1186744</v>
      </c>
      <c r="Q75" s="222">
        <f t="shared" si="48"/>
        <v>1186744</v>
      </c>
      <c r="R75" s="222">
        <f t="shared" si="48"/>
        <v>1186744</v>
      </c>
      <c r="S75" s="222">
        <f t="shared" si="48"/>
        <v>1186744</v>
      </c>
      <c r="T75" s="222">
        <f t="shared" si="48"/>
        <v>1186744</v>
      </c>
      <c r="U75" s="222">
        <f t="shared" si="48"/>
        <v>1186744</v>
      </c>
    </row>
    <row r="76" spans="1:21">
      <c r="B76" s="234" t="s">
        <v>577</v>
      </c>
      <c r="C76" s="234"/>
      <c r="D76" s="207"/>
      <c r="E76" s="207"/>
      <c r="F76" s="207"/>
      <c r="G76" s="207">
        <f>G78-G75</f>
        <v>565</v>
      </c>
      <c r="H76" s="207">
        <f t="shared" ref="H76:O76" si="49">H78-H75</f>
        <v>11184</v>
      </c>
      <c r="I76" s="207">
        <f t="shared" si="49"/>
        <v>226</v>
      </c>
      <c r="J76" s="207">
        <v>0</v>
      </c>
      <c r="K76" s="207">
        <v>0</v>
      </c>
      <c r="L76" s="207">
        <f t="shared" si="49"/>
        <v>0</v>
      </c>
      <c r="M76" s="207">
        <f t="shared" si="49"/>
        <v>0</v>
      </c>
      <c r="N76" s="207">
        <f>N78-N75</f>
        <v>59469</v>
      </c>
      <c r="O76" s="208">
        <f t="shared" si="49"/>
        <v>5034</v>
      </c>
      <c r="P76" s="207">
        <v>0</v>
      </c>
      <c r="Q76" s="207">
        <v>0</v>
      </c>
      <c r="R76" s="207">
        <v>0</v>
      </c>
      <c r="S76" s="207">
        <v>0</v>
      </c>
      <c r="T76" s="207">
        <v>0</v>
      </c>
      <c r="U76" s="207">
        <v>0</v>
      </c>
    </row>
    <row r="77" spans="1:21">
      <c r="B77" s="234" t="s">
        <v>578</v>
      </c>
      <c r="C77" s="234"/>
      <c r="D77" s="207"/>
      <c r="E77" s="207"/>
      <c r="F77" s="207"/>
      <c r="G77" s="207">
        <v>0</v>
      </c>
      <c r="H77" s="207"/>
      <c r="I77" s="207"/>
      <c r="J77" s="207">
        <f>J78-J75</f>
        <v>-7527</v>
      </c>
      <c r="K77" s="207">
        <f>K78-K75</f>
        <v>-605</v>
      </c>
      <c r="L77" s="207">
        <f>L78-L75</f>
        <v>0</v>
      </c>
      <c r="M77" s="207">
        <f>M78-M75</f>
        <v>0</v>
      </c>
      <c r="N77" s="222">
        <v>0</v>
      </c>
      <c r="O77" s="223">
        <v>0</v>
      </c>
      <c r="P77" s="222">
        <v>0</v>
      </c>
      <c r="Q77" s="222">
        <v>0</v>
      </c>
      <c r="R77" s="222">
        <v>0</v>
      </c>
      <c r="S77" s="222">
        <v>0</v>
      </c>
      <c r="T77" s="222">
        <v>0</v>
      </c>
      <c r="U77" s="222">
        <v>0</v>
      </c>
    </row>
    <row r="78" spans="1:21">
      <c r="B78" s="251" t="s">
        <v>573</v>
      </c>
      <c r="C78" s="251"/>
      <c r="D78" s="252"/>
      <c r="E78" s="252"/>
      <c r="F78" s="252"/>
      <c r="G78" s="249">
        <f>'1BS'!G111</f>
        <v>1118963</v>
      </c>
      <c r="H78" s="249">
        <f>'1BS'!H111</f>
        <v>1130147</v>
      </c>
      <c r="I78" s="249">
        <f>'1BS'!I111</f>
        <v>1130373</v>
      </c>
      <c r="J78" s="249">
        <f>'1BS'!J111</f>
        <v>1122846</v>
      </c>
      <c r="K78" s="249">
        <f>'1BS'!K111</f>
        <v>1122241</v>
      </c>
      <c r="L78" s="249">
        <f>'1BS'!L111</f>
        <v>1122241</v>
      </c>
      <c r="M78" s="249">
        <f>'1BS'!M111</f>
        <v>1122241</v>
      </c>
      <c r="N78" s="249">
        <f>'1BS'!N111</f>
        <v>1181710</v>
      </c>
      <c r="O78" s="250">
        <f>'1BS'!O111</f>
        <v>1186744</v>
      </c>
      <c r="P78" s="253">
        <f t="shared" ref="P78:U78" si="50">SUM(P75:P77)</f>
        <v>1186744</v>
      </c>
      <c r="Q78" s="253">
        <f t="shared" si="50"/>
        <v>1186744</v>
      </c>
      <c r="R78" s="253">
        <f t="shared" si="50"/>
        <v>1186744</v>
      </c>
      <c r="S78" s="253">
        <f t="shared" si="50"/>
        <v>1186744</v>
      </c>
      <c r="T78" s="253">
        <f t="shared" si="50"/>
        <v>1186744</v>
      </c>
      <c r="U78" s="253">
        <f t="shared" si="50"/>
        <v>1186744</v>
      </c>
    </row>
    <row r="79" spans="1:21" ht="14">
      <c r="G79" s="172">
        <f>G78-'1BS'!G111</f>
        <v>0</v>
      </c>
      <c r="H79" s="172">
        <f>H78-'1BS'!H111</f>
        <v>0</v>
      </c>
      <c r="I79" s="172">
        <f>I78-'1BS'!I111</f>
        <v>0</v>
      </c>
      <c r="J79" s="172">
        <f>J78-'1BS'!J111</f>
        <v>0</v>
      </c>
      <c r="K79" s="172">
        <f>K78-'1BS'!K111</f>
        <v>0</v>
      </c>
      <c r="L79" s="172">
        <f>L78-'1BS'!L111</f>
        <v>0</v>
      </c>
      <c r="M79" s="172">
        <f>M78-'1BS'!M111</f>
        <v>0</v>
      </c>
      <c r="N79" s="172">
        <f>N78-'1BS'!N111</f>
        <v>0</v>
      </c>
      <c r="O79" s="186">
        <f>O78-'1BS'!O111</f>
        <v>0</v>
      </c>
      <c r="P79" s="172">
        <f>P78-'1BS'!P111</f>
        <v>0</v>
      </c>
      <c r="Q79" s="172">
        <f>Q78-'1BS'!Q111</f>
        <v>0</v>
      </c>
      <c r="R79" s="172">
        <f>R78-'1BS'!R111</f>
        <v>0</v>
      </c>
      <c r="S79" s="172">
        <f>S78-'1BS'!S111</f>
        <v>0</v>
      </c>
      <c r="T79" s="172">
        <f>T78-'1BS'!T111</f>
        <v>0</v>
      </c>
      <c r="U79" s="172">
        <f>U78-'1BS'!U111</f>
        <v>0</v>
      </c>
    </row>
    <row r="80" spans="1:21">
      <c r="I80" s="222"/>
      <c r="J80" s="222"/>
      <c r="K80" s="222"/>
      <c r="L80" s="222"/>
      <c r="M80" s="222"/>
      <c r="N80" s="222"/>
      <c r="O80" s="223"/>
      <c r="P80" s="222"/>
      <c r="Q80" s="222"/>
      <c r="R80" s="222"/>
      <c r="S80" s="222"/>
      <c r="T80" s="222"/>
      <c r="U80" s="222"/>
    </row>
    <row r="81" spans="1:21" ht="13">
      <c r="A81" s="201">
        <v>8</v>
      </c>
      <c r="B81" s="237" t="s">
        <v>557</v>
      </c>
      <c r="C81" s="237"/>
      <c r="D81" s="237"/>
      <c r="E81" s="237"/>
      <c r="F81" s="237"/>
      <c r="G81" s="237"/>
      <c r="H81" s="237"/>
      <c r="I81" s="260"/>
      <c r="J81" s="260"/>
      <c r="K81" s="261"/>
      <c r="L81" s="261"/>
      <c r="M81" s="261"/>
      <c r="N81" s="262"/>
      <c r="O81" s="263"/>
      <c r="P81" s="262"/>
      <c r="Q81" s="262"/>
      <c r="R81" s="262"/>
      <c r="S81" s="262"/>
      <c r="T81" s="262"/>
      <c r="U81" s="262"/>
    </row>
    <row r="82" spans="1:21">
      <c r="B82" s="234" t="s">
        <v>564</v>
      </c>
      <c r="C82" s="234"/>
      <c r="D82" s="244"/>
      <c r="E82" s="244"/>
      <c r="F82" s="244"/>
      <c r="G82" s="244">
        <f>'1BS'!F112</f>
        <v>0</v>
      </c>
      <c r="H82" s="244">
        <f>'1BS'!G112</f>
        <v>0</v>
      </c>
      <c r="I82" s="244">
        <f>'1BS'!H112</f>
        <v>0</v>
      </c>
      <c r="J82" s="244">
        <f>'1BS'!I112</f>
        <v>0</v>
      </c>
      <c r="K82" s="244">
        <f>'1BS'!J112</f>
        <v>0</v>
      </c>
      <c r="L82" s="244">
        <f>'1BS'!K112</f>
        <v>0</v>
      </c>
      <c r="M82" s="244">
        <f>'1BS'!L112</f>
        <v>0</v>
      </c>
      <c r="N82" s="244">
        <f>'1BS'!M112</f>
        <v>0</v>
      </c>
      <c r="O82" s="296">
        <f>'1BS'!N112</f>
        <v>0</v>
      </c>
      <c r="P82" s="222">
        <f t="shared" ref="P82:U82" si="51">O85</f>
        <v>0</v>
      </c>
      <c r="Q82" s="222">
        <f t="shared" si="51"/>
        <v>0</v>
      </c>
      <c r="R82" s="222">
        <f t="shared" si="51"/>
        <v>0</v>
      </c>
      <c r="S82" s="222">
        <f t="shared" si="51"/>
        <v>0</v>
      </c>
      <c r="T82" s="222">
        <f t="shared" si="51"/>
        <v>0</v>
      </c>
      <c r="U82" s="222">
        <f t="shared" si="51"/>
        <v>0</v>
      </c>
    </row>
    <row r="83" spans="1:21">
      <c r="B83" s="234" t="s">
        <v>577</v>
      </c>
      <c r="C83" s="234"/>
      <c r="D83" s="207"/>
      <c r="E83" s="207"/>
      <c r="F83" s="207"/>
      <c r="G83" s="207">
        <f>G85-G82</f>
        <v>0</v>
      </c>
      <c r="H83" s="207">
        <f t="shared" ref="H83:O83" si="52">H85-H82</f>
        <v>0</v>
      </c>
      <c r="I83" s="207">
        <f t="shared" si="52"/>
        <v>0</v>
      </c>
      <c r="J83" s="207">
        <f t="shared" si="52"/>
        <v>0</v>
      </c>
      <c r="K83" s="207">
        <f t="shared" si="52"/>
        <v>0</v>
      </c>
      <c r="L83" s="207">
        <f t="shared" si="52"/>
        <v>0</v>
      </c>
      <c r="M83" s="207">
        <f t="shared" si="52"/>
        <v>0</v>
      </c>
      <c r="N83" s="207">
        <f t="shared" si="52"/>
        <v>0</v>
      </c>
      <c r="O83" s="208">
        <f t="shared" si="52"/>
        <v>0</v>
      </c>
      <c r="P83" s="207">
        <f t="shared" ref="P83:U83" si="53">AVERAGE(M83:O83)</f>
        <v>0</v>
      </c>
      <c r="Q83" s="207">
        <f t="shared" si="53"/>
        <v>0</v>
      </c>
      <c r="R83" s="207">
        <f t="shared" si="53"/>
        <v>0</v>
      </c>
      <c r="S83" s="207">
        <f t="shared" si="53"/>
        <v>0</v>
      </c>
      <c r="T83" s="207">
        <f t="shared" si="53"/>
        <v>0</v>
      </c>
      <c r="U83" s="207">
        <f t="shared" si="53"/>
        <v>0</v>
      </c>
    </row>
    <row r="84" spans="1:21">
      <c r="B84" s="234" t="s">
        <v>578</v>
      </c>
      <c r="C84" s="234"/>
      <c r="D84" s="207"/>
      <c r="E84" s="207"/>
      <c r="F84" s="207"/>
      <c r="G84" s="207">
        <f>G82-G85</f>
        <v>0</v>
      </c>
      <c r="H84" s="207">
        <f t="shared" ref="H84:O84" si="54">H82-H85</f>
        <v>0</v>
      </c>
      <c r="I84" s="207">
        <f t="shared" si="54"/>
        <v>0</v>
      </c>
      <c r="J84" s="207">
        <f t="shared" si="54"/>
        <v>0</v>
      </c>
      <c r="K84" s="207">
        <f t="shared" si="54"/>
        <v>0</v>
      </c>
      <c r="L84" s="207">
        <f t="shared" si="54"/>
        <v>0</v>
      </c>
      <c r="M84" s="207">
        <f t="shared" si="54"/>
        <v>0</v>
      </c>
      <c r="N84" s="207">
        <f t="shared" si="54"/>
        <v>0</v>
      </c>
      <c r="O84" s="208">
        <f t="shared" si="54"/>
        <v>0</v>
      </c>
      <c r="P84" s="222">
        <v>0</v>
      </c>
      <c r="Q84" s="222">
        <v>0</v>
      </c>
      <c r="R84" s="222">
        <v>0</v>
      </c>
      <c r="S84" s="222">
        <v>0</v>
      </c>
      <c r="T84" s="222">
        <v>0</v>
      </c>
      <c r="U84" s="222">
        <v>0</v>
      </c>
    </row>
    <row r="85" spans="1:21">
      <c r="B85" s="251" t="s">
        <v>573</v>
      </c>
      <c r="C85" s="251"/>
      <c r="D85" s="252"/>
      <c r="E85" s="252"/>
      <c r="F85" s="252"/>
      <c r="G85" s="252">
        <f>'1BS'!G112</f>
        <v>0</v>
      </c>
      <c r="H85" s="252">
        <f>'1BS'!H112</f>
        <v>0</v>
      </c>
      <c r="I85" s="252">
        <f>'1BS'!I112</f>
        <v>0</v>
      </c>
      <c r="J85" s="252">
        <f>'1BS'!J112</f>
        <v>0</v>
      </c>
      <c r="K85" s="252">
        <f>'1BS'!K112</f>
        <v>0</v>
      </c>
      <c r="L85" s="252">
        <f>'1BS'!L112</f>
        <v>0</v>
      </c>
      <c r="M85" s="252">
        <f>'1BS'!M112</f>
        <v>0</v>
      </c>
      <c r="N85" s="252">
        <f>'1BS'!N112</f>
        <v>0</v>
      </c>
      <c r="O85" s="297">
        <f>'1BS'!O112</f>
        <v>0</v>
      </c>
      <c r="P85" s="253">
        <f t="shared" ref="P85:U85" si="55">SUM(P82:P84)</f>
        <v>0</v>
      </c>
      <c r="Q85" s="253">
        <f t="shared" si="55"/>
        <v>0</v>
      </c>
      <c r="R85" s="253">
        <f t="shared" si="55"/>
        <v>0</v>
      </c>
      <c r="S85" s="253">
        <f t="shared" si="55"/>
        <v>0</v>
      </c>
      <c r="T85" s="253">
        <f t="shared" si="55"/>
        <v>0</v>
      </c>
      <c r="U85" s="253">
        <f t="shared" si="55"/>
        <v>0</v>
      </c>
    </row>
    <row r="86" spans="1:21" ht="14">
      <c r="G86" s="172">
        <f>G85-'1BS'!G112</f>
        <v>0</v>
      </c>
      <c r="H86" s="172">
        <f>H85-'1BS'!H112</f>
        <v>0</v>
      </c>
      <c r="I86" s="172">
        <f>I85-'1BS'!I112</f>
        <v>0</v>
      </c>
      <c r="J86" s="172">
        <f>J85-'1BS'!J112</f>
        <v>0</v>
      </c>
      <c r="K86" s="172">
        <f>K85-'1BS'!K112</f>
        <v>0</v>
      </c>
      <c r="L86" s="172">
        <f>L85-'1BS'!L112</f>
        <v>0</v>
      </c>
      <c r="M86" s="172">
        <f>M85-'1BS'!M112</f>
        <v>0</v>
      </c>
      <c r="N86" s="172">
        <f>N85-'1BS'!N112</f>
        <v>0</v>
      </c>
      <c r="O86" s="186">
        <f>O85-'1BS'!O112</f>
        <v>0</v>
      </c>
      <c r="P86" s="172">
        <f>P85-'1BS'!P112</f>
        <v>0</v>
      </c>
      <c r="Q86" s="172">
        <f>Q85-'1BS'!Q112</f>
        <v>0</v>
      </c>
      <c r="R86" s="172">
        <f>R85-'1BS'!R112</f>
        <v>0</v>
      </c>
      <c r="S86" s="172">
        <f>S85-'1BS'!S112</f>
        <v>0</v>
      </c>
      <c r="T86" s="172">
        <f>T85-'1BS'!T112</f>
        <v>0</v>
      </c>
      <c r="U86" s="172">
        <f>U85-'1BS'!U112</f>
        <v>0</v>
      </c>
    </row>
    <row r="87" spans="1:21">
      <c r="I87" s="222"/>
      <c r="J87" s="222"/>
      <c r="K87" s="222"/>
      <c r="L87" s="222"/>
      <c r="M87" s="222"/>
      <c r="N87" s="222"/>
      <c r="O87" s="223"/>
      <c r="P87" s="222"/>
      <c r="Q87" s="222"/>
      <c r="R87" s="222"/>
      <c r="S87" s="222"/>
      <c r="T87" s="222"/>
      <c r="U87" s="222"/>
    </row>
    <row r="88" spans="1:21" ht="13">
      <c r="A88" s="201">
        <v>9</v>
      </c>
      <c r="B88" s="237" t="s">
        <v>581</v>
      </c>
      <c r="C88" s="237"/>
      <c r="D88" s="237"/>
      <c r="E88" s="237"/>
      <c r="F88" s="237"/>
      <c r="G88" s="237"/>
      <c r="H88" s="237"/>
      <c r="I88" s="260"/>
      <c r="J88" s="260"/>
      <c r="K88" s="260"/>
      <c r="L88" s="260"/>
      <c r="M88" s="260"/>
      <c r="N88" s="264"/>
      <c r="O88" s="265"/>
      <c r="P88" s="264"/>
      <c r="Q88" s="264"/>
      <c r="R88" s="264"/>
      <c r="S88" s="264"/>
      <c r="T88" s="264"/>
      <c r="U88" s="264"/>
    </row>
    <row r="89" spans="1:21">
      <c r="B89" s="234" t="s">
        <v>564</v>
      </c>
      <c r="C89" s="234"/>
      <c r="D89" s="244"/>
      <c r="E89" s="244"/>
      <c r="F89" s="244"/>
      <c r="G89" s="244">
        <f>'1BS'!F113</f>
        <v>0</v>
      </c>
      <c r="H89" s="244">
        <f>'1BS'!G113</f>
        <v>0</v>
      </c>
      <c r="I89" s="244">
        <f>'1BS'!H113</f>
        <v>0</v>
      </c>
      <c r="J89" s="244">
        <f>'1BS'!I113</f>
        <v>0</v>
      </c>
      <c r="K89" s="244">
        <f>'1BS'!J113</f>
        <v>0</v>
      </c>
      <c r="L89" s="244">
        <f>'1BS'!K113</f>
        <v>0</v>
      </c>
      <c r="M89" s="244">
        <f>'1BS'!L113</f>
        <v>0</v>
      </c>
      <c r="N89" s="244">
        <f>'1BS'!M113</f>
        <v>0</v>
      </c>
      <c r="O89" s="296">
        <f>'1BS'!N113</f>
        <v>0</v>
      </c>
      <c r="P89" s="222">
        <f t="shared" ref="P89:U89" si="56">O92</f>
        <v>0</v>
      </c>
      <c r="Q89" s="222">
        <f t="shared" si="56"/>
        <v>0</v>
      </c>
      <c r="R89" s="222">
        <f t="shared" si="56"/>
        <v>0</v>
      </c>
      <c r="S89" s="222">
        <f t="shared" si="56"/>
        <v>0</v>
      </c>
      <c r="T89" s="222">
        <f t="shared" si="56"/>
        <v>0</v>
      </c>
      <c r="U89" s="222">
        <f t="shared" si="56"/>
        <v>0</v>
      </c>
    </row>
    <row r="90" spans="1:21">
      <c r="B90" s="234" t="s">
        <v>577</v>
      </c>
      <c r="C90" s="234"/>
      <c r="D90" s="207"/>
      <c r="E90" s="207"/>
      <c r="F90" s="207"/>
      <c r="G90" s="207">
        <f>G92-G89</f>
        <v>0</v>
      </c>
      <c r="H90" s="207">
        <f t="shared" ref="H90:O90" si="57">H92-H89</f>
        <v>0</v>
      </c>
      <c r="I90" s="207">
        <f t="shared" si="57"/>
        <v>0</v>
      </c>
      <c r="J90" s="207">
        <f t="shared" si="57"/>
        <v>0</v>
      </c>
      <c r="K90" s="207">
        <f t="shared" si="57"/>
        <v>0</v>
      </c>
      <c r="L90" s="207">
        <f t="shared" si="57"/>
        <v>0</v>
      </c>
      <c r="M90" s="207">
        <f t="shared" si="57"/>
        <v>0</v>
      </c>
      <c r="N90" s="207">
        <f t="shared" si="57"/>
        <v>0</v>
      </c>
      <c r="O90" s="208">
        <f t="shared" si="57"/>
        <v>0</v>
      </c>
      <c r="P90" s="266">
        <f t="shared" ref="P90:U90" si="58">MIN(P34*10%-P89,P$20*P116)</f>
        <v>0</v>
      </c>
      <c r="Q90" s="266">
        <f t="shared" si="58"/>
        <v>0</v>
      </c>
      <c r="R90" s="266">
        <f t="shared" si="58"/>
        <v>0</v>
      </c>
      <c r="S90" s="266">
        <f t="shared" si="58"/>
        <v>0</v>
      </c>
      <c r="T90" s="266">
        <f t="shared" si="58"/>
        <v>0</v>
      </c>
      <c r="U90" s="266">
        <f t="shared" si="58"/>
        <v>0</v>
      </c>
    </row>
    <row r="91" spans="1:21">
      <c r="B91" s="234" t="s">
        <v>578</v>
      </c>
      <c r="C91" s="234"/>
      <c r="D91" s="207"/>
      <c r="E91" s="207"/>
      <c r="F91" s="207"/>
      <c r="G91" s="207">
        <f>G92-G89</f>
        <v>0</v>
      </c>
      <c r="H91" s="207">
        <f t="shared" ref="H91:O91" si="59">H92-H89</f>
        <v>0</v>
      </c>
      <c r="I91" s="207">
        <f t="shared" si="59"/>
        <v>0</v>
      </c>
      <c r="J91" s="207">
        <f t="shared" si="59"/>
        <v>0</v>
      </c>
      <c r="K91" s="207">
        <f t="shared" si="59"/>
        <v>0</v>
      </c>
      <c r="L91" s="207">
        <f t="shared" si="59"/>
        <v>0</v>
      </c>
      <c r="M91" s="207">
        <f t="shared" si="59"/>
        <v>0</v>
      </c>
      <c r="N91" s="207">
        <f t="shared" si="59"/>
        <v>0</v>
      </c>
      <c r="O91" s="208">
        <f t="shared" si="59"/>
        <v>0</v>
      </c>
      <c r="P91" s="222">
        <v>0</v>
      </c>
      <c r="Q91" s="222">
        <v>0</v>
      </c>
      <c r="R91" s="222">
        <v>0</v>
      </c>
      <c r="S91" s="222">
        <v>0</v>
      </c>
      <c r="T91" s="222">
        <v>0</v>
      </c>
      <c r="U91" s="222">
        <v>0</v>
      </c>
    </row>
    <row r="92" spans="1:21">
      <c r="B92" s="251" t="s">
        <v>573</v>
      </c>
      <c r="C92" s="251"/>
      <c r="D92" s="252"/>
      <c r="E92" s="252"/>
      <c r="F92" s="252"/>
      <c r="G92" s="252">
        <f>'1BS'!G113</f>
        <v>0</v>
      </c>
      <c r="H92" s="252">
        <f>'1BS'!H113</f>
        <v>0</v>
      </c>
      <c r="I92" s="252">
        <f>'1BS'!I113</f>
        <v>0</v>
      </c>
      <c r="J92" s="252">
        <f>'1BS'!J113</f>
        <v>0</v>
      </c>
      <c r="K92" s="252">
        <f>'1BS'!K113</f>
        <v>0</v>
      </c>
      <c r="L92" s="252">
        <f>'1BS'!L113</f>
        <v>0</v>
      </c>
      <c r="M92" s="252">
        <f>'1BS'!M113</f>
        <v>0</v>
      </c>
      <c r="N92" s="252">
        <f>'1BS'!N113</f>
        <v>0</v>
      </c>
      <c r="O92" s="297">
        <f>'1BS'!O113</f>
        <v>0</v>
      </c>
      <c r="P92" s="253">
        <v>0</v>
      </c>
      <c r="Q92" s="253">
        <v>0</v>
      </c>
      <c r="R92" s="253">
        <v>0</v>
      </c>
      <c r="S92" s="253">
        <v>0</v>
      </c>
      <c r="T92" s="253">
        <v>0</v>
      </c>
      <c r="U92" s="253">
        <v>0</v>
      </c>
    </row>
    <row r="93" spans="1:21" ht="14">
      <c r="G93" s="172">
        <f>G92-'1BS'!G113</f>
        <v>0</v>
      </c>
      <c r="H93" s="172">
        <f>H92-'1BS'!H113</f>
        <v>0</v>
      </c>
      <c r="I93" s="172">
        <f>I92-'1BS'!I113</f>
        <v>0</v>
      </c>
      <c r="J93" s="172">
        <f>J92-'1BS'!J113</f>
        <v>0</v>
      </c>
      <c r="K93" s="172">
        <f>K92-'1BS'!K113</f>
        <v>0</v>
      </c>
      <c r="L93" s="172">
        <f>L92-'1BS'!L113</f>
        <v>0</v>
      </c>
      <c r="M93" s="172">
        <f>M92-'1BS'!M113</f>
        <v>0</v>
      </c>
      <c r="N93" s="172">
        <f>N92-'1BS'!N113</f>
        <v>0</v>
      </c>
      <c r="O93" s="186">
        <f>O92-'1BS'!O113</f>
        <v>0</v>
      </c>
      <c r="P93" s="172">
        <f>P92-'1BS'!P113</f>
        <v>0</v>
      </c>
      <c r="Q93" s="172">
        <f>Q92-'1BS'!Q113</f>
        <v>0</v>
      </c>
      <c r="R93" s="172">
        <f>R92-'1BS'!R113</f>
        <v>0</v>
      </c>
      <c r="S93" s="172">
        <f>S92-'1BS'!S113</f>
        <v>0</v>
      </c>
      <c r="T93" s="172">
        <f>T92-'1BS'!T113</f>
        <v>0</v>
      </c>
      <c r="U93" s="172">
        <f>U92-'1BS'!U113</f>
        <v>0</v>
      </c>
    </row>
    <row r="94" spans="1:21">
      <c r="I94" s="222"/>
      <c r="J94" s="222"/>
      <c r="K94" s="222"/>
      <c r="L94" s="222"/>
      <c r="M94" s="222"/>
      <c r="N94" s="222"/>
      <c r="O94" s="223"/>
      <c r="P94" s="222"/>
      <c r="Q94" s="222"/>
      <c r="R94" s="222"/>
      <c r="S94" s="222"/>
      <c r="T94" s="222"/>
      <c r="U94" s="222"/>
    </row>
    <row r="95" spans="1:21" ht="13">
      <c r="A95" s="201">
        <v>10</v>
      </c>
      <c r="B95" s="237" t="s">
        <v>572</v>
      </c>
      <c r="C95" s="237"/>
      <c r="D95" s="237"/>
      <c r="E95" s="237"/>
      <c r="F95" s="237"/>
      <c r="G95" s="237"/>
      <c r="H95" s="237"/>
      <c r="I95" s="260"/>
      <c r="J95" s="260"/>
      <c r="K95" s="260"/>
      <c r="L95" s="260"/>
      <c r="M95" s="260"/>
      <c r="N95" s="264"/>
      <c r="O95" s="265"/>
      <c r="P95" s="264"/>
      <c r="Q95" s="264"/>
      <c r="R95" s="264"/>
      <c r="S95" s="264"/>
      <c r="T95" s="264"/>
      <c r="U95" s="264"/>
    </row>
    <row r="96" spans="1:21">
      <c r="B96" s="234" t="s">
        <v>564</v>
      </c>
      <c r="C96" s="234"/>
      <c r="D96" s="244"/>
      <c r="E96" s="244"/>
      <c r="F96" s="244"/>
      <c r="G96" s="298">
        <f>'1BS'!F114</f>
        <v>6041</v>
      </c>
      <c r="H96" s="298">
        <f>'1BS'!G114</f>
        <v>5327</v>
      </c>
      <c r="I96" s="298">
        <f>'1BS'!H114</f>
        <v>5327</v>
      </c>
      <c r="J96" s="244">
        <f>'1BS'!I114</f>
        <v>0</v>
      </c>
      <c r="K96" s="244">
        <f>'1BS'!J114</f>
        <v>0</v>
      </c>
      <c r="L96" s="244">
        <f>'1BS'!K114</f>
        <v>0</v>
      </c>
      <c r="M96" s="244">
        <f>'1BS'!L114</f>
        <v>0</v>
      </c>
      <c r="N96" s="244">
        <f>'1BS'!M114</f>
        <v>0</v>
      </c>
      <c r="O96" s="296">
        <f>'1BS'!N114</f>
        <v>0</v>
      </c>
      <c r="P96" s="222">
        <f t="shared" ref="P96:U96" si="60">O99</f>
        <v>0</v>
      </c>
      <c r="Q96" s="222">
        <f t="shared" si="60"/>
        <v>0</v>
      </c>
      <c r="R96" s="222">
        <f t="shared" si="60"/>
        <v>0</v>
      </c>
      <c r="S96" s="222">
        <f t="shared" si="60"/>
        <v>0</v>
      </c>
      <c r="T96" s="222">
        <f t="shared" si="60"/>
        <v>0</v>
      </c>
      <c r="U96" s="222">
        <f t="shared" si="60"/>
        <v>0</v>
      </c>
    </row>
    <row r="97" spans="2:23">
      <c r="B97" s="234" t="s">
        <v>577</v>
      </c>
      <c r="C97" s="234"/>
      <c r="D97" s="207"/>
      <c r="E97" s="207"/>
      <c r="F97" s="207"/>
      <c r="G97" s="207">
        <v>0</v>
      </c>
      <c r="H97" s="207">
        <v>0</v>
      </c>
      <c r="I97" s="207">
        <v>0</v>
      </c>
      <c r="J97" s="207">
        <v>0</v>
      </c>
      <c r="K97" s="207">
        <v>0</v>
      </c>
      <c r="L97" s="207">
        <v>0</v>
      </c>
      <c r="M97" s="207">
        <v>0</v>
      </c>
      <c r="N97" s="266">
        <v>0</v>
      </c>
      <c r="O97" s="267">
        <v>0</v>
      </c>
      <c r="P97" s="266">
        <f t="shared" ref="P97:U97" si="61">MIN(P41*10%-P96,P$20*P123)</f>
        <v>0</v>
      </c>
      <c r="Q97" s="266">
        <f t="shared" si="61"/>
        <v>0</v>
      </c>
      <c r="R97" s="266">
        <f t="shared" si="61"/>
        <v>0</v>
      </c>
      <c r="S97" s="266">
        <f t="shared" si="61"/>
        <v>0</v>
      </c>
      <c r="T97" s="266">
        <f t="shared" si="61"/>
        <v>0</v>
      </c>
      <c r="U97" s="266">
        <f t="shared" si="61"/>
        <v>0</v>
      </c>
      <c r="W97" s="268"/>
    </row>
    <row r="98" spans="2:23">
      <c r="B98" s="234" t="s">
        <v>578</v>
      </c>
      <c r="C98" s="234"/>
      <c r="D98" s="207"/>
      <c r="E98" s="207"/>
      <c r="F98" s="207"/>
      <c r="G98" s="207">
        <f>G99-G96</f>
        <v>-714</v>
      </c>
      <c r="H98" s="207">
        <f t="shared" ref="H98:O98" si="62">H99-H96</f>
        <v>0</v>
      </c>
      <c r="I98" s="207">
        <f t="shared" si="62"/>
        <v>-5327</v>
      </c>
      <c r="J98" s="207">
        <f t="shared" si="62"/>
        <v>0</v>
      </c>
      <c r="K98" s="207">
        <f t="shared" si="62"/>
        <v>0</v>
      </c>
      <c r="L98" s="207">
        <f t="shared" si="62"/>
        <v>0</v>
      </c>
      <c r="M98" s="207">
        <f t="shared" si="62"/>
        <v>0</v>
      </c>
      <c r="N98" s="207">
        <f t="shared" si="62"/>
        <v>0</v>
      </c>
      <c r="O98" s="208">
        <f t="shared" si="62"/>
        <v>0</v>
      </c>
      <c r="P98" s="222">
        <v>0</v>
      </c>
      <c r="Q98" s="222">
        <v>0</v>
      </c>
      <c r="R98" s="222">
        <v>0</v>
      </c>
      <c r="S98" s="222">
        <v>0</v>
      </c>
      <c r="T98" s="222">
        <v>0</v>
      </c>
      <c r="U98" s="222">
        <v>0</v>
      </c>
    </row>
    <row r="99" spans="2:23">
      <c r="B99" s="251" t="s">
        <v>573</v>
      </c>
      <c r="C99" s="251"/>
      <c r="D99" s="252"/>
      <c r="E99" s="252"/>
      <c r="F99" s="252"/>
      <c r="G99" s="249">
        <f>'1BS'!G114</f>
        <v>5327</v>
      </c>
      <c r="H99" s="249">
        <f>'1BS'!H114</f>
        <v>5327</v>
      </c>
      <c r="I99" s="249">
        <f>'1BS'!I114</f>
        <v>0</v>
      </c>
      <c r="J99" s="252">
        <f>'1BS'!J114</f>
        <v>0</v>
      </c>
      <c r="K99" s="252">
        <f>'1BS'!K114</f>
        <v>0</v>
      </c>
      <c r="L99" s="252">
        <f>'1BS'!L114</f>
        <v>0</v>
      </c>
      <c r="M99" s="252">
        <f>'1BS'!M114</f>
        <v>0</v>
      </c>
      <c r="N99" s="252">
        <f>'1BS'!N114</f>
        <v>0</v>
      </c>
      <c r="O99" s="297">
        <f>'1BS'!O114</f>
        <v>0</v>
      </c>
      <c r="P99" s="253">
        <v>0</v>
      </c>
      <c r="Q99" s="253">
        <v>0</v>
      </c>
      <c r="R99" s="253">
        <v>0</v>
      </c>
      <c r="S99" s="253">
        <v>0</v>
      </c>
      <c r="T99" s="253">
        <v>0</v>
      </c>
      <c r="U99" s="253">
        <v>0</v>
      </c>
    </row>
    <row r="100" spans="2:23" ht="14">
      <c r="G100" s="172">
        <f>'1BS'!G114-G99</f>
        <v>0</v>
      </c>
      <c r="H100" s="172">
        <f>'1BS'!H114-H99</f>
        <v>0</v>
      </c>
      <c r="I100" s="172">
        <f>'1BS'!I114-I99</f>
        <v>0</v>
      </c>
      <c r="J100" s="172">
        <f>'1BS'!J114-J99</f>
        <v>0</v>
      </c>
      <c r="K100" s="172">
        <f>'1BS'!K114-K99</f>
        <v>0</v>
      </c>
      <c r="L100" s="172">
        <f>'1BS'!L114-L99</f>
        <v>0</v>
      </c>
      <c r="M100" s="172">
        <f>'1BS'!M114-M99</f>
        <v>0</v>
      </c>
      <c r="N100" s="172">
        <f>'1BS'!N114-N99</f>
        <v>0</v>
      </c>
      <c r="O100" s="186">
        <f>'1BS'!O114-O99</f>
        <v>0</v>
      </c>
      <c r="P100" s="172">
        <f>'1BS'!P114-P99</f>
        <v>0</v>
      </c>
      <c r="Q100" s="172">
        <f>'1BS'!Q114-Q99</f>
        <v>0</v>
      </c>
      <c r="R100" s="172">
        <f>'1BS'!R114-R99</f>
        <v>0</v>
      </c>
      <c r="S100" s="172">
        <f>'1BS'!S114-S99</f>
        <v>0</v>
      </c>
      <c r="T100" s="172">
        <f>'1BS'!T114-T99</f>
        <v>0</v>
      </c>
      <c r="U100" s="172">
        <f>'1BS'!U114-U99</f>
        <v>0</v>
      </c>
    </row>
    <row r="101" spans="2:23" ht="13" outlineLevel="1">
      <c r="D101" s="237"/>
      <c r="E101" s="237"/>
      <c r="F101" s="237"/>
      <c r="G101" s="237"/>
      <c r="H101" s="237"/>
      <c r="I101" s="222"/>
      <c r="J101" s="222"/>
      <c r="K101" s="222"/>
    </row>
    <row r="102" spans="2:23" ht="13" outlineLevel="1">
      <c r="B102" s="237" t="s">
        <v>582</v>
      </c>
      <c r="C102" s="237"/>
      <c r="D102" s="237"/>
      <c r="E102" s="237"/>
      <c r="F102" s="237"/>
      <c r="G102" s="237"/>
      <c r="H102" s="237"/>
      <c r="I102" s="222"/>
      <c r="J102" s="222"/>
      <c r="K102" s="222"/>
    </row>
    <row r="103" spans="2:23" ht="13" outlineLevel="1">
      <c r="B103" s="237" t="s">
        <v>583</v>
      </c>
      <c r="C103" s="237"/>
      <c r="D103" s="237"/>
      <c r="E103" s="269"/>
      <c r="F103" s="269"/>
      <c r="G103" s="269"/>
      <c r="H103" s="269"/>
      <c r="I103" s="269"/>
      <c r="J103" s="269"/>
      <c r="K103" s="269"/>
      <c r="L103" s="269"/>
      <c r="M103" s="269"/>
      <c r="N103" s="262"/>
      <c r="O103" s="263"/>
      <c r="P103" s="262"/>
      <c r="Q103" s="262"/>
      <c r="R103" s="262"/>
      <c r="S103" s="262"/>
      <c r="T103" s="262"/>
      <c r="U103" s="262"/>
    </row>
    <row r="104" spans="2:23" outlineLevel="1">
      <c r="B104" s="234" t="s">
        <v>564</v>
      </c>
      <c r="C104" s="234"/>
      <c r="D104" s="234"/>
      <c r="E104" s="244"/>
      <c r="F104" s="244"/>
      <c r="G104" s="298">
        <f>'1BS'!F82</f>
        <v>330525</v>
      </c>
      <c r="H104" s="298">
        <f t="shared" ref="H104:M104" si="63">G107</f>
        <v>296743</v>
      </c>
      <c r="I104" s="298">
        <f t="shared" si="63"/>
        <v>222305</v>
      </c>
      <c r="J104" s="298">
        <f t="shared" si="63"/>
        <v>294925</v>
      </c>
      <c r="K104" s="298">
        <f t="shared" si="63"/>
        <v>183521</v>
      </c>
      <c r="L104" s="298">
        <f t="shared" si="63"/>
        <v>238251</v>
      </c>
      <c r="M104" s="298">
        <f t="shared" si="63"/>
        <v>222390</v>
      </c>
      <c r="N104" s="218">
        <f>M107</f>
        <v>194370</v>
      </c>
      <c r="O104" s="270">
        <f t="shared" ref="O104:U104" si="64">N107</f>
        <v>199419</v>
      </c>
      <c r="P104" s="218">
        <f t="shared" si="64"/>
        <v>231318</v>
      </c>
      <c r="Q104" s="218">
        <f t="shared" si="64"/>
        <v>240364.34715922136</v>
      </c>
      <c r="R104" s="218">
        <f t="shared" si="64"/>
        <v>249255.71405231801</v>
      </c>
      <c r="S104" s="218">
        <f t="shared" si="64"/>
        <v>263639.37884929159</v>
      </c>
      <c r="T104" s="218">
        <f t="shared" si="64"/>
        <v>275275.55573806062</v>
      </c>
      <c r="U104" s="218">
        <f t="shared" si="64"/>
        <v>287925.04541197157</v>
      </c>
    </row>
    <row r="105" spans="2:23" outlineLevel="1">
      <c r="B105" s="234" t="s">
        <v>577</v>
      </c>
      <c r="C105" s="234"/>
      <c r="D105" s="234"/>
      <c r="E105" s="234"/>
      <c r="F105" s="234"/>
      <c r="G105" s="232">
        <f>317017+76784</f>
        <v>393801</v>
      </c>
      <c r="H105" s="232">
        <f>231462+29059</f>
        <v>260521</v>
      </c>
      <c r="I105" s="232">
        <f>290010+32858</f>
        <v>322868</v>
      </c>
      <c r="J105" s="232">
        <v>170112</v>
      </c>
      <c r="K105" s="232">
        <v>170371</v>
      </c>
      <c r="L105" s="232">
        <v>121347</v>
      </c>
      <c r="M105" s="232">
        <f>116321+26095</f>
        <v>142416</v>
      </c>
      <c r="N105" s="232">
        <v>125583</v>
      </c>
      <c r="O105" s="233">
        <f>150126+2378+13003</f>
        <v>165507</v>
      </c>
      <c r="P105" s="222">
        <f>P117*P20</f>
        <v>127593.91099310132</v>
      </c>
      <c r="Q105" s="222">
        <f t="shared" ref="Q105:U105" si="65">Q117*Q20</f>
        <v>131824.1479889676</v>
      </c>
      <c r="R105" s="222">
        <f t="shared" si="65"/>
        <v>144410.46146061446</v>
      </c>
      <c r="S105" s="222">
        <f t="shared" si="65"/>
        <v>147401.92959479627</v>
      </c>
      <c r="T105" s="222">
        <f t="shared" si="65"/>
        <v>154653.96373069918</v>
      </c>
      <c r="U105" s="222">
        <f t="shared" si="65"/>
        <v>161291.77118359067</v>
      </c>
    </row>
    <row r="106" spans="2:23" outlineLevel="1">
      <c r="B106" s="234" t="s">
        <v>578</v>
      </c>
      <c r="C106" s="234"/>
      <c r="D106" s="234"/>
      <c r="E106" s="232"/>
      <c r="F106" s="232"/>
      <c r="G106" s="232">
        <v>-427583</v>
      </c>
      <c r="H106" s="232">
        <v>-334959</v>
      </c>
      <c r="I106" s="232">
        <v>-250238</v>
      </c>
      <c r="J106" s="232">
        <f>-224031-57485</f>
        <v>-281516</v>
      </c>
      <c r="K106" s="232">
        <f>-106944-8696</f>
        <v>-115640</v>
      </c>
      <c r="L106" s="232">
        <f>-(96498+40710)</f>
        <v>-137208</v>
      </c>
      <c r="M106" s="232">
        <v>-170436</v>
      </c>
      <c r="N106" s="232">
        <f>-115823-4711</f>
        <v>-120534</v>
      </c>
      <c r="O106" s="233">
        <f>-133609</f>
        <v>-133609</v>
      </c>
      <c r="P106" s="222">
        <f>-P119*SUM(P104:P105)</f>
        <v>-118547.56383387995</v>
      </c>
      <c r="Q106" s="222">
        <f t="shared" ref="Q106:T106" si="66">-Q119*SUM(Q104:Q105)</f>
        <v>-122932.78109587096</v>
      </c>
      <c r="R106" s="222">
        <f t="shared" si="66"/>
        <v>-130026.79666364085</v>
      </c>
      <c r="S106" s="222">
        <f t="shared" si="66"/>
        <v>-135765.75270602721</v>
      </c>
      <c r="T106" s="222">
        <f t="shared" si="66"/>
        <v>-142004.4740567882</v>
      </c>
      <c r="U106" s="222">
        <f t="shared" ref="U106" si="67">-U119*SUM(U104:U105)</f>
        <v>-148375.01239026405</v>
      </c>
    </row>
    <row r="107" spans="2:23" outlineLevel="1">
      <c r="B107" s="251" t="s">
        <v>573</v>
      </c>
      <c r="C107" s="251"/>
      <c r="D107" s="252"/>
      <c r="E107" s="252"/>
      <c r="F107" s="252"/>
      <c r="G107" s="307">
        <f>'1BS'!G82</f>
        <v>296743</v>
      </c>
      <c r="H107" s="307">
        <f>'1BS'!H82</f>
        <v>222305</v>
      </c>
      <c r="I107" s="307">
        <f>'1BS'!I82</f>
        <v>294925</v>
      </c>
      <c r="J107" s="307">
        <f>'1BS'!J82</f>
        <v>183521</v>
      </c>
      <c r="K107" s="307">
        <f>'1BS'!K82</f>
        <v>238251</v>
      </c>
      <c r="L107" s="307">
        <f>'1BS'!L82</f>
        <v>222390</v>
      </c>
      <c r="M107" s="307">
        <f>'1BS'!M82</f>
        <v>194370</v>
      </c>
      <c r="N107" s="307">
        <f>'1BS'!N82</f>
        <v>199419</v>
      </c>
      <c r="O107" s="313">
        <f>'1BS'!O82</f>
        <v>231318</v>
      </c>
      <c r="P107" s="271">
        <f t="shared" ref="P107:U107" si="68">SUM(P104:P106)</f>
        <v>240364.34715922136</v>
      </c>
      <c r="Q107" s="271">
        <f t="shared" si="68"/>
        <v>249255.71405231801</v>
      </c>
      <c r="R107" s="271">
        <f t="shared" si="68"/>
        <v>263639.37884929159</v>
      </c>
      <c r="S107" s="271">
        <f t="shared" si="68"/>
        <v>275275.55573806062</v>
      </c>
      <c r="T107" s="271">
        <f t="shared" si="68"/>
        <v>287925.04541197157</v>
      </c>
      <c r="U107" s="271">
        <f t="shared" si="68"/>
        <v>300841.80420529819</v>
      </c>
    </row>
    <row r="108" spans="2:23" ht="14">
      <c r="G108" s="304"/>
      <c r="H108" s="304"/>
      <c r="I108" s="304"/>
      <c r="J108" s="304"/>
      <c r="K108" s="304"/>
      <c r="L108" s="304"/>
      <c r="M108" s="304"/>
      <c r="N108" s="304"/>
      <c r="O108" s="305"/>
      <c r="P108" s="172">
        <f>'1BS'!P82-Equity!P107</f>
        <v>0</v>
      </c>
      <c r="Q108" s="172">
        <f>'1BS'!Q82-Equity!Q107</f>
        <v>0</v>
      </c>
      <c r="R108" s="172">
        <f>'1BS'!R82-Equity!R107</f>
        <v>0</v>
      </c>
      <c r="S108" s="172">
        <f>'1BS'!S82-Equity!S107</f>
        <v>0</v>
      </c>
      <c r="T108" s="172">
        <f>'1BS'!T82-Equity!T107</f>
        <v>0</v>
      </c>
      <c r="U108" s="172">
        <f>'1BS'!U82-Equity!U107</f>
        <v>0</v>
      </c>
    </row>
    <row r="109" spans="2:23">
      <c r="G109" s="304"/>
      <c r="H109" s="304"/>
      <c r="I109" s="304"/>
      <c r="J109" s="304"/>
      <c r="K109" s="304"/>
      <c r="L109" s="304"/>
      <c r="M109" s="304"/>
      <c r="N109" s="304"/>
      <c r="O109" s="305"/>
    </row>
    <row r="110" spans="2:23">
      <c r="I110" s="218"/>
      <c r="J110" s="218"/>
      <c r="K110" s="218"/>
    </row>
    <row r="111" spans="2:23" ht="13">
      <c r="B111" s="198" t="s">
        <v>584</v>
      </c>
      <c r="C111" s="198"/>
      <c r="D111" s="199">
        <f t="shared" ref="D111:S111" si="69">D32</f>
        <v>2014</v>
      </c>
      <c r="E111" s="199">
        <f t="shared" si="69"/>
        <v>2015</v>
      </c>
      <c r="F111" s="199">
        <f t="shared" ref="F111:O111" si="70">F32</f>
        <v>2016</v>
      </c>
      <c r="G111" s="199">
        <f t="shared" si="70"/>
        <v>2017</v>
      </c>
      <c r="H111" s="199">
        <f t="shared" si="70"/>
        <v>2018</v>
      </c>
      <c r="I111" s="199">
        <f t="shared" si="70"/>
        <v>2019</v>
      </c>
      <c r="J111" s="199">
        <f t="shared" si="70"/>
        <v>2020</v>
      </c>
      <c r="K111" s="199">
        <f t="shared" si="70"/>
        <v>2021</v>
      </c>
      <c r="L111" s="199">
        <f t="shared" si="70"/>
        <v>2022</v>
      </c>
      <c r="M111" s="199">
        <f t="shared" si="70"/>
        <v>2023</v>
      </c>
      <c r="N111" s="199">
        <f t="shared" si="70"/>
        <v>2024</v>
      </c>
      <c r="O111" s="200">
        <f t="shared" si="70"/>
        <v>2025</v>
      </c>
      <c r="P111" s="199">
        <f t="shared" si="69"/>
        <v>2026</v>
      </c>
      <c r="Q111" s="199">
        <f t="shared" si="69"/>
        <v>2027</v>
      </c>
      <c r="R111" s="199">
        <f t="shared" si="69"/>
        <v>2028</v>
      </c>
      <c r="S111" s="199">
        <f t="shared" si="69"/>
        <v>2029</v>
      </c>
      <c r="T111" s="199">
        <f>S111+1</f>
        <v>2030</v>
      </c>
      <c r="U111" s="199">
        <f>T111+1</f>
        <v>2031</v>
      </c>
    </row>
    <row r="112" spans="2:23">
      <c r="B112" s="234" t="s">
        <v>585</v>
      </c>
      <c r="C112" s="234"/>
      <c r="D112" s="234"/>
      <c r="E112" s="272"/>
      <c r="F112" s="272"/>
      <c r="G112" s="272"/>
      <c r="H112" s="272">
        <f t="shared" ref="H112:N112" si="71">-H25/H20</f>
        <v>0.82537650019049191</v>
      </c>
      <c r="I112" s="273">
        <f t="shared" si="71"/>
        <v>0.2721684039381132</v>
      </c>
      <c r="J112" s="273">
        <f t="shared" si="71"/>
        <v>0.73891906460725965</v>
      </c>
      <c r="K112" s="273">
        <f t="shared" si="71"/>
        <v>0.23209647428589453</v>
      </c>
      <c r="L112" s="273">
        <f t="shared" si="71"/>
        <v>0.65779147036972174</v>
      </c>
      <c r="M112" s="273">
        <f t="shared" si="71"/>
        <v>0.64207286922999907</v>
      </c>
      <c r="N112" s="273">
        <f t="shared" si="71"/>
        <v>1.1313736990313543</v>
      </c>
      <c r="O112" s="274">
        <f>-O25/O20</f>
        <v>1.5040411185574141</v>
      </c>
      <c r="P112" s="275">
        <f>-P25/P20</f>
        <v>1.0203477758980255</v>
      </c>
      <c r="Q112" s="275">
        <f t="shared" ref="Q112:U112" si="72">-Q25/Q20</f>
        <v>0.98760481509683062</v>
      </c>
      <c r="R112" s="275">
        <f t="shared" si="72"/>
        <v>0.90152861491581604</v>
      </c>
      <c r="S112" s="275">
        <f t="shared" si="72"/>
        <v>0.88323242211164155</v>
      </c>
      <c r="T112" s="275">
        <f t="shared" si="72"/>
        <v>0.84181588469755153</v>
      </c>
      <c r="U112" s="275">
        <f t="shared" si="72"/>
        <v>0.80717176297699877</v>
      </c>
    </row>
    <row r="113" spans="1:21">
      <c r="B113" s="234" t="s">
        <v>586</v>
      </c>
      <c r="C113" s="234"/>
      <c r="D113" s="234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6"/>
      <c r="P113" s="277">
        <v>0.35</v>
      </c>
      <c r="Q113" s="277">
        <v>0.35</v>
      </c>
      <c r="R113" s="277">
        <v>0.35</v>
      </c>
      <c r="S113" s="277">
        <v>0.35</v>
      </c>
      <c r="T113" s="277">
        <v>0.35</v>
      </c>
      <c r="U113" s="277">
        <v>0.35</v>
      </c>
    </row>
    <row r="114" spans="1:21">
      <c r="B114" s="278" t="s">
        <v>587</v>
      </c>
      <c r="C114" s="278"/>
      <c r="D114" s="278"/>
      <c r="E114" s="278"/>
      <c r="F114" s="278"/>
      <c r="G114" s="278"/>
      <c r="H114" s="278"/>
      <c r="I114" s="218"/>
      <c r="J114" s="279"/>
      <c r="K114" s="279"/>
    </row>
    <row r="115" spans="1:21">
      <c r="B115" s="234" t="s">
        <v>580</v>
      </c>
      <c r="C115" s="234"/>
      <c r="D115" s="234"/>
      <c r="E115" s="234"/>
      <c r="F115" s="234"/>
      <c r="G115" s="234"/>
      <c r="H115" s="234"/>
      <c r="J115" s="280">
        <f t="shared" ref="J115:O115" si="73">J76/J20</f>
        <v>0</v>
      </c>
      <c r="K115" s="280">
        <f t="shared" si="73"/>
        <v>0</v>
      </c>
      <c r="L115" s="280">
        <f t="shared" si="73"/>
        <v>0</v>
      </c>
      <c r="M115" s="280">
        <f t="shared" si="73"/>
        <v>0</v>
      </c>
      <c r="N115" s="280">
        <f t="shared" si="73"/>
        <v>1.4442618949607843E-2</v>
      </c>
      <c r="O115" s="281">
        <f t="shared" si="73"/>
        <v>1.1625562658526462E-3</v>
      </c>
      <c r="P115" s="277">
        <v>0</v>
      </c>
      <c r="Q115" s="277">
        <f>P115</f>
        <v>0</v>
      </c>
      <c r="R115" s="277">
        <f t="shared" ref="R115:U115" si="74">Q115</f>
        <v>0</v>
      </c>
      <c r="S115" s="277">
        <f t="shared" si="74"/>
        <v>0</v>
      </c>
      <c r="T115" s="277">
        <f t="shared" si="74"/>
        <v>0</v>
      </c>
      <c r="U115" s="277">
        <f t="shared" si="74"/>
        <v>0</v>
      </c>
    </row>
    <row r="116" spans="1:21">
      <c r="B116" s="234" t="s">
        <v>588</v>
      </c>
      <c r="C116" s="234"/>
      <c r="D116" s="234"/>
      <c r="E116" s="234"/>
      <c r="F116" s="234"/>
      <c r="G116" s="234"/>
      <c r="H116" s="234"/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1">
        <v>0</v>
      </c>
      <c r="P116" s="280">
        <v>0</v>
      </c>
      <c r="Q116" s="280">
        <v>0</v>
      </c>
      <c r="R116" s="280">
        <v>0</v>
      </c>
      <c r="S116" s="280">
        <v>0</v>
      </c>
      <c r="T116" s="280">
        <v>0</v>
      </c>
      <c r="U116" s="280">
        <v>0</v>
      </c>
    </row>
    <row r="117" spans="1:21">
      <c r="B117" s="234" t="s">
        <v>583</v>
      </c>
      <c r="C117" s="234"/>
      <c r="D117" s="234"/>
      <c r="E117" s="234"/>
      <c r="F117" s="234"/>
      <c r="G117" s="234"/>
      <c r="H117" s="234"/>
      <c r="J117" s="280">
        <f t="shared" ref="J117:O117" si="75">I105/J20</f>
        <v>6.3891696699465941E-2</v>
      </c>
      <c r="K117" s="280">
        <f t="shared" si="75"/>
        <v>3.6013995563033065E-2</v>
      </c>
      <c r="L117" s="280">
        <f t="shared" si="75"/>
        <v>4.633106461020349E-2</v>
      </c>
      <c r="M117" s="280">
        <f t="shared" si="75"/>
        <v>2.3229414468368258E-2</v>
      </c>
      <c r="N117" s="280">
        <f t="shared" si="75"/>
        <v>3.4587096139624858E-2</v>
      </c>
      <c r="O117" s="281">
        <f t="shared" si="75"/>
        <v>2.9002245437936607E-2</v>
      </c>
      <c r="P117" s="277">
        <f>O117</f>
        <v>2.9002245437936607E-2</v>
      </c>
      <c r="Q117" s="277">
        <f t="shared" ref="Q117:U117" si="76">P117</f>
        <v>2.9002245437936607E-2</v>
      </c>
      <c r="R117" s="277">
        <f t="shared" si="76"/>
        <v>2.9002245437936607E-2</v>
      </c>
      <c r="S117" s="277">
        <f t="shared" si="76"/>
        <v>2.9002245437936607E-2</v>
      </c>
      <c r="T117" s="277">
        <f t="shared" si="76"/>
        <v>2.9002245437936607E-2</v>
      </c>
      <c r="U117" s="277">
        <f t="shared" si="76"/>
        <v>2.9002245437936607E-2</v>
      </c>
    </row>
    <row r="118" spans="1:21">
      <c r="J118" s="282"/>
      <c r="K118" s="282"/>
      <c r="L118" s="282"/>
      <c r="M118" s="282"/>
      <c r="N118" s="282"/>
      <c r="O118" s="283"/>
    </row>
    <row r="119" spans="1:21">
      <c r="B119" s="191" t="s">
        <v>589</v>
      </c>
      <c r="J119" s="280">
        <f t="shared" ref="J119:O119" si="77">-I106/SUM(J104:J105)</f>
        <v>0.53810341972789266</v>
      </c>
      <c r="K119" s="280">
        <f t="shared" si="77"/>
        <v>0.79548562838380066</v>
      </c>
      <c r="L119" s="280">
        <f t="shared" si="77"/>
        <v>0.32158132136441248</v>
      </c>
      <c r="M119" s="280">
        <f t="shared" si="77"/>
        <v>0.37611223499613494</v>
      </c>
      <c r="N119" s="280">
        <f t="shared" si="77"/>
        <v>0.53269073895228358</v>
      </c>
      <c r="O119" s="281">
        <f t="shared" si="77"/>
        <v>0.33029710133013268</v>
      </c>
      <c r="P119" s="277">
        <f>O119</f>
        <v>0.33029710133013268</v>
      </c>
      <c r="Q119" s="277">
        <f t="shared" ref="Q119:U119" si="78">P119</f>
        <v>0.33029710133013268</v>
      </c>
      <c r="R119" s="277">
        <f t="shared" si="78"/>
        <v>0.33029710133013268</v>
      </c>
      <c r="S119" s="277">
        <f t="shared" si="78"/>
        <v>0.33029710133013268</v>
      </c>
      <c r="T119" s="277">
        <f t="shared" si="78"/>
        <v>0.33029710133013268</v>
      </c>
      <c r="U119" s="277">
        <f t="shared" si="78"/>
        <v>0.33029710133013268</v>
      </c>
    </row>
    <row r="120" spans="1:21">
      <c r="J120" s="218"/>
    </row>
    <row r="123" spans="1:21">
      <c r="D123" s="218"/>
      <c r="E123" s="218"/>
      <c r="F123" s="218"/>
      <c r="G123" s="218"/>
      <c r="H123" s="218">
        <f t="shared" ref="H123:O123" si="79">H20</f>
        <v>4711485</v>
      </c>
      <c r="I123" s="218">
        <f t="shared" si="79"/>
        <v>4177432</v>
      </c>
      <c r="J123" s="218">
        <f t="shared" si="79"/>
        <v>5053364</v>
      </c>
      <c r="K123" s="218">
        <f t="shared" si="79"/>
        <v>4723497</v>
      </c>
      <c r="L123" s="218">
        <f t="shared" si="79"/>
        <v>3677252</v>
      </c>
      <c r="M123" s="218">
        <f t="shared" si="79"/>
        <v>5223851</v>
      </c>
      <c r="N123" s="218">
        <f t="shared" si="79"/>
        <v>4117605</v>
      </c>
      <c r="O123" s="270">
        <f t="shared" si="79"/>
        <v>4330113</v>
      </c>
    </row>
    <row r="124" spans="1:21">
      <c r="H124" s="284">
        <f>'1CF'!E46</f>
        <v>-3888749</v>
      </c>
      <c r="I124" s="284">
        <f>'1CF'!F46</f>
        <v>-1136965</v>
      </c>
      <c r="J124" s="284">
        <f>'1CF'!G46</f>
        <v>-3734027</v>
      </c>
      <c r="K124" s="284">
        <f>'1CF'!H46</f>
        <v>-1096307</v>
      </c>
      <c r="L124" s="284">
        <f>'1CF'!I46</f>
        <v>-2418865</v>
      </c>
      <c r="M124" s="284">
        <f>'1CF'!J46</f>
        <v>-3354093</v>
      </c>
      <c r="N124" s="284">
        <f>'1CF'!K46</f>
        <v>-4658550</v>
      </c>
      <c r="O124" s="284">
        <f>'1CF'!L46</f>
        <v>-6512668</v>
      </c>
    </row>
    <row r="125" spans="1:21">
      <c r="E125" s="279"/>
      <c r="F125" s="279"/>
      <c r="G125" s="279"/>
      <c r="H125" s="279">
        <f t="shared" ref="H125:M125" si="80">-H124/H123</f>
        <v>0.82537650019049191</v>
      </c>
      <c r="I125" s="279">
        <f t="shared" si="80"/>
        <v>0.2721684039381132</v>
      </c>
      <c r="J125" s="279">
        <f t="shared" si="80"/>
        <v>0.73891906460725965</v>
      </c>
      <c r="K125" s="279">
        <f t="shared" si="80"/>
        <v>0.23209647428589453</v>
      </c>
      <c r="L125" s="279">
        <f t="shared" si="80"/>
        <v>0.65779147036972174</v>
      </c>
      <c r="M125" s="279">
        <f t="shared" si="80"/>
        <v>0.64207286922999907</v>
      </c>
      <c r="N125" s="279">
        <f>-N124/N123</f>
        <v>1.1313736990313543</v>
      </c>
      <c r="O125" s="285">
        <f>-O124/O123</f>
        <v>1.5040411185574141</v>
      </c>
    </row>
    <row r="128" spans="1:21" ht="13">
      <c r="A128" s="201">
        <v>12</v>
      </c>
      <c r="B128" s="237" t="s">
        <v>561</v>
      </c>
      <c r="C128" s="237"/>
    </row>
    <row r="129" spans="2:21">
      <c r="B129" s="191" t="s">
        <v>564</v>
      </c>
      <c r="H129" s="286">
        <f t="shared" ref="H129:O129" si="81">G16</f>
        <v>1037160</v>
      </c>
      <c r="I129" s="286">
        <f t="shared" si="81"/>
        <v>1065496</v>
      </c>
      <c r="J129" s="286">
        <f t="shared" si="81"/>
        <v>1270984</v>
      </c>
      <c r="K129" s="286">
        <f t="shared" si="81"/>
        <v>1275046</v>
      </c>
      <c r="L129" s="286">
        <f t="shared" si="81"/>
        <v>1373313</v>
      </c>
      <c r="M129" s="286">
        <f t="shared" si="81"/>
        <v>1450552</v>
      </c>
      <c r="N129" s="286">
        <f t="shared" si="81"/>
        <v>1272846</v>
      </c>
      <c r="O129" s="287">
        <f t="shared" si="81"/>
        <v>1154973</v>
      </c>
      <c r="P129" s="286">
        <f>O132</f>
        <v>1847031</v>
      </c>
      <c r="Q129" s="286">
        <f t="shared" ref="Q129:U129" si="82">P132</f>
        <v>1674130.9419077702</v>
      </c>
      <c r="R129" s="286">
        <f t="shared" si="82"/>
        <v>1537643.1151673649</v>
      </c>
      <c r="S129" s="286">
        <f t="shared" si="82"/>
        <v>1441463.2031933037</v>
      </c>
      <c r="T129" s="286">
        <f t="shared" si="82"/>
        <v>1366336.7251659464</v>
      </c>
      <c r="U129" s="286">
        <f t="shared" si="82"/>
        <v>1313802.2125111434</v>
      </c>
    </row>
    <row r="130" spans="2:21">
      <c r="B130" s="191" t="s">
        <v>577</v>
      </c>
      <c r="H130" s="288">
        <f>'1IS'!H22</f>
        <v>225318</v>
      </c>
      <c r="I130" s="288">
        <f>'1IS'!I22</f>
        <v>316784</v>
      </c>
      <c r="J130" s="288">
        <f>'1IS'!J22</f>
        <v>213349</v>
      </c>
      <c r="K130" s="288">
        <f>'1IS'!K22</f>
        <v>252053</v>
      </c>
      <c r="L130" s="288">
        <f>'1IS'!L22</f>
        <v>275947</v>
      </c>
      <c r="M130" s="288">
        <f>'1IS'!M22</f>
        <v>137448</v>
      </c>
      <c r="N130" s="288">
        <f>'1IS'!N22</f>
        <v>164660</v>
      </c>
      <c r="O130" s="925">
        <f>'1IS'!O22</f>
        <v>149585</v>
      </c>
      <c r="P130" s="288">
        <f>'1IS'!P22</f>
        <v>159565.52190777022</v>
      </c>
      <c r="Q130" s="288">
        <f>'1IS'!Q22</f>
        <v>164855.74280299345</v>
      </c>
      <c r="R130" s="288">
        <f>'1IS'!R22</f>
        <v>180595.84875606452</v>
      </c>
      <c r="S130" s="288">
        <f>'1IS'!S22</f>
        <v>184336.89854743733</v>
      </c>
      <c r="T130" s="288">
        <f>'1IS'!T22</f>
        <v>193406.09787506729</v>
      </c>
      <c r="U130" s="288">
        <f>'1IS'!U22</f>
        <v>201707.16179183358</v>
      </c>
    </row>
    <row r="131" spans="2:21">
      <c r="B131" s="191" t="s">
        <v>578</v>
      </c>
      <c r="H131" s="286">
        <f>H132-SUM(H129:H130)</f>
        <v>-196982</v>
      </c>
      <c r="I131" s="286">
        <f t="shared" ref="I131:M131" si="83">I132-SUM(I129:I130)</f>
        <v>-111296</v>
      </c>
      <c r="J131" s="286">
        <f t="shared" si="83"/>
        <v>-209287</v>
      </c>
      <c r="K131" s="286">
        <f t="shared" si="83"/>
        <v>-153786</v>
      </c>
      <c r="L131" s="286">
        <f t="shared" si="83"/>
        <v>-198708</v>
      </c>
      <c r="M131" s="286">
        <f t="shared" si="83"/>
        <v>-315154</v>
      </c>
      <c r="N131" s="286">
        <f>N132-SUM(N129:N130)</f>
        <v>-282533</v>
      </c>
      <c r="O131" s="287">
        <f>O132-SUM(O129:O130)</f>
        <v>542473</v>
      </c>
      <c r="P131" s="286">
        <f>-P129*18%</f>
        <v>-332465.58</v>
      </c>
      <c r="Q131" s="286">
        <f t="shared" ref="Q131:U131" si="84">-Q129*18%</f>
        <v>-301343.56954339863</v>
      </c>
      <c r="R131" s="286">
        <f t="shared" si="84"/>
        <v>-276775.76073012571</v>
      </c>
      <c r="S131" s="286">
        <f t="shared" si="84"/>
        <v>-259463.37657479465</v>
      </c>
      <c r="T131" s="286">
        <f t="shared" si="84"/>
        <v>-245940.61052987035</v>
      </c>
      <c r="U131" s="286">
        <f t="shared" si="84"/>
        <v>-236484.39825200581</v>
      </c>
    </row>
    <row r="132" spans="2:21">
      <c r="B132" s="251" t="s">
        <v>573</v>
      </c>
      <c r="C132" s="251"/>
      <c r="D132" s="251"/>
      <c r="E132" s="251"/>
      <c r="F132" s="251"/>
      <c r="G132" s="251"/>
      <c r="H132" s="289">
        <f t="shared" ref="H132:O132" si="85">H16</f>
        <v>1065496</v>
      </c>
      <c r="I132" s="289">
        <f t="shared" si="85"/>
        <v>1270984</v>
      </c>
      <c r="J132" s="289">
        <f t="shared" si="85"/>
        <v>1275046</v>
      </c>
      <c r="K132" s="289">
        <f t="shared" si="85"/>
        <v>1373313</v>
      </c>
      <c r="L132" s="289">
        <f t="shared" si="85"/>
        <v>1450552</v>
      </c>
      <c r="M132" s="289">
        <f t="shared" si="85"/>
        <v>1272846</v>
      </c>
      <c r="N132" s="289">
        <f t="shared" si="85"/>
        <v>1154973</v>
      </c>
      <c r="O132" s="290">
        <f t="shared" si="85"/>
        <v>1847031</v>
      </c>
      <c r="P132" s="289">
        <f>SUM(P129:P131)</f>
        <v>1674130.9419077702</v>
      </c>
      <c r="Q132" s="289">
        <f t="shared" ref="Q132:U132" si="86">SUM(Q129:Q131)</f>
        <v>1537643.1151673649</v>
      </c>
      <c r="R132" s="289">
        <f t="shared" si="86"/>
        <v>1441463.2031933037</v>
      </c>
      <c r="S132" s="289">
        <f t="shared" si="86"/>
        <v>1366336.7251659464</v>
      </c>
      <c r="T132" s="289">
        <f t="shared" si="86"/>
        <v>1313802.2125111434</v>
      </c>
      <c r="U132" s="289">
        <f t="shared" si="86"/>
        <v>1279024.9760509711</v>
      </c>
    </row>
    <row r="134" spans="2:21">
      <c r="L134" s="1087">
        <f>L131/K131-1</f>
        <v>0.29210721392064287</v>
      </c>
      <c r="M134" s="1087">
        <f t="shared" ref="M134:O134" si="87">M131/L131-1</f>
        <v>0.58601566117116577</v>
      </c>
      <c r="N134" s="1089">
        <f t="shared" si="87"/>
        <v>-0.1035081261859282</v>
      </c>
      <c r="O134" s="1090">
        <f t="shared" si="87"/>
        <v>-2.920034119908117</v>
      </c>
    </row>
    <row r="135" spans="2:21">
      <c r="L135" s="1088">
        <f>L130/L129</f>
        <v>0.20093525656569186</v>
      </c>
      <c r="M135" s="1088">
        <f t="shared" ref="M135:N135" si="88">M130/M129</f>
        <v>9.4755651641581964E-2</v>
      </c>
      <c r="N135" s="1088">
        <f t="shared" si="88"/>
        <v>0.12936364650554741</v>
      </c>
      <c r="O135" s="1091">
        <f t="shared" ref="O135" si="89">O130/O129</f>
        <v>0.12951385010731853</v>
      </c>
    </row>
    <row r="136" spans="2:21">
      <c r="L136" s="1087">
        <f>L131/L129</f>
        <v>-0.14469243355302105</v>
      </c>
      <c r="M136" s="1087">
        <f t="shared" ref="M136" si="90">M131/M129</f>
        <v>-0.21726487571627903</v>
      </c>
      <c r="N136" s="1089">
        <f>N131/N129</f>
        <v>-0.2219695077016387</v>
      </c>
      <c r="O136" s="1090">
        <f>O131/O129</f>
        <v>0.46968457271295522</v>
      </c>
    </row>
    <row r="137" spans="2:21">
      <c r="M137" s="261">
        <f>AVERAGE(L136:N136)</f>
        <v>-0.19464227232364628</v>
      </c>
    </row>
  </sheetData>
  <conditionalFormatting sqref="G38:U38 G51:U51">
    <cfRule type="cellIs" dxfId="27" priority="21" operator="notEqual">
      <formula>0</formula>
    </cfRule>
    <cfRule type="cellIs" dxfId="26" priority="22" operator="equal">
      <formula>0</formula>
    </cfRule>
  </conditionalFormatting>
  <conditionalFormatting sqref="G44:U44">
    <cfRule type="cellIs" dxfId="25" priority="3" operator="notEqual">
      <formula>0</formula>
    </cfRule>
    <cfRule type="cellIs" dxfId="24" priority="4" operator="equal">
      <formula>0</formula>
    </cfRule>
  </conditionalFormatting>
  <conditionalFormatting sqref="G58:U58">
    <cfRule type="cellIs" dxfId="23" priority="1" operator="notEqual">
      <formula>0</formula>
    </cfRule>
    <cfRule type="cellIs" dxfId="22" priority="2" operator="equal">
      <formula>0</formula>
    </cfRule>
  </conditionalFormatting>
  <conditionalFormatting sqref="G65:U65">
    <cfRule type="cellIs" dxfId="21" priority="7" operator="notEqual">
      <formula>0</formula>
    </cfRule>
    <cfRule type="cellIs" dxfId="20" priority="8" operator="equal">
      <formula>0</formula>
    </cfRule>
  </conditionalFormatting>
  <conditionalFormatting sqref="G72:U72">
    <cfRule type="cellIs" dxfId="19" priority="19" operator="notEqual">
      <formula>0</formula>
    </cfRule>
    <cfRule type="cellIs" dxfId="18" priority="20" operator="equal">
      <formula>0</formula>
    </cfRule>
  </conditionalFormatting>
  <conditionalFormatting sqref="G79:U79">
    <cfRule type="cellIs" dxfId="17" priority="17" operator="notEqual">
      <formula>0</formula>
    </cfRule>
    <cfRule type="cellIs" dxfId="16" priority="18" operator="equal">
      <formula>0</formula>
    </cfRule>
  </conditionalFormatting>
  <conditionalFormatting sqref="G86:U86">
    <cfRule type="cellIs" dxfId="15" priority="9" operator="notEqual">
      <formula>0</formula>
    </cfRule>
    <cfRule type="cellIs" dxfId="14" priority="10" operator="equal">
      <formula>0</formula>
    </cfRule>
  </conditionalFormatting>
  <conditionalFormatting sqref="G93:U93">
    <cfRule type="cellIs" dxfId="13" priority="11" operator="notEqual">
      <formula>0</formula>
    </cfRule>
    <cfRule type="cellIs" dxfId="12" priority="12" operator="equal">
      <formula>0</formula>
    </cfRule>
  </conditionalFormatting>
  <conditionalFormatting sqref="G100:U100">
    <cfRule type="cellIs" dxfId="11" priority="13" operator="notEqual">
      <formula>0</formula>
    </cfRule>
    <cfRule type="cellIs" dxfId="10" priority="14" operator="equal">
      <formula>0</formula>
    </cfRule>
  </conditionalFormatting>
  <conditionalFormatting sqref="P108:U108">
    <cfRule type="cellIs" dxfId="9" priority="15" operator="notEqual">
      <formula>0</formula>
    </cfRule>
    <cfRule type="cellIs" dxfId="8" priority="16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FEA1-78E4-49C1-B6B5-806A9B75C6B3}">
  <sheetPr>
    <tabColor theme="5" tint="0.59999389629810485"/>
  </sheetPr>
  <dimension ref="B1:AD86"/>
  <sheetViews>
    <sheetView topLeftCell="D33" zoomScale="60" zoomScaleNormal="60" workbookViewId="0">
      <selection activeCell="D33" sqref="A1:XFD1048576"/>
    </sheetView>
  </sheetViews>
  <sheetFormatPr defaultColWidth="9.25" defaultRowHeight="14"/>
  <cols>
    <col min="1" max="1" width="3.25" style="152" customWidth="1"/>
    <col min="2" max="2" width="25.58203125" style="152" customWidth="1"/>
    <col min="3" max="11" width="9.25" style="152"/>
    <col min="12" max="12" width="26.4140625" style="152" bestFit="1" customWidth="1"/>
    <col min="13" max="13" width="10.33203125" style="152" bestFit="1" customWidth="1"/>
    <col min="14" max="19" width="9.25" style="152"/>
    <col min="20" max="20" width="11.25" style="152" customWidth="1"/>
    <col min="21" max="21" width="10.9140625" style="152" bestFit="1" customWidth="1"/>
    <col min="22" max="22" width="22.25" style="152" bestFit="1" customWidth="1"/>
    <col min="23" max="27" width="15.75" style="152" bestFit="1" customWidth="1"/>
    <col min="28" max="16384" width="9.25" style="152"/>
  </cols>
  <sheetData>
    <row r="1" spans="2:20">
      <c r="B1" s="351"/>
    </row>
    <row r="2" spans="2:20">
      <c r="B2" s="351"/>
    </row>
    <row r="3" spans="2:20">
      <c r="N3" s="352">
        <f>N7/M7-1</f>
        <v>4.6322609224989764E-2</v>
      </c>
    </row>
    <row r="5" spans="2:20" ht="15" thickBot="1">
      <c r="B5" s="1127" t="s">
        <v>642</v>
      </c>
      <c r="C5" s="1127"/>
      <c r="D5" s="1127"/>
      <c r="E5" s="1127"/>
      <c r="F5" s="1127"/>
      <c r="G5" s="1127"/>
      <c r="H5" s="353"/>
      <c r="I5" s="353"/>
      <c r="J5" s="353"/>
      <c r="K5" s="354"/>
      <c r="L5" s="1128" t="s">
        <v>643</v>
      </c>
      <c r="M5" s="1128"/>
      <c r="N5" s="1128"/>
      <c r="O5" s="1128"/>
      <c r="P5" s="1128"/>
      <c r="Q5" s="1128"/>
    </row>
    <row r="6" spans="2:20" ht="15" thickBot="1">
      <c r="B6" s="355" t="s">
        <v>644</v>
      </c>
      <c r="C6" s="356">
        <v>2023</v>
      </c>
      <c r="D6" s="356">
        <v>2024</v>
      </c>
      <c r="E6" s="356">
        <v>2025</v>
      </c>
      <c r="F6" s="356" t="s">
        <v>645</v>
      </c>
      <c r="G6" s="356" t="s">
        <v>646</v>
      </c>
      <c r="H6" s="356" t="s">
        <v>647</v>
      </c>
      <c r="I6" s="356" t="s">
        <v>648</v>
      </c>
      <c r="J6" s="356" t="s">
        <v>759</v>
      </c>
      <c r="K6" s="354"/>
      <c r="L6" s="357" t="s">
        <v>644</v>
      </c>
      <c r="M6" s="356">
        <f>C6</f>
        <v>2023</v>
      </c>
      <c r="N6" s="356">
        <f t="shared" ref="N6:S6" si="0">D6</f>
        <v>2024</v>
      </c>
      <c r="O6" s="356">
        <f>E6</f>
        <v>2025</v>
      </c>
      <c r="P6" s="356" t="str">
        <f t="shared" si="0"/>
        <v>2026F</v>
      </c>
      <c r="Q6" s="356" t="str">
        <f t="shared" si="0"/>
        <v>2027F</v>
      </c>
      <c r="R6" s="356" t="str">
        <f t="shared" si="0"/>
        <v>2028F</v>
      </c>
      <c r="S6" s="356" t="str">
        <f t="shared" si="0"/>
        <v>2029F</v>
      </c>
      <c r="T6" s="356" t="s">
        <v>759</v>
      </c>
    </row>
    <row r="7" spans="2:20" ht="15" thickBot="1">
      <c r="B7" s="358" t="s">
        <v>649</v>
      </c>
      <c r="C7" s="359">
        <f>SUM(C8,C14)</f>
        <v>34056625</v>
      </c>
      <c r="D7" s="359">
        <f t="shared" ref="D7:I7" si="1">SUM(D8,D14)</f>
        <v>33439407</v>
      </c>
      <c r="E7" s="359">
        <f t="shared" si="1"/>
        <v>32597354</v>
      </c>
      <c r="F7" s="359">
        <f t="shared" si="1"/>
        <v>31392669.762843996</v>
      </c>
      <c r="G7" s="359">
        <f t="shared" si="1"/>
        <v>31025232.754139159</v>
      </c>
      <c r="H7" s="359">
        <f t="shared" si="1"/>
        <v>31831626.902020615</v>
      </c>
      <c r="I7" s="359">
        <f t="shared" si="1"/>
        <v>32298619.832074814</v>
      </c>
      <c r="J7" s="359">
        <f>SUM(J8,J14)</f>
        <v>33326358.476759426</v>
      </c>
      <c r="K7" s="360">
        <f>C7-SUM(C8,C14)</f>
        <v>0</v>
      </c>
      <c r="L7" s="361" t="s">
        <v>650</v>
      </c>
      <c r="M7" s="362">
        <f>'1IS'!M3</f>
        <v>30461367</v>
      </c>
      <c r="N7" s="362">
        <f>'1IS'!N3</f>
        <v>31872417</v>
      </c>
      <c r="O7" s="362">
        <f>'1IS'!O3</f>
        <v>25888192</v>
      </c>
      <c r="P7" s="362">
        <f>'1IS'!P3</f>
        <v>27013433.246165488</v>
      </c>
      <c r="Q7" s="362">
        <f>'1IS'!Q3</f>
        <v>27701284.305715155</v>
      </c>
      <c r="R7" s="362">
        <f>'1IS'!R3</f>
        <v>28968445.042441562</v>
      </c>
      <c r="S7" s="362">
        <f>'1IS'!S3</f>
        <v>29683645.157619204</v>
      </c>
      <c r="T7" s="362">
        <f>'1IS'!T3</f>
        <v>30867609.24153753</v>
      </c>
    </row>
    <row r="8" spans="2:20" ht="14.5">
      <c r="B8" s="363" t="s">
        <v>651</v>
      </c>
      <c r="C8" s="364">
        <f>'1BS'!M3</f>
        <v>26553406</v>
      </c>
      <c r="D8" s="364">
        <f>'1BS'!N3</f>
        <v>25066733</v>
      </c>
      <c r="E8" s="364">
        <f>'1BS'!O3</f>
        <v>22140978</v>
      </c>
      <c r="F8" s="364">
        <f>'1BS'!P3</f>
        <v>21786543.443518747</v>
      </c>
      <c r="G8" s="364">
        <f>'1BS'!Q3</f>
        <v>22218601.258333284</v>
      </c>
      <c r="H8" s="364">
        <f>'1BS'!R3</f>
        <v>23752581.101067513</v>
      </c>
      <c r="I8" s="364">
        <f>'1BS'!S3</f>
        <v>24975051.587277804</v>
      </c>
      <c r="J8" s="364">
        <f>'1BS'!T3</f>
        <v>26566335.093463831</v>
      </c>
      <c r="K8" s="360">
        <f>C8-SUM(C9:C13)</f>
        <v>1</v>
      </c>
      <c r="L8" s="365" t="s">
        <v>652</v>
      </c>
      <c r="M8" s="366">
        <f>('1IS'!M3/'1IS'!L3-1)*100</f>
        <v>-12.91548114867731</v>
      </c>
      <c r="N8" s="366">
        <f>('1IS'!N3/'1IS'!M3-1)*100</f>
        <v>4.6322609224989764</v>
      </c>
      <c r="O8" s="366">
        <f>('1IS'!O3/'1IS'!N3-1)*100</f>
        <v>-18.775560698769723</v>
      </c>
      <c r="P8" s="366">
        <f>('1IS'!P3/'1IS'!O3-1)*100</f>
        <v>4.3465424165793021</v>
      </c>
      <c r="Q8" s="366">
        <f>('1IS'!Q3/'1IS'!P3-1)*100</f>
        <v>2.5463296474812491</v>
      </c>
      <c r="R8" s="366">
        <f>('1IS'!R3/'1IS'!Q3-1)*100</f>
        <v>4.5743754070816545</v>
      </c>
      <c r="S8" s="366">
        <f>('1IS'!S3/'1IS'!R3-1)*100</f>
        <v>2.468893701853192</v>
      </c>
      <c r="T8" s="366">
        <f>('1IS'!T3/'1IS'!S3-1)*100</f>
        <v>3.988607455827986</v>
      </c>
    </row>
    <row r="9" spans="2:20" ht="15" thickBot="1">
      <c r="B9" s="367" t="s">
        <v>653</v>
      </c>
      <c r="C9" s="368">
        <f>'1BS'!M4</f>
        <v>5039908</v>
      </c>
      <c r="D9" s="368">
        <f>'1BS'!N4</f>
        <v>4477502</v>
      </c>
      <c r="E9" s="368">
        <f>'1BS'!O4</f>
        <v>4016882</v>
      </c>
      <c r="F9" s="368">
        <f>'1BS'!P4</f>
        <v>3747577.43788388</v>
      </c>
      <c r="G9" s="368">
        <f>'1BS'!Q4</f>
        <v>4922413.3322122116</v>
      </c>
      <c r="H9" s="368">
        <f>'1BS'!R4</f>
        <v>6413066.7191818859</v>
      </c>
      <c r="I9" s="368">
        <f>'1BS'!S4</f>
        <v>7541761.5453063315</v>
      </c>
      <c r="J9" s="368">
        <f>'1BS'!T4</f>
        <v>9076879.7794868946</v>
      </c>
      <c r="K9" s="354"/>
      <c r="L9" s="369" t="s">
        <v>411</v>
      </c>
      <c r="M9" s="370">
        <f>'1IS'!M4</f>
        <v>-21370005</v>
      </c>
      <c r="N9" s="370">
        <f>'1IS'!N4</f>
        <v>-22554221</v>
      </c>
      <c r="O9" s="370">
        <f>'1IS'!O4</f>
        <v>-16587631</v>
      </c>
      <c r="P9" s="370">
        <f>'1IS'!P4</f>
        <v>-17682699.722071912</v>
      </c>
      <c r="Q9" s="370">
        <f>'1IS'!Q4</f>
        <v>-18223910.073673785</v>
      </c>
      <c r="R9" s="370">
        <f>'1IS'!R4</f>
        <v>-18936439.374622609</v>
      </c>
      <c r="S9" s="370">
        <f>'1IS'!S4</f>
        <v>-19393082.845883727</v>
      </c>
      <c r="T9" s="370">
        <f>'1IS'!T4</f>
        <v>-20096200.323745526</v>
      </c>
    </row>
    <row r="10" spans="2:20" ht="14.5">
      <c r="B10" s="367" t="s">
        <v>654</v>
      </c>
      <c r="C10" s="368">
        <f>'1BS'!M7</f>
        <v>17741052</v>
      </c>
      <c r="D10" s="368">
        <f>'1BS'!N7</f>
        <v>16566239</v>
      </c>
      <c r="E10" s="368">
        <f>'1BS'!O7</f>
        <v>14985489</v>
      </c>
      <c r="F10" s="368">
        <f>'1BS'!P7</f>
        <v>14838768.970646594</v>
      </c>
      <c r="G10" s="368">
        <f>'1BS'!Q7</f>
        <v>14108561.572038809</v>
      </c>
      <c r="H10" s="368">
        <f>'1BS'!R7</f>
        <v>13884886.791609878</v>
      </c>
      <c r="I10" s="368">
        <f>'1BS'!S7</f>
        <v>13930853.435541186</v>
      </c>
      <c r="J10" s="368">
        <f>'1BS'!T7</f>
        <v>13869148.309500905</v>
      </c>
      <c r="K10" s="354"/>
      <c r="L10" s="371" t="s">
        <v>655</v>
      </c>
      <c r="M10" s="372">
        <f>M7+M9</f>
        <v>9091362</v>
      </c>
      <c r="N10" s="372">
        <f t="shared" ref="N10" si="2">N7+N9</f>
        <v>9318196</v>
      </c>
      <c r="O10" s="372">
        <f>O7+O9</f>
        <v>9300561</v>
      </c>
      <c r="P10" s="372">
        <f t="shared" ref="P10:T10" si="3">P7+P9</f>
        <v>9330733.5240935758</v>
      </c>
      <c r="Q10" s="372">
        <f t="shared" si="3"/>
        <v>9477374.2320413701</v>
      </c>
      <c r="R10" s="372">
        <f t="shared" si="3"/>
        <v>10032005.667818952</v>
      </c>
      <c r="S10" s="372">
        <f t="shared" si="3"/>
        <v>10290562.311735477</v>
      </c>
      <c r="T10" s="372">
        <f t="shared" si="3"/>
        <v>10771408.917792004</v>
      </c>
    </row>
    <row r="11" spans="2:20" ht="14.5">
      <c r="B11" s="367" t="s">
        <v>429</v>
      </c>
      <c r="C11" s="368">
        <f>'1BS'!M11</f>
        <v>1229401</v>
      </c>
      <c r="D11" s="368">
        <f>'1BS'!N11</f>
        <v>1818472</v>
      </c>
      <c r="E11" s="368">
        <f>'1BS'!O11</f>
        <v>902823</v>
      </c>
      <c r="F11" s="368">
        <f>'1BS'!P11</f>
        <v>1047528.8488705138</v>
      </c>
      <c r="G11" s="368">
        <f>'1BS'!Q11</f>
        <v>1015073.3045363416</v>
      </c>
      <c r="H11" s="368">
        <f>'1BS'!R11</f>
        <v>1093678.0215503676</v>
      </c>
      <c r="I11" s="368">
        <f>'1BS'!S11</f>
        <v>1131510.4555225712</v>
      </c>
      <c r="J11" s="368">
        <f>'1BS'!T11</f>
        <v>1152919.5142986053</v>
      </c>
      <c r="K11" s="354"/>
      <c r="L11" s="365" t="s">
        <v>656</v>
      </c>
      <c r="M11" s="373">
        <f>M10/M7*100</f>
        <v>29.845548297290797</v>
      </c>
      <c r="N11" s="373">
        <f t="shared" ref="N11:T11" si="4">N10/N7*100</f>
        <v>29.235925220230396</v>
      </c>
      <c r="O11" s="373">
        <f t="shared" si="4"/>
        <v>35.925880803109003</v>
      </c>
      <c r="P11" s="373">
        <f t="shared" si="4"/>
        <v>34.541087166023438</v>
      </c>
      <c r="Q11" s="373">
        <f t="shared" si="4"/>
        <v>34.212761139331214</v>
      </c>
      <c r="R11" s="373">
        <f t="shared" si="4"/>
        <v>34.630804839959815</v>
      </c>
      <c r="S11" s="373">
        <f t="shared" si="4"/>
        <v>34.667448209587874</v>
      </c>
      <c r="T11" s="373">
        <f t="shared" si="4"/>
        <v>34.895507564276379</v>
      </c>
    </row>
    <row r="12" spans="2:20" ht="15" thickBot="1">
      <c r="B12" s="367" t="s">
        <v>438</v>
      </c>
      <c r="C12" s="368">
        <f>'1BS'!M20</f>
        <v>2317505</v>
      </c>
      <c r="D12" s="368">
        <f>'1BS'!N20</f>
        <v>1978544</v>
      </c>
      <c r="E12" s="368">
        <f>'1BS'!O20</f>
        <v>2027352</v>
      </c>
      <c r="F12" s="368">
        <f>'1BS'!P20</f>
        <v>1949658.9677773281</v>
      </c>
      <c r="G12" s="368">
        <f>'1BS'!Q20</f>
        <v>1963349.404005107</v>
      </c>
      <c r="H12" s="368">
        <f>'1BS'!R20</f>
        <v>2137713.6540525821</v>
      </c>
      <c r="I12" s="368">
        <f>'1BS'!S20</f>
        <v>2145593.4027623693</v>
      </c>
      <c r="J12" s="368">
        <f>'1BS'!T20</f>
        <v>2232284.9133062782</v>
      </c>
      <c r="K12" s="354"/>
      <c r="L12" s="374" t="s">
        <v>657</v>
      </c>
      <c r="M12" s="370">
        <f>'1IS'!M10+'1IS'!M11</f>
        <v>-5279920</v>
      </c>
      <c r="N12" s="370">
        <f>'1IS'!N10+'1IS'!N11</f>
        <v>-4880971</v>
      </c>
      <c r="O12" s="370">
        <f>'1IS'!O10+'1IS'!O11</f>
        <v>-5005928</v>
      </c>
      <c r="P12" s="370">
        <f>'1IS'!P10+'1IS'!P11</f>
        <v>-4916444.8508021189</v>
      </c>
      <c r="Q12" s="370">
        <f>'1IS'!Q10+'1IS'!Q11</f>
        <v>-4847724.7535001524</v>
      </c>
      <c r="R12" s="370">
        <f>'1IS'!R10+'1IS'!R11</f>
        <v>-4881182.9896514034</v>
      </c>
      <c r="S12" s="370">
        <f>'1IS'!S10+'1IS'!S11</f>
        <v>-5023956.9429270504</v>
      </c>
      <c r="T12" s="370">
        <f>'1IS'!T10+'1IS'!T11</f>
        <v>-5212767.5106646512</v>
      </c>
    </row>
    <row r="13" spans="2:20" ht="14.5">
      <c r="B13" s="367" t="s">
        <v>658</v>
      </c>
      <c r="C13" s="362">
        <f>'1BS'!M23</f>
        <v>225539</v>
      </c>
      <c r="D13" s="362">
        <f>'1BS'!N23</f>
        <v>225976</v>
      </c>
      <c r="E13" s="362">
        <f>'1BS'!O23</f>
        <v>208433</v>
      </c>
      <c r="F13" s="362">
        <f t="shared" ref="F13:H13" si="5">F8-SUM(F9:F12)</f>
        <v>203009.21834043413</v>
      </c>
      <c r="G13" s="362">
        <f t="shared" si="5"/>
        <v>209203.64554081485</v>
      </c>
      <c r="H13" s="362">
        <f t="shared" si="5"/>
        <v>223235.91467279941</v>
      </c>
      <c r="I13" s="362">
        <f t="shared" ref="I13:J13" si="6">I8-SUM(I9:I12)</f>
        <v>225332.7481453456</v>
      </c>
      <c r="J13" s="362">
        <f t="shared" si="6"/>
        <v>235102.57687114924</v>
      </c>
      <c r="K13" s="354"/>
      <c r="L13" s="361" t="s">
        <v>659</v>
      </c>
      <c r="M13" s="372">
        <f>M10+M12</f>
        <v>3811442</v>
      </c>
      <c r="N13" s="372">
        <f t="shared" ref="N13:T13" si="7">N10+N12</f>
        <v>4437225</v>
      </c>
      <c r="O13" s="372">
        <f t="shared" si="7"/>
        <v>4294633</v>
      </c>
      <c r="P13" s="372">
        <f t="shared" si="7"/>
        <v>4414288.6732914569</v>
      </c>
      <c r="Q13" s="372">
        <f t="shared" si="7"/>
        <v>4629649.4785412177</v>
      </c>
      <c r="R13" s="372">
        <f t="shared" si="7"/>
        <v>5150822.678167549</v>
      </c>
      <c r="S13" s="372">
        <f t="shared" si="7"/>
        <v>5266605.3688084269</v>
      </c>
      <c r="T13" s="372">
        <f t="shared" si="7"/>
        <v>5558641.4071273524</v>
      </c>
    </row>
    <row r="14" spans="2:20" ht="14.5">
      <c r="B14" s="376" t="s">
        <v>660</v>
      </c>
      <c r="C14" s="368">
        <f>'1BS'!M29</f>
        <v>7503219</v>
      </c>
      <c r="D14" s="368">
        <f>'1BS'!N29</f>
        <v>8372674</v>
      </c>
      <c r="E14" s="368">
        <f>'1BS'!O29</f>
        <v>10456376</v>
      </c>
      <c r="F14" s="368">
        <f>'1BS'!P29</f>
        <v>9606126.3193252515</v>
      </c>
      <c r="G14" s="368">
        <f>'1BS'!Q29</f>
        <v>8806631.4958058745</v>
      </c>
      <c r="H14" s="368">
        <f>'1BS'!R29</f>
        <v>8079045.8009531023</v>
      </c>
      <c r="I14" s="368">
        <f>'1BS'!S29</f>
        <v>7323568.2447970081</v>
      </c>
      <c r="J14" s="368">
        <f>'1BS'!T29</f>
        <v>6760023.3832955956</v>
      </c>
      <c r="K14" s="354"/>
      <c r="L14" s="365" t="s">
        <v>652</v>
      </c>
      <c r="M14" s="377">
        <f>(('1IS'!M5+SUM('1IS'!M10:M11))/('1IS'!L5+SUM('1IS'!L10:L11))-1)*100</f>
        <v>-30.675487129529376</v>
      </c>
      <c r="N14" s="377">
        <f>(('1IS'!N5+SUM('1IS'!N10:N11))/('1IS'!M5+SUM('1IS'!M10:M11))-1)*100</f>
        <v>16.418532298659592</v>
      </c>
      <c r="O14" s="377">
        <f>(('1IS'!O5+SUM('1IS'!O10:O11))/('1IS'!N5+SUM('1IS'!N10:N11))-1)*100</f>
        <v>-3.2135618064078719</v>
      </c>
      <c r="P14" s="377">
        <f>(('1IS'!P5+SUM('1IS'!P10:P11))/('1IS'!O5+SUM('1IS'!O10:O11))-1)*100</f>
        <v>2.7861676024809823</v>
      </c>
      <c r="Q14" s="377">
        <f>(('1IS'!Q5+SUM('1IS'!Q10:Q11))/('1IS'!P5+SUM('1IS'!P10:P11))-1)*100</f>
        <v>4.8787204731941536</v>
      </c>
      <c r="R14" s="377">
        <f>(('1IS'!R5+SUM('1IS'!R10:R11))/('1IS'!Q5+SUM('1IS'!Q10:Q11))-1)*100</f>
        <v>11.2572928478065</v>
      </c>
      <c r="S14" s="377">
        <f>(('1IS'!S5+SUM('1IS'!S10:S11))/('1IS'!R5+SUM('1IS'!R10:R11))-1)*100</f>
        <v>2.2478485064461262</v>
      </c>
      <c r="T14" s="377">
        <f>(('1IS'!T5+SUM('1IS'!T10:T11))/('1IS'!S5+SUM('1IS'!S10:S11))-1)*100</f>
        <v>5.5450526072926332</v>
      </c>
    </row>
    <row r="15" spans="2:20" ht="15" thickBot="1">
      <c r="B15" s="367" t="s">
        <v>661</v>
      </c>
      <c r="C15" s="368">
        <f>'1BS'!M38</f>
        <v>3969724</v>
      </c>
      <c r="D15" s="368">
        <f>'1BS'!N38</f>
        <v>3593254</v>
      </c>
      <c r="E15" s="368">
        <f>'1BS'!O38</f>
        <v>5068260</v>
      </c>
      <c r="F15" s="368">
        <f>'1BS'!P38</f>
        <v>4374176.1424341733</v>
      </c>
      <c r="G15" s="368">
        <f>'1BS'!Q38</f>
        <v>3531907.7346433415</v>
      </c>
      <c r="H15" s="368">
        <f>'1BS'!R38</f>
        <v>2774676.7389884056</v>
      </c>
      <c r="I15" s="368">
        <f>'1BS'!S38</f>
        <v>1999346.5365920539</v>
      </c>
      <c r="J15" s="368">
        <f>'1BS'!T38</f>
        <v>1409046.2073761562</v>
      </c>
      <c r="K15" s="354"/>
      <c r="L15" s="378" t="s">
        <v>662</v>
      </c>
      <c r="M15" s="379">
        <f>M13/M7*100</f>
        <v>12.512380025492616</v>
      </c>
      <c r="N15" s="379">
        <f>N13/N7*100</f>
        <v>13.921834042269213</v>
      </c>
      <c r="O15" s="379">
        <f t="shared" ref="O15:T15" si="8">O13/O7*100</f>
        <v>16.589157713292607</v>
      </c>
      <c r="P15" s="379">
        <f t="shared" si="8"/>
        <v>16.341087166023438</v>
      </c>
      <c r="Q15" s="379">
        <f t="shared" si="8"/>
        <v>16.71276113933121</v>
      </c>
      <c r="R15" s="379">
        <f t="shared" si="8"/>
        <v>17.780804839959817</v>
      </c>
      <c r="S15" s="379">
        <f t="shared" si="8"/>
        <v>17.742448209587877</v>
      </c>
      <c r="T15" s="379">
        <f t="shared" si="8"/>
        <v>18.008007564276376</v>
      </c>
    </row>
    <row r="16" spans="2:20" ht="14.5">
      <c r="B16" s="367" t="s">
        <v>663</v>
      </c>
      <c r="C16" s="368">
        <f>'1BS'!M49</f>
        <v>279065</v>
      </c>
      <c r="D16" s="368">
        <f>'1BS'!N49</f>
        <v>268305</v>
      </c>
      <c r="E16" s="368">
        <f>'1BS'!O49</f>
        <v>238599</v>
      </c>
      <c r="F16" s="368">
        <f>'1BS'!P49</f>
        <v>228521.4242473256</v>
      </c>
      <c r="G16" s="368">
        <f>'1BS'!Q49</f>
        <v>218450.38363865123</v>
      </c>
      <c r="H16" s="368">
        <f>'1BS'!R49</f>
        <v>208386.07422829693</v>
      </c>
      <c r="I16" s="368">
        <f>'1BS'!S49</f>
        <v>198328.69795221215</v>
      </c>
      <c r="J16" s="368">
        <f>'1BS'!T49</f>
        <v>188278.46280442504</v>
      </c>
      <c r="K16" s="354"/>
      <c r="L16" s="376" t="s">
        <v>664</v>
      </c>
      <c r="M16" s="380">
        <f>M17+M18+M20</f>
        <v>1558968</v>
      </c>
      <c r="N16" s="380">
        <f>N17+N18+N20</f>
        <v>1210132</v>
      </c>
      <c r="O16" s="380">
        <f>O17+O18+O20</f>
        <v>1357333</v>
      </c>
      <c r="P16" s="380">
        <f t="shared" ref="P16:T16" si="9">P17+P18+P20</f>
        <v>1220238.542593101</v>
      </c>
      <c r="Q16" s="380">
        <f t="shared" si="9"/>
        <v>1173071.2137211231</v>
      </c>
      <c r="R16" s="380">
        <f t="shared" si="9"/>
        <v>1164928.0180909974</v>
      </c>
      <c r="S16" s="380">
        <f t="shared" si="9"/>
        <v>1159355.4300870872</v>
      </c>
      <c r="T16" s="380">
        <f t="shared" si="9"/>
        <v>1154837.6657266635</v>
      </c>
    </row>
    <row r="17" spans="2:24" ht="15" thickBot="1">
      <c r="B17" s="381" t="s">
        <v>478</v>
      </c>
      <c r="C17" s="382">
        <f>C14-C15</f>
        <v>3533495</v>
      </c>
      <c r="D17" s="382">
        <f t="shared" ref="D17:J17" si="10">D14-D15</f>
        <v>4779420</v>
      </c>
      <c r="E17" s="382">
        <f t="shared" si="10"/>
        <v>5388116</v>
      </c>
      <c r="F17" s="382">
        <f t="shared" si="10"/>
        <v>5231950.1768910782</v>
      </c>
      <c r="G17" s="382">
        <f t="shared" si="10"/>
        <v>5274723.7611625325</v>
      </c>
      <c r="H17" s="382">
        <f t="shared" si="10"/>
        <v>5304369.0619646963</v>
      </c>
      <c r="I17" s="382">
        <f t="shared" si="10"/>
        <v>5324221.7082049539</v>
      </c>
      <c r="J17" s="382">
        <f t="shared" si="10"/>
        <v>5350977.1759194396</v>
      </c>
      <c r="K17" s="354"/>
      <c r="L17" s="367" t="s">
        <v>377</v>
      </c>
      <c r="M17" s="380">
        <f>'1IS'!M6</f>
        <v>1432569</v>
      </c>
      <c r="N17" s="380">
        <f>'1IS'!N6</f>
        <v>1067078</v>
      </c>
      <c r="O17" s="380">
        <f>'1IS'!O6</f>
        <v>1006647</v>
      </c>
      <c r="P17" s="380">
        <f>'1IS'!P6</f>
        <v>977523.69962457812</v>
      </c>
      <c r="Q17" s="380">
        <f>'1IS'!Q6</f>
        <v>927502.69559499959</v>
      </c>
      <c r="R17" s="380">
        <f>'1IS'!R6</f>
        <v>922159.29790540854</v>
      </c>
      <c r="S17" s="380">
        <f>'1IS'!S6</f>
        <v>919283.02181077644</v>
      </c>
      <c r="T17" s="380">
        <f>'1IS'!T6</f>
        <v>916482.26944071427</v>
      </c>
    </row>
    <row r="18" spans="2:24" ht="15" thickBot="1">
      <c r="B18" s="383" t="s">
        <v>665</v>
      </c>
      <c r="C18" s="384">
        <f>'1BS'!M69</f>
        <v>8571467</v>
      </c>
      <c r="D18" s="384">
        <f>'1BS'!N69</f>
        <v>9002313</v>
      </c>
      <c r="E18" s="384">
        <f>'1BS'!O69</f>
        <v>9597539</v>
      </c>
      <c r="F18" s="384">
        <f>'1BS'!P69</f>
        <v>8782869.742186524</v>
      </c>
      <c r="G18" s="384">
        <f>'1BS'!Q69</f>
        <v>8627404.7709285207</v>
      </c>
      <c r="H18" s="384">
        <f>'1BS'!R69</f>
        <v>9184072.1479703058</v>
      </c>
      <c r="I18" s="384">
        <f>'1BS'!S69</f>
        <v>9280130.2542673126</v>
      </c>
      <c r="J18" s="384">
        <f>'1BS'!T69</f>
        <v>9671543.3624962866</v>
      </c>
      <c r="K18" s="354"/>
      <c r="L18" s="367" t="s">
        <v>666</v>
      </c>
      <c r="M18" s="380">
        <f>'1IS'!M7</f>
        <v>-73434</v>
      </c>
      <c r="N18" s="380">
        <f>'1IS'!N7</f>
        <v>-24788</v>
      </c>
      <c r="O18" s="380">
        <f>'1IS'!O7</f>
        <v>-26257</v>
      </c>
      <c r="P18" s="380">
        <f>'1IS'!P7</f>
        <v>-29677.65703147696</v>
      </c>
      <c r="Q18" s="380">
        <f>'1IS'!Q7</f>
        <v>-26823.98187387647</v>
      </c>
      <c r="R18" s="380">
        <f>'1IS'!R7</f>
        <v>-29623.779814411155</v>
      </c>
      <c r="S18" s="380">
        <f>'1IS'!S7</f>
        <v>-32320.091723689322</v>
      </c>
      <c r="T18" s="380">
        <f>'1IS'!T7</f>
        <v>-34037.103714050776</v>
      </c>
    </row>
    <row r="19" spans="2:24" ht="14.5">
      <c r="B19" s="363" t="s">
        <v>486</v>
      </c>
      <c r="C19" s="364">
        <f>'1BS'!M70</f>
        <v>8224608</v>
      </c>
      <c r="D19" s="364">
        <f>'1BS'!N70</f>
        <v>8657141</v>
      </c>
      <c r="E19" s="364">
        <f>'1BS'!O70</f>
        <v>8880281</v>
      </c>
      <c r="F19" s="364">
        <f>'1BS'!P70</f>
        <v>8068629.7421865249</v>
      </c>
      <c r="G19" s="364">
        <f>'1BS'!Q70</f>
        <v>7916180.7709285198</v>
      </c>
      <c r="H19" s="364">
        <f>'1BS'!R70</f>
        <v>8475864.1479703058</v>
      </c>
      <c r="I19" s="364">
        <f>'1BS'!S70</f>
        <v>8574938.2542673126</v>
      </c>
      <c r="J19" s="364">
        <f>'1BS'!T70</f>
        <v>8969367.3624962866</v>
      </c>
      <c r="K19" s="354"/>
      <c r="L19" s="367" t="s">
        <v>667</v>
      </c>
      <c r="M19" s="380">
        <f>'1IS'!M8</f>
        <v>-50215</v>
      </c>
      <c r="N19" s="380">
        <f>'1IS'!N8</f>
        <v>-27450</v>
      </c>
      <c r="O19" s="380">
        <f>'1IS'!O8</f>
        <v>-34346</v>
      </c>
      <c r="P19" s="380">
        <f>'1IS'!P8</f>
        <v>-33228.323698143628</v>
      </c>
      <c r="Q19" s="380">
        <f>'1IS'!Q8</f>
        <v>-34924.037429432021</v>
      </c>
      <c r="R19" s="380">
        <f>'1IS'!R8</f>
        <v>-37866.270555151896</v>
      </c>
      <c r="S19" s="380">
        <f>'1IS'!S8</f>
        <v>-39228.537711343641</v>
      </c>
      <c r="T19" s="380">
        <f>'1IS'!T8</f>
        <v>-41647.580308700984</v>
      </c>
    </row>
    <row r="20" spans="2:24" ht="15" thickBot="1">
      <c r="B20" s="367" t="s">
        <v>668</v>
      </c>
      <c r="C20" s="368">
        <f>'1BS'!M71</f>
        <v>2476373</v>
      </c>
      <c r="D20" s="368">
        <f>'1BS'!N71</f>
        <v>2642248</v>
      </c>
      <c r="E20" s="368">
        <f>'1BS'!O71</f>
        <v>2403618</v>
      </c>
      <c r="F20" s="368">
        <f>'1BS'!P71</f>
        <v>2314532.7209856268</v>
      </c>
      <c r="G20" s="368">
        <f>'1BS'!Q71</f>
        <v>2413960.9344009906</v>
      </c>
      <c r="H20" s="368">
        <f>'1BS'!R71</f>
        <v>2565343.9327755305</v>
      </c>
      <c r="I20" s="368">
        <f>'1BS'!S71</f>
        <v>2586235.7058208715</v>
      </c>
      <c r="J20" s="368">
        <f>'1BS'!T71</f>
        <v>2704266.7863548324</v>
      </c>
      <c r="K20" s="354"/>
      <c r="L20" s="381" t="s">
        <v>669</v>
      </c>
      <c r="M20" s="370">
        <f>'1IS'!M9+'1IS'!M15</f>
        <v>199833</v>
      </c>
      <c r="N20" s="370">
        <f>'1IS'!N9+'1IS'!N15</f>
        <v>167842</v>
      </c>
      <c r="O20" s="370">
        <f>'1IS'!O9+'1IS'!O15</f>
        <v>376943</v>
      </c>
      <c r="P20" s="370">
        <f>'1IS'!P9+'1IS'!P15</f>
        <v>272392.5</v>
      </c>
      <c r="Q20" s="370">
        <f>'1IS'!Q9+'1IS'!Q15</f>
        <v>272392.5</v>
      </c>
      <c r="R20" s="370">
        <f>'1IS'!R9+'1IS'!R15</f>
        <v>272392.5</v>
      </c>
      <c r="S20" s="370">
        <f>'1IS'!S9+'1IS'!S15</f>
        <v>272392.5</v>
      </c>
      <c r="T20" s="370">
        <f>'1IS'!T9+'1IS'!T15</f>
        <v>272392.5</v>
      </c>
    </row>
    <row r="21" spans="2:24" ht="14.5">
      <c r="B21" s="367" t="s">
        <v>670</v>
      </c>
      <c r="C21" s="368">
        <f>'1BS'!M80</f>
        <v>530129</v>
      </c>
      <c r="D21" s="368">
        <f>'1BS'!N80</f>
        <v>245384</v>
      </c>
      <c r="E21" s="368">
        <f>'1BS'!O80</f>
        <v>267584</v>
      </c>
      <c r="F21" s="368">
        <f>'1BS'!P80</f>
        <v>293301.6330389636</v>
      </c>
      <c r="G21" s="368">
        <f>'1BS'!Q80</f>
        <v>319701.62997069088</v>
      </c>
      <c r="H21" s="368">
        <f>'1BS'!R80</f>
        <v>348490.16372803884</v>
      </c>
      <c r="I21" s="368">
        <f>'1BS'!S80</f>
        <v>379883.33691821987</v>
      </c>
      <c r="J21" s="368">
        <f>'1BS'!T80</f>
        <v>414116.80400812178</v>
      </c>
      <c r="K21" s="354"/>
      <c r="L21" s="385" t="s">
        <v>671</v>
      </c>
      <c r="M21" s="386">
        <f>'1IS'!M17</f>
        <v>5370410</v>
      </c>
      <c r="N21" s="386">
        <f>'1IS'!N17</f>
        <v>5647359</v>
      </c>
      <c r="O21" s="386">
        <f>'1IS'!O17</f>
        <v>5651966</v>
      </c>
      <c r="P21" s="386">
        <f>'1IS'!P17</f>
        <v>5634527.2158845579</v>
      </c>
      <c r="Q21" s="386">
        <f>'1IS'!Q17</f>
        <v>5802720.6922623394</v>
      </c>
      <c r="R21" s="386">
        <f>'1IS'!R17</f>
        <v>6315750.6962585459</v>
      </c>
      <c r="S21" s="386">
        <f>'1IS'!S17</f>
        <v>6425960.7988955127</v>
      </c>
      <c r="T21" s="386">
        <f>'1IS'!T17</f>
        <v>6713479.0728540169</v>
      </c>
    </row>
    <row r="22" spans="2:24" ht="15" thickBot="1">
      <c r="B22" s="367" t="s">
        <v>572</v>
      </c>
      <c r="C22" s="368">
        <f>C19-SUM(C20:C21)</f>
        <v>5218106</v>
      </c>
      <c r="D22" s="368">
        <f t="shared" ref="D22:H22" si="11">D19-SUM(D20:D21)</f>
        <v>5769509</v>
      </c>
      <c r="E22" s="368">
        <f t="shared" si="11"/>
        <v>6209079</v>
      </c>
      <c r="F22" s="368">
        <f t="shared" si="11"/>
        <v>5460795.3881619349</v>
      </c>
      <c r="G22" s="368">
        <f t="shared" si="11"/>
        <v>5182518.206556838</v>
      </c>
      <c r="H22" s="368">
        <f t="shared" si="11"/>
        <v>5562030.0514667369</v>
      </c>
      <c r="I22" s="368">
        <f t="shared" ref="I22:J22" si="12">I19-SUM(I20:I21)</f>
        <v>5608819.2115282211</v>
      </c>
      <c r="J22" s="368">
        <f t="shared" si="12"/>
        <v>5850983.7721333327</v>
      </c>
      <c r="K22" s="354"/>
      <c r="L22" s="367" t="s">
        <v>672</v>
      </c>
      <c r="M22" s="380">
        <f>'1IS'!M20</f>
        <v>-1115357</v>
      </c>
      <c r="N22" s="380">
        <f>'1IS'!N20</f>
        <v>-1152585</v>
      </c>
      <c r="O22" s="380">
        <f>'1IS'!O20</f>
        <v>-1078841</v>
      </c>
      <c r="P22" s="380">
        <f>'1IS'!P20</f>
        <v>-1075512.3042339801</v>
      </c>
      <c r="Q22" s="380">
        <f>'1IS'!Q20</f>
        <v>-1092556.612176812</v>
      </c>
      <c r="R22" s="380">
        <f>'1IS'!R20</f>
        <v>-1155869.3032281315</v>
      </c>
      <c r="S22" s="380">
        <f>'1IS'!S20</f>
        <v>-1159192.2689687323</v>
      </c>
      <c r="T22" s="380">
        <f>'1IS'!T20</f>
        <v>-1187590.5621378084</v>
      </c>
    </row>
    <row r="23" spans="2:24" ht="14.5">
      <c r="B23" s="376" t="s">
        <v>673</v>
      </c>
      <c r="C23" s="368">
        <f>'1BS'!M85</f>
        <v>346858</v>
      </c>
      <c r="D23" s="368">
        <f>'1BS'!N85</f>
        <v>345173</v>
      </c>
      <c r="E23" s="368">
        <f>'1BS'!O85</f>
        <v>717257</v>
      </c>
      <c r="F23" s="368">
        <f>'1BS'!P85</f>
        <v>714240</v>
      </c>
      <c r="G23" s="368">
        <f>'1BS'!Q85</f>
        <v>711224</v>
      </c>
      <c r="H23" s="368">
        <f>'1BS'!R85</f>
        <v>708208</v>
      </c>
      <c r="I23" s="368">
        <f>'1BS'!S85</f>
        <v>705192</v>
      </c>
      <c r="J23" s="368">
        <f>'1BS'!T85</f>
        <v>702176</v>
      </c>
      <c r="K23" s="354"/>
      <c r="L23" s="387" t="s">
        <v>674</v>
      </c>
      <c r="M23" s="386">
        <f>M21+M22</f>
        <v>4255053</v>
      </c>
      <c r="N23" s="386">
        <f t="shared" ref="N23:T23" si="13">N21+N22</f>
        <v>4494774</v>
      </c>
      <c r="O23" s="386">
        <f t="shared" si="13"/>
        <v>4573125</v>
      </c>
      <c r="P23" s="386">
        <f t="shared" si="13"/>
        <v>4559014.9116505776</v>
      </c>
      <c r="Q23" s="386">
        <f t="shared" si="13"/>
        <v>4710164.0800855272</v>
      </c>
      <c r="R23" s="386">
        <f t="shared" si="13"/>
        <v>5159881.3930304144</v>
      </c>
      <c r="S23" s="386">
        <f t="shared" si="13"/>
        <v>5266768.5299267806</v>
      </c>
      <c r="T23" s="386">
        <f t="shared" si="13"/>
        <v>5525888.5107162083</v>
      </c>
    </row>
    <row r="24" spans="2:24" ht="14.5">
      <c r="B24" s="367" t="s">
        <v>675</v>
      </c>
      <c r="C24" s="368">
        <f>'1BS'!M93</f>
        <v>170828</v>
      </c>
      <c r="D24" s="368">
        <f>'1BS'!N93</f>
        <v>169444</v>
      </c>
      <c r="E24" s="368">
        <f>'1BS'!O93</f>
        <v>167936</v>
      </c>
      <c r="F24" s="368">
        <f>'1BS'!P93</f>
        <v>164919</v>
      </c>
      <c r="G24" s="368">
        <f>'1BS'!Q93</f>
        <v>161903</v>
      </c>
      <c r="H24" s="368">
        <f>'1BS'!R93</f>
        <v>158887</v>
      </c>
      <c r="I24" s="368">
        <f>'1BS'!S93</f>
        <v>155871</v>
      </c>
      <c r="J24" s="368">
        <f>'1BS'!T93</f>
        <v>152855</v>
      </c>
      <c r="K24" s="354"/>
      <c r="L24" s="365" t="s">
        <v>652</v>
      </c>
      <c r="M24" s="377">
        <f>('1IS'!M21/'1IS'!L21-1)*100</f>
        <v>-22.632558504875998</v>
      </c>
      <c r="N24" s="377">
        <f>('1IS'!N21/'1IS'!M21-1)*100</f>
        <v>5.6337958657624254</v>
      </c>
      <c r="O24" s="377">
        <f>('1IS'!O21/'1IS'!N21-1)*100</f>
        <v>1.7431577204993998</v>
      </c>
      <c r="P24" s="377">
        <f>('1IS'!P21/'1IS'!O21-1)*100</f>
        <v>-0.30854368401087573</v>
      </c>
      <c r="Q24" s="377">
        <f>('1IS'!Q21/'1IS'!P21-1)*100</f>
        <v>3.3153909641463919</v>
      </c>
      <c r="R24" s="377">
        <f>('1IS'!R21/'1IS'!Q21-1)*100</f>
        <v>9.5478056666068678</v>
      </c>
      <c r="S24" s="377">
        <f>('1IS'!S21/'1IS'!R21-1)*100</f>
        <v>2.0715037566704897</v>
      </c>
      <c r="T24" s="377">
        <f>('1IS'!T21/'1IS'!S21-1)*100</f>
        <v>4.9199044787531232</v>
      </c>
    </row>
    <row r="25" spans="2:24" ht="15" thickBot="1">
      <c r="B25" s="381" t="s">
        <v>676</v>
      </c>
      <c r="C25" s="382">
        <f>C23-C24</f>
        <v>176030</v>
      </c>
      <c r="D25" s="382">
        <f t="shared" ref="D25:J25" si="14">D23-D24</f>
        <v>175729</v>
      </c>
      <c r="E25" s="382">
        <f t="shared" si="14"/>
        <v>549321</v>
      </c>
      <c r="F25" s="382">
        <f t="shared" si="14"/>
        <v>549321</v>
      </c>
      <c r="G25" s="382">
        <f t="shared" si="14"/>
        <v>549321</v>
      </c>
      <c r="H25" s="382">
        <f t="shared" si="14"/>
        <v>549321</v>
      </c>
      <c r="I25" s="382">
        <f t="shared" si="14"/>
        <v>549321</v>
      </c>
      <c r="J25" s="382">
        <f t="shared" si="14"/>
        <v>549321</v>
      </c>
      <c r="K25" s="354"/>
      <c r="L25" s="365" t="s">
        <v>677</v>
      </c>
      <c r="M25" s="377">
        <f t="shared" ref="M25:T25" si="15">M23/M7*100</f>
        <v>13.968686960109178</v>
      </c>
      <c r="N25" s="377">
        <f>N23/N7*100</f>
        <v>14.102394556396522</v>
      </c>
      <c r="O25" s="377">
        <f t="shared" si="15"/>
        <v>17.664906842470884</v>
      </c>
      <c r="P25" s="377">
        <f>P23/P7*100</f>
        <v>16.876843717366885</v>
      </c>
      <c r="Q25" s="377">
        <f t="shared" si="15"/>
        <v>17.00341409482504</v>
      </c>
      <c r="R25" s="377">
        <f t="shared" si="15"/>
        <v>17.812075813771472</v>
      </c>
      <c r="S25" s="377">
        <f t="shared" si="15"/>
        <v>17.742997876306664</v>
      </c>
      <c r="T25" s="377">
        <f t="shared" si="15"/>
        <v>17.901899908983559</v>
      </c>
    </row>
    <row r="26" spans="2:24" ht="15" thickBot="1">
      <c r="B26" s="369" t="s">
        <v>678</v>
      </c>
      <c r="C26" s="388">
        <f>'1BS'!M100</f>
        <v>25485158</v>
      </c>
      <c r="D26" s="388">
        <f>'1BS'!N100</f>
        <v>24437093</v>
      </c>
      <c r="E26" s="388">
        <f>'1BS'!O100</f>
        <v>22999815</v>
      </c>
      <c r="F26" s="388">
        <f ca="1">'1BS'!P100</f>
        <v>22609802.020657476</v>
      </c>
      <c r="G26" s="388">
        <f ca="1">'1BS'!Q100</f>
        <v>22397829.983210638</v>
      </c>
      <c r="H26" s="388">
        <f ca="1">'1BS'!R100</f>
        <v>22647556.754050314</v>
      </c>
      <c r="I26" s="388">
        <f ca="1">'1BS'!S100</f>
        <v>23018491.577807501</v>
      </c>
      <c r="J26" s="388">
        <f ca="1">'1BS'!T100</f>
        <v>23654817.11426314</v>
      </c>
      <c r="K26" s="354"/>
      <c r="L26" s="367" t="s">
        <v>679</v>
      </c>
      <c r="M26" s="380">
        <f>'1IS'!M23</f>
        <v>4117605</v>
      </c>
      <c r="N26" s="380">
        <f>'1IS'!N23</f>
        <v>4330113</v>
      </c>
      <c r="O26" s="380">
        <f>'1IS'!O23</f>
        <v>4423540</v>
      </c>
      <c r="P26" s="380">
        <f>'1IS'!P23</f>
        <v>4399449.3897428075</v>
      </c>
      <c r="Q26" s="380">
        <f>'1IS'!Q23</f>
        <v>4545308.3372825338</v>
      </c>
      <c r="R26" s="380">
        <f>'1IS'!R23</f>
        <v>4979285.5442743497</v>
      </c>
      <c r="S26" s="380">
        <f>'1IS'!S23</f>
        <v>5082431.6313793436</v>
      </c>
      <c r="T26" s="380">
        <f>'1IS'!T23</f>
        <v>5332482.4128411412</v>
      </c>
    </row>
    <row r="27" spans="2:24" ht="15" thickBot="1">
      <c r="B27" s="389" t="s">
        <v>680</v>
      </c>
      <c r="C27" s="364">
        <f>'1BS'!M103</f>
        <v>12825624</v>
      </c>
      <c r="D27" s="364">
        <f>'1BS'!N103</f>
        <v>12825624</v>
      </c>
      <c r="E27" s="364">
        <f>'1BS'!O103</f>
        <v>12825624</v>
      </c>
      <c r="F27" s="364">
        <f>'1BS'!P103</f>
        <v>12825624</v>
      </c>
      <c r="G27" s="364">
        <f>'1BS'!Q103</f>
        <v>12825624</v>
      </c>
      <c r="H27" s="364">
        <f>'1BS'!R103</f>
        <v>12825624</v>
      </c>
      <c r="I27" s="364">
        <f>'1BS'!S103</f>
        <v>12825624</v>
      </c>
      <c r="J27" s="364">
        <f>'1BS'!T103</f>
        <v>12825624</v>
      </c>
      <c r="K27" s="354"/>
      <c r="L27" s="381" t="s">
        <v>561</v>
      </c>
      <c r="M27" s="370">
        <f>M23-M26</f>
        <v>137448</v>
      </c>
      <c r="N27" s="370">
        <f t="shared" ref="N27:T27" si="16">N23-N26</f>
        <v>164661</v>
      </c>
      <c r="O27" s="370">
        <f t="shared" si="16"/>
        <v>149585</v>
      </c>
      <c r="P27" s="370">
        <f t="shared" si="16"/>
        <v>159565.52190777007</v>
      </c>
      <c r="Q27" s="370">
        <f t="shared" si="16"/>
        <v>164855.74280299339</v>
      </c>
      <c r="R27" s="370">
        <f t="shared" si="16"/>
        <v>180595.84875606466</v>
      </c>
      <c r="S27" s="370">
        <f t="shared" si="16"/>
        <v>184336.89854743704</v>
      </c>
      <c r="T27" s="370">
        <f t="shared" si="16"/>
        <v>193406.09787506703</v>
      </c>
    </row>
    <row r="28" spans="2:24" ht="14.5">
      <c r="B28" s="367" t="s">
        <v>681</v>
      </c>
      <c r="C28" s="368">
        <f>'1BS'!M105</f>
        <v>0</v>
      </c>
      <c r="D28" s="368">
        <f>'1BS'!N105</f>
        <v>0</v>
      </c>
      <c r="E28" s="368">
        <f>'1BS'!O105</f>
        <v>0</v>
      </c>
      <c r="F28" s="368">
        <f ca="1">'1BS'!P105</f>
        <v>0</v>
      </c>
      <c r="G28" s="368">
        <f ca="1">'1BS'!Q105</f>
        <v>0</v>
      </c>
      <c r="H28" s="368">
        <f ca="1">'1BS'!R105</f>
        <v>0</v>
      </c>
      <c r="I28" s="368">
        <f ca="1">'1BS'!S105</f>
        <v>0</v>
      </c>
      <c r="J28" s="368">
        <f ca="1">'1BS'!T105</f>
        <v>0</v>
      </c>
      <c r="K28" s="354"/>
      <c r="L28" s="371" t="s">
        <v>407</v>
      </c>
      <c r="M28" s="372">
        <f>'1IS'!M42</f>
        <v>5420625</v>
      </c>
      <c r="N28" s="372">
        <f>'1IS'!N42</f>
        <v>5674809</v>
      </c>
      <c r="O28" s="372">
        <f>'1IS'!O42</f>
        <v>5686312</v>
      </c>
      <c r="P28" s="372">
        <f>'1IS'!P42</f>
        <v>5667755.5395827014</v>
      </c>
      <c r="Q28" s="372">
        <f>'1IS'!Q42</f>
        <v>5837644.7296917718</v>
      </c>
      <c r="R28" s="372">
        <f>'1IS'!R42</f>
        <v>6353616.9668136975</v>
      </c>
      <c r="S28" s="372">
        <f>'1IS'!S42</f>
        <v>6465189.3366068564</v>
      </c>
      <c r="T28" s="372">
        <f>'1IS'!T42</f>
        <v>6755126.6531627178</v>
      </c>
      <c r="U28" s="390"/>
      <c r="V28" s="390"/>
      <c r="W28" s="390"/>
      <c r="X28" s="390"/>
    </row>
    <row r="29" spans="2:24" ht="14.5">
      <c r="B29" s="367" t="s">
        <v>682</v>
      </c>
      <c r="C29" s="391">
        <f>C26-SUM(C27:C28,C30)</f>
        <v>2442250</v>
      </c>
      <c r="D29" s="391">
        <f t="shared" ref="D29:J29" si="17">D26-SUM(D27:D28,D30)</f>
        <v>2393668</v>
      </c>
      <c r="E29" s="391">
        <f t="shared" si="17"/>
        <v>3127047</v>
      </c>
      <c r="F29" s="391">
        <f t="shared" ca="1" si="17"/>
        <v>2954146.9419077709</v>
      </c>
      <c r="G29" s="391">
        <f t="shared" ca="1" si="17"/>
        <v>2817659.1151673645</v>
      </c>
      <c r="H29" s="368">
        <f t="shared" ca="1" si="17"/>
        <v>2721479.2031933069</v>
      </c>
      <c r="I29" s="368">
        <f t="shared" ca="1" si="17"/>
        <v>2646352.7251659445</v>
      </c>
      <c r="J29" s="368">
        <f t="shared" ca="1" si="17"/>
        <v>2593818.2125111409</v>
      </c>
      <c r="K29" s="354"/>
      <c r="L29" s="365" t="s">
        <v>652</v>
      </c>
      <c r="M29" s="377">
        <f>('1IS'!M42/'1IS'!L42-1)*100</f>
        <v>-20.969862080609026</v>
      </c>
      <c r="N29" s="377">
        <f>('1IS'!N42/'1IS'!M42-1)*100</f>
        <v>4.6892009685230107</v>
      </c>
      <c r="O29" s="377">
        <f>('1IS'!O42/'1IS'!N42-1)*100</f>
        <v>0.20270285748824612</v>
      </c>
      <c r="P29" s="377">
        <f t="shared" ref="P29:T29" si="18">(P28/O28-1)*100</f>
        <v>-0.32633560060191247</v>
      </c>
      <c r="Q29" s="377">
        <f t="shared" si="18"/>
        <v>2.9974685556317882</v>
      </c>
      <c r="R29" s="377">
        <f t="shared" si="18"/>
        <v>8.8387056940542728</v>
      </c>
      <c r="S29" s="377">
        <f t="shared" si="18"/>
        <v>1.7560449485061191</v>
      </c>
      <c r="T29" s="377">
        <f t="shared" si="18"/>
        <v>4.4845912696507284</v>
      </c>
    </row>
    <row r="30" spans="2:24" ht="15" thickBot="1">
      <c r="B30" s="367" t="s">
        <v>560</v>
      </c>
      <c r="C30" s="368">
        <f>'1BS'!M115</f>
        <v>10217284</v>
      </c>
      <c r="D30" s="368">
        <f>'1BS'!N115</f>
        <v>9217801</v>
      </c>
      <c r="E30" s="368">
        <f>'1BS'!O115</f>
        <v>7047144</v>
      </c>
      <c r="F30" s="368">
        <f>'1BS'!P115</f>
        <v>6830031.078749706</v>
      </c>
      <c r="G30" s="368">
        <f>'1BS'!Q115</f>
        <v>6754546.8680432728</v>
      </c>
      <c r="H30" s="368">
        <f>'1BS'!R115</f>
        <v>7100453.5508570084</v>
      </c>
      <c r="I30" s="368">
        <f>'1BS'!S115</f>
        <v>7546514.8526415555</v>
      </c>
      <c r="J30" s="368">
        <f>'1BS'!T115</f>
        <v>8235374.9017519997</v>
      </c>
      <c r="K30" s="354"/>
      <c r="L30" s="378" t="s">
        <v>683</v>
      </c>
      <c r="M30" s="379">
        <f t="shared" ref="M30:T30" si="19">M28/M7*100</f>
        <v>17.795081225343566</v>
      </c>
      <c r="N30" s="379">
        <f t="shared" si="19"/>
        <v>17.804765167323204</v>
      </c>
      <c r="O30" s="379">
        <f t="shared" si="19"/>
        <v>21.964886539778444</v>
      </c>
      <c r="P30" s="379">
        <f t="shared" si="19"/>
        <v>20.981248432711638</v>
      </c>
      <c r="Q30" s="379">
        <f t="shared" si="19"/>
        <v>21.073552638450721</v>
      </c>
      <c r="R30" s="379">
        <f t="shared" si="19"/>
        <v>21.932889243813523</v>
      </c>
      <c r="S30" s="379">
        <f t="shared" si="19"/>
        <v>21.780307985346504</v>
      </c>
      <c r="T30" s="379">
        <f t="shared" si="19"/>
        <v>21.884191290307527</v>
      </c>
    </row>
    <row r="31" spans="2:24" ht="15" thickBot="1">
      <c r="B31" s="392" t="s">
        <v>684</v>
      </c>
      <c r="C31" s="382">
        <f>'1BS'!M118</f>
        <v>1272846</v>
      </c>
      <c r="D31" s="382">
        <f>'1BS'!N118</f>
        <v>1154973</v>
      </c>
      <c r="E31" s="382">
        <f>'1BS'!O118</f>
        <v>1847031</v>
      </c>
      <c r="F31" s="382">
        <f>'1BS'!P118</f>
        <v>1674130.9419077702</v>
      </c>
      <c r="G31" s="382">
        <f>'1BS'!Q118</f>
        <v>1537643.1151673649</v>
      </c>
      <c r="H31" s="382">
        <f>'1BS'!R118</f>
        <v>1441463.2031933037</v>
      </c>
      <c r="I31" s="382">
        <f>'1BS'!S118</f>
        <v>1366336.7251659464</v>
      </c>
      <c r="J31" s="382">
        <f>'1BS'!T118</f>
        <v>1313802.2125111434</v>
      </c>
      <c r="K31" s="354"/>
      <c r="L31" s="371" t="s">
        <v>408</v>
      </c>
      <c r="M31" s="372">
        <f t="shared" ref="M31:T31" si="20">M28+C39</f>
        <v>5990657</v>
      </c>
      <c r="N31" s="372">
        <f t="shared" si="20"/>
        <v>6223693</v>
      </c>
      <c r="O31" s="372">
        <f t="shared" si="20"/>
        <v>6416584</v>
      </c>
      <c r="P31" s="372">
        <f t="shared" si="20"/>
        <v>6468244.1390012028</v>
      </c>
      <c r="Q31" s="372">
        <f t="shared" si="20"/>
        <v>6649871.0063843736</v>
      </c>
      <c r="R31" s="372">
        <f t="shared" si="20"/>
        <v>7153300.137197176</v>
      </c>
      <c r="S31" s="372">
        <f t="shared" si="20"/>
        <v>7278566.4023355423</v>
      </c>
      <c r="T31" s="372">
        <f t="shared" si="20"/>
        <v>7386107.8739320328</v>
      </c>
      <c r="U31" s="390"/>
      <c r="V31" s="390"/>
      <c r="W31" s="390"/>
      <c r="X31" s="390"/>
    </row>
    <row r="32" spans="2:24" ht="14.5">
      <c r="B32" s="376" t="s">
        <v>685</v>
      </c>
      <c r="C32" s="368">
        <f>C21+C24</f>
        <v>700957</v>
      </c>
      <c r="D32" s="368">
        <f t="shared" ref="D32:J32" si="21">D21+D24</f>
        <v>414828</v>
      </c>
      <c r="E32" s="368">
        <f t="shared" si="21"/>
        <v>435520</v>
      </c>
      <c r="F32" s="368">
        <f t="shared" si="21"/>
        <v>458220.6330389636</v>
      </c>
      <c r="G32" s="368">
        <f t="shared" si="21"/>
        <v>481604.62997069088</v>
      </c>
      <c r="H32" s="368">
        <f t="shared" si="21"/>
        <v>507377.16372803884</v>
      </c>
      <c r="I32" s="368">
        <f t="shared" si="21"/>
        <v>535754.33691821992</v>
      </c>
      <c r="J32" s="368">
        <f t="shared" si="21"/>
        <v>566971.80400812184</v>
      </c>
      <c r="K32" s="354"/>
      <c r="L32" s="365" t="s">
        <v>652</v>
      </c>
      <c r="M32" s="377">
        <f>('1IS'!M43/'1IS'!L43-1)*100</f>
        <v>-19.263807103978834</v>
      </c>
      <c r="N32" s="377">
        <f>('1IS'!N43/'1IS'!M43-1)*100</f>
        <v>3.8899906971806342</v>
      </c>
      <c r="O32" s="377">
        <f>('1IS'!O43/'1IS'!N43-1)*100</f>
        <v>3.0993013312192508</v>
      </c>
      <c r="P32" s="377">
        <f t="shared" ref="P32:T32" si="22">(P31/O31-1)*100</f>
        <v>0.80510344758524255</v>
      </c>
      <c r="Q32" s="377">
        <f t="shared" si="22"/>
        <v>2.8079779222931034</v>
      </c>
      <c r="R32" s="377">
        <f t="shared" si="22"/>
        <v>7.5705097186016479</v>
      </c>
      <c r="S32" s="377">
        <f t="shared" si="22"/>
        <v>1.7511674714581149</v>
      </c>
      <c r="T32" s="377">
        <f t="shared" si="22"/>
        <v>1.4775089715741707</v>
      </c>
      <c r="W32" s="152" t="s">
        <v>686</v>
      </c>
    </row>
    <row r="33" spans="2:30" ht="15" thickBot="1">
      <c r="B33" s="392" t="s">
        <v>687</v>
      </c>
      <c r="C33" s="370">
        <f>C32-SUM(C9,C10)</f>
        <v>-22080003</v>
      </c>
      <c r="D33" s="370">
        <f t="shared" ref="D33:J33" si="23">D32-SUM(D9,D10)</f>
        <v>-20628913</v>
      </c>
      <c r="E33" s="370">
        <f t="shared" si="23"/>
        <v>-18566851</v>
      </c>
      <c r="F33" s="370">
        <f t="shared" si="23"/>
        <v>-18128125.77549151</v>
      </c>
      <c r="G33" s="370">
        <f t="shared" si="23"/>
        <v>-18549370.274280328</v>
      </c>
      <c r="H33" s="370">
        <f t="shared" si="23"/>
        <v>-19790576.347063724</v>
      </c>
      <c r="I33" s="370">
        <f t="shared" si="23"/>
        <v>-20936860.643929299</v>
      </c>
      <c r="J33" s="370">
        <f t="shared" si="23"/>
        <v>-22379056.284979675</v>
      </c>
      <c r="K33" s="354"/>
      <c r="L33" s="378" t="s">
        <v>688</v>
      </c>
      <c r="M33" s="379">
        <f t="shared" ref="M33:T33" si="24">M31/M7*100</f>
        <v>19.666408930367439</v>
      </c>
      <c r="N33" s="379">
        <f t="shared" si="24"/>
        <v>19.526893740126454</v>
      </c>
      <c r="O33" s="379">
        <f t="shared" si="24"/>
        <v>24.785755606262498</v>
      </c>
      <c r="P33" s="379">
        <f t="shared" si="24"/>
        <v>23.944546700369376</v>
      </c>
      <c r="Q33" s="379">
        <f t="shared" si="24"/>
        <v>24.005641518261353</v>
      </c>
      <c r="R33" s="379">
        <f t="shared" si="24"/>
        <v>24.693421157804302</v>
      </c>
      <c r="S33" s="379">
        <f t="shared" si="24"/>
        <v>24.520460218704905</v>
      </c>
      <c r="T33" s="379">
        <f t="shared" si="24"/>
        <v>23.92834448607957</v>
      </c>
    </row>
    <row r="34" spans="2:30" ht="14.5"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</row>
    <row r="35" spans="2:30" ht="15" thickBot="1">
      <c r="B35" s="1129" t="s">
        <v>689</v>
      </c>
      <c r="C35" s="1129"/>
      <c r="D35" s="1129"/>
      <c r="E35" s="1129"/>
      <c r="F35" s="1129"/>
      <c r="G35" s="1129"/>
      <c r="H35" s="393"/>
      <c r="I35" s="393"/>
      <c r="J35" s="393"/>
      <c r="K35" s="354"/>
      <c r="L35" s="1129" t="s">
        <v>690</v>
      </c>
      <c r="M35" s="1129"/>
      <c r="N35" s="1129"/>
      <c r="O35" s="1129"/>
      <c r="P35" s="1129"/>
      <c r="Q35" s="1129"/>
    </row>
    <row r="36" spans="2:30" ht="15" thickBot="1">
      <c r="B36" s="394" t="s">
        <v>644</v>
      </c>
      <c r="C36" s="356">
        <f>C6</f>
        <v>2023</v>
      </c>
      <c r="D36" s="356">
        <f t="shared" ref="D36:J36" si="25">D6</f>
        <v>2024</v>
      </c>
      <c r="E36" s="356">
        <f t="shared" si="25"/>
        <v>2025</v>
      </c>
      <c r="F36" s="356" t="str">
        <f t="shared" si="25"/>
        <v>2026F</v>
      </c>
      <c r="G36" s="356" t="str">
        <f t="shared" si="25"/>
        <v>2027F</v>
      </c>
      <c r="H36" s="356" t="str">
        <f t="shared" si="25"/>
        <v>2028F</v>
      </c>
      <c r="I36" s="356" t="str">
        <f t="shared" si="25"/>
        <v>2029F</v>
      </c>
      <c r="J36" s="356" t="str">
        <f t="shared" si="25"/>
        <v>2030F</v>
      </c>
      <c r="K36" s="354"/>
      <c r="L36" s="395" t="s">
        <v>691</v>
      </c>
      <c r="M36" s="356">
        <f>M6</f>
        <v>2023</v>
      </c>
      <c r="N36" s="356">
        <f t="shared" ref="N36:T36" si="26">N6</f>
        <v>2024</v>
      </c>
      <c r="O36" s="356">
        <f t="shared" si="26"/>
        <v>2025</v>
      </c>
      <c r="P36" s="356" t="str">
        <f t="shared" si="26"/>
        <v>2026F</v>
      </c>
      <c r="Q36" s="356" t="str">
        <f t="shared" si="26"/>
        <v>2027F</v>
      </c>
      <c r="R36" s="356" t="str">
        <f t="shared" si="26"/>
        <v>2028F</v>
      </c>
      <c r="S36" s="356" t="str">
        <f t="shared" si="26"/>
        <v>2029F</v>
      </c>
      <c r="T36" s="356" t="str">
        <f t="shared" si="26"/>
        <v>2030F</v>
      </c>
    </row>
    <row r="37" spans="2:30" ht="15" thickBot="1">
      <c r="B37" s="396" t="s">
        <v>692</v>
      </c>
      <c r="C37" s="397">
        <f>'1CF'!J26</f>
        <v>1940064</v>
      </c>
      <c r="D37" s="397">
        <f>'1CF'!K26</f>
        <v>4362510</v>
      </c>
      <c r="E37" s="397">
        <f>'1CF'!L26</f>
        <v>3904076</v>
      </c>
      <c r="F37" s="397">
        <f>'1CF'!M26</f>
        <v>3372366.4746106858</v>
      </c>
      <c r="G37" s="397">
        <f>'1CF'!N26</f>
        <v>4310974.4759104419</v>
      </c>
      <c r="H37" s="397">
        <f>'1CF'!O26</f>
        <v>5172453.2861388186</v>
      </c>
      <c r="I37" s="397">
        <f>'1CF'!P26</f>
        <v>5048209.6237021834</v>
      </c>
      <c r="J37" s="397">
        <f>'1CF'!Q26</f>
        <v>5343280.7101574382</v>
      </c>
      <c r="K37" s="354"/>
      <c r="L37" s="389" t="s">
        <v>693</v>
      </c>
      <c r="M37" s="364">
        <f>'1IS'!M24</f>
        <v>3132</v>
      </c>
      <c r="N37" s="364">
        <f>'1IS'!N24</f>
        <v>3291</v>
      </c>
      <c r="O37" s="364">
        <f>'1IS'!O24</f>
        <v>3347</v>
      </c>
      <c r="P37" s="364">
        <f>'1IS'!P24</f>
        <v>3330.7194815705279</v>
      </c>
      <c r="Q37" s="364">
        <f>'1IS'!Q24</f>
        <v>3441.1458543035806</v>
      </c>
      <c r="R37" s="364">
        <f>'1IS'!R24</f>
        <v>3769.6997731769848</v>
      </c>
      <c r="S37" s="364">
        <f>'1IS'!S24</f>
        <v>3847.7892455935453</v>
      </c>
      <c r="T37" s="364">
        <f>'1IS'!T24</f>
        <v>4037.096801020482</v>
      </c>
      <c r="W37" s="152">
        <v>2023</v>
      </c>
      <c r="X37" s="152">
        <f>W37+1</f>
        <v>2024</v>
      </c>
      <c r="Y37" s="152">
        <f t="shared" ref="Y37:AB37" si="27">X37+1</f>
        <v>2025</v>
      </c>
      <c r="Z37" s="152">
        <f t="shared" si="27"/>
        <v>2026</v>
      </c>
      <c r="AA37" s="152">
        <f t="shared" si="27"/>
        <v>2027</v>
      </c>
      <c r="AB37" s="152">
        <f t="shared" si="27"/>
        <v>2028</v>
      </c>
      <c r="AC37" s="152">
        <f t="shared" ref="AC37" si="28">AB37+1</f>
        <v>2029</v>
      </c>
      <c r="AD37" s="152">
        <f t="shared" ref="AD37" si="29">AC37+1</f>
        <v>2030</v>
      </c>
    </row>
    <row r="38" spans="2:30" ht="17" thickBot="1">
      <c r="B38" s="389" t="s">
        <v>674</v>
      </c>
      <c r="C38" s="398">
        <f>'1CF'!J6</f>
        <v>5370410</v>
      </c>
      <c r="D38" s="398">
        <f>'1CF'!K6</f>
        <v>5647359</v>
      </c>
      <c r="E38" s="398">
        <f>'1CF'!L6</f>
        <v>5651966</v>
      </c>
      <c r="F38" s="398">
        <f>'1CF'!M6</f>
        <v>5634527.2158845579</v>
      </c>
      <c r="G38" s="398">
        <f>'1CF'!N6</f>
        <v>5802720.6922623394</v>
      </c>
      <c r="H38" s="398">
        <f>'1CF'!O6</f>
        <v>6315750.6962585459</v>
      </c>
      <c r="I38" s="398">
        <f>'1CF'!P6</f>
        <v>6425960.7988955127</v>
      </c>
      <c r="J38" s="398">
        <f>'1CF'!Q6</f>
        <v>6713479.0728540169</v>
      </c>
      <c r="K38" s="354"/>
      <c r="L38" s="367" t="s">
        <v>694</v>
      </c>
      <c r="M38" s="368">
        <f>'1IS'!M36</f>
        <v>18878.077611339748</v>
      </c>
      <c r="N38" s="368">
        <f>'1IS'!N36</f>
        <v>18152.816976607824</v>
      </c>
      <c r="O38" s="368">
        <f>'1IS'!O36</f>
        <v>16492.596743669321</v>
      </c>
      <c r="P38" s="368">
        <f ca="1">'1IS'!P36</f>
        <v>16323.31614883031</v>
      </c>
      <c r="Q38" s="368">
        <f ca="1">'1IS'!Q36</f>
        <v>16264.461926724351</v>
      </c>
      <c r="R38" s="368">
        <f ca="1">'1IS'!R36</f>
        <v>16534.161623491796</v>
      </c>
      <c r="S38" s="368">
        <f ca="1">'1IS'!S36</f>
        <v>16881.950792675798</v>
      </c>
      <c r="T38" s="368">
        <f ca="1">'1IS'!T36</f>
        <v>17419.047517286745</v>
      </c>
      <c r="U38" s="399" t="s">
        <v>695</v>
      </c>
      <c r="V38" s="399"/>
      <c r="W38" s="400"/>
      <c r="X38" s="400"/>
      <c r="Y38" s="400"/>
      <c r="Z38" s="400"/>
      <c r="AA38" s="400"/>
      <c r="AB38" s="400"/>
    </row>
    <row r="39" spans="2:30" ht="16.5">
      <c r="B39" s="389" t="s">
        <v>696</v>
      </c>
      <c r="C39" s="398">
        <f>'1CF'!J8</f>
        <v>570032</v>
      </c>
      <c r="D39" s="398">
        <f>'1CF'!K8</f>
        <v>548884</v>
      </c>
      <c r="E39" s="398">
        <f>'1CF'!L8</f>
        <v>730272</v>
      </c>
      <c r="F39" s="398">
        <f>'1CF'!M8</f>
        <v>800488.59941850149</v>
      </c>
      <c r="G39" s="398">
        <f>'1CF'!N8</f>
        <v>812226.27669260197</v>
      </c>
      <c r="H39" s="398">
        <f>'1CF'!O8</f>
        <v>799683.17038347875</v>
      </c>
      <c r="I39" s="398">
        <f>'1CF'!P8</f>
        <v>813377.06572868559</v>
      </c>
      <c r="J39" s="398">
        <f>'1CF'!Q8</f>
        <v>630981.22076931491</v>
      </c>
      <c r="K39" s="354"/>
      <c r="L39" s="152" t="s">
        <v>697</v>
      </c>
      <c r="M39" s="368">
        <f>W46/Valuation!$B$12</f>
        <v>2616.2971918876756</v>
      </c>
      <c r="N39" s="368">
        <f>X46/Valuation!$B$12</f>
        <v>3633.8143525741029</v>
      </c>
      <c r="O39" s="368">
        <f>Y46/Valuation!$B$12</f>
        <v>5080.0842433697344</v>
      </c>
      <c r="P39" s="368">
        <f>Z46/Valuation!$B$12</f>
        <v>3760.8689391575658</v>
      </c>
      <c r="Q39" s="368">
        <f>AA46/Valuation!$B$12</f>
        <v>3736.5927999558489</v>
      </c>
      <c r="R39" s="368">
        <f>AB46/Valuation!$B$12</f>
        <v>3717.4291425351994</v>
      </c>
      <c r="S39" s="368">
        <f>AC46/Valuation!$B$12</f>
        <v>3703.9249427260484</v>
      </c>
      <c r="T39" s="368">
        <f>AD46/Valuation!$B$12</f>
        <v>3693.3767632838299</v>
      </c>
      <c r="U39" s="399" t="s">
        <v>698</v>
      </c>
      <c r="W39" s="401"/>
      <c r="X39" s="402"/>
      <c r="Y39" s="402"/>
      <c r="Z39" s="402"/>
      <c r="AA39" s="402"/>
      <c r="AB39" s="402"/>
    </row>
    <row r="40" spans="2:30" ht="14.5">
      <c r="B40" s="403" t="s">
        <v>699</v>
      </c>
      <c r="C40" s="404">
        <f>'1CF'!J11</f>
        <v>-1393861</v>
      </c>
      <c r="D40" s="404">
        <f>'1CF'!K11</f>
        <v>-1051087</v>
      </c>
      <c r="E40" s="404">
        <f>'1CF'!L11</f>
        <v>-1273875</v>
      </c>
      <c r="F40" s="404">
        <f>'1CF'!M11</f>
        <v>-960583.19962457812</v>
      </c>
      <c r="G40" s="404">
        <f>'1CF'!N11</f>
        <v>-913313.44559499959</v>
      </c>
      <c r="H40" s="404">
        <f>'1CF'!O11</f>
        <v>-906594.42290540854</v>
      </c>
      <c r="I40" s="404">
        <f>'1CF'!P11</f>
        <v>-904404.95931077644</v>
      </c>
      <c r="J40" s="404">
        <f>'1CF'!Q11</f>
        <v>-901260.30069071427</v>
      </c>
      <c r="K40" s="354"/>
      <c r="L40" s="405" t="s">
        <v>700</v>
      </c>
      <c r="M40" s="406">
        <f>'1IS'!M54</f>
        <v>16.395134603213798</v>
      </c>
      <c r="N40" s="406">
        <f>'1IS'!N54</f>
        <v>15.441275783652394</v>
      </c>
      <c r="O40" s="406">
        <f>'1IS'!O54</f>
        <v>14.105918940687703</v>
      </c>
      <c r="P40" s="406">
        <f>'1IS'!P54</f>
        <v>16.716792192237222</v>
      </c>
      <c r="Q40" s="406">
        <f>'1IS'!Q54</f>
        <v>16.180350319768387</v>
      </c>
      <c r="R40" s="406">
        <f>'1IS'!R54</f>
        <v>14.770127271203386</v>
      </c>
      <c r="S40" s="406">
        <f>'1IS'!S54</f>
        <v>14.470372951900535</v>
      </c>
      <c r="T40" s="406">
        <f>'1IS'!T54</f>
        <v>13.79182817959091</v>
      </c>
      <c r="U40" s="152" t="s">
        <v>701</v>
      </c>
      <c r="W40" s="401"/>
      <c r="X40" s="402"/>
      <c r="Y40" s="402"/>
      <c r="Z40" s="402"/>
      <c r="AA40" s="402"/>
      <c r="AB40" s="402"/>
    </row>
    <row r="41" spans="2:30" ht="14.5">
      <c r="B41" s="367" t="s">
        <v>702</v>
      </c>
      <c r="C41" s="404">
        <f>SUM('1CF'!J16:J19)</f>
        <v>-1108889</v>
      </c>
      <c r="D41" s="404">
        <f>SUM('1CF'!K16:K19)</f>
        <v>691269</v>
      </c>
      <c r="E41" s="404">
        <f>SUM('1CF'!L16:L19)</f>
        <v>-38289</v>
      </c>
      <c r="F41" s="404">
        <f>SUM('1CF'!M16:M19)</f>
        <v>-655074.92161736835</v>
      </c>
      <c r="G41" s="404">
        <f>SUM('1CF'!N16:N19)</f>
        <v>-85454.635747641863</v>
      </c>
      <c r="H41" s="404">
        <f>SUM('1CF'!O16:O19)</f>
        <v>179069.21976535342</v>
      </c>
      <c r="I41" s="404">
        <f>SUM('1CF'!P16:P19)</f>
        <v>21975.552477648915</v>
      </c>
      <c r="J41" s="404">
        <f>SUM('1CF'!Q16:Q19)</f>
        <v>209368.54456199851</v>
      </c>
      <c r="K41" s="354"/>
      <c r="L41" s="405" t="s">
        <v>703</v>
      </c>
      <c r="M41" s="406">
        <f>'1IS'!M55</f>
        <v>2.7094919860523849</v>
      </c>
      <c r="N41" s="406">
        <f>'1IS'!N55</f>
        <v>2.7885479187737201</v>
      </c>
      <c r="O41" s="406">
        <f>'1IS'!O55</f>
        <v>2.8497634866408128</v>
      </c>
      <c r="P41" s="406">
        <f ca="1">'1IS'!P55</f>
        <v>3.4110069863494266</v>
      </c>
      <c r="Q41" s="406">
        <f ca="1">'1IS'!Q55</f>
        <v>3.4233499807678109</v>
      </c>
      <c r="R41" s="406">
        <f ca="1">'1IS'!R55</f>
        <v>3.3675094445031766</v>
      </c>
      <c r="S41" s="406">
        <f ca="1">'1IS'!S55</f>
        <v>3.298134564413421</v>
      </c>
      <c r="T41" s="406">
        <f ca="1">'1IS'!T55</f>
        <v>3.196440297254747</v>
      </c>
      <c r="U41" s="407" t="s">
        <v>704</v>
      </c>
      <c r="W41" s="402"/>
      <c r="X41" s="402"/>
      <c r="Y41" s="402"/>
      <c r="Z41" s="402"/>
      <c r="AA41" s="402"/>
      <c r="AB41" s="402"/>
    </row>
    <row r="42" spans="2:30" ht="15" thickBot="1">
      <c r="B42" s="381" t="s">
        <v>572</v>
      </c>
      <c r="C42" s="408">
        <f>C37-C38-C39-C40-C41</f>
        <v>-1497628</v>
      </c>
      <c r="D42" s="408">
        <f t="shared" ref="D42:J42" si="30">D37-D38-D39-D40-D41</f>
        <v>-1473915</v>
      </c>
      <c r="E42" s="408">
        <f t="shared" si="30"/>
        <v>-1165998</v>
      </c>
      <c r="F42" s="408">
        <f t="shared" si="30"/>
        <v>-1446991.2194504272</v>
      </c>
      <c r="G42" s="408">
        <f t="shared" si="30"/>
        <v>-1305204.411701858</v>
      </c>
      <c r="H42" s="408">
        <f t="shared" si="30"/>
        <v>-1215455.3773631509</v>
      </c>
      <c r="I42" s="408">
        <f t="shared" si="30"/>
        <v>-1308698.8340888876</v>
      </c>
      <c r="J42" s="408">
        <f t="shared" si="30"/>
        <v>-1309287.8273371779</v>
      </c>
      <c r="K42" s="354"/>
      <c r="L42" s="405" t="s">
        <v>705</v>
      </c>
      <c r="M42" s="926">
        <f>'1IS'!M59/M31</f>
        <v>10.950896592443867</v>
      </c>
      <c r="N42" s="926">
        <f>'1IS'!N59/N31</f>
        <v>10.431637175972529</v>
      </c>
      <c r="O42" s="926">
        <f>'1IS'!O59/O31</f>
        <v>9.3944739886519049</v>
      </c>
      <c r="P42" s="926">
        <f>'1IS'!P59/P31</f>
        <v>11.040356359300311</v>
      </c>
      <c r="Q42" s="926">
        <f>'1IS'!Q59/Q31</f>
        <v>10.738812864936524</v>
      </c>
      <c r="R42" s="926">
        <f>'1IS'!R59/R31</f>
        <v>9.9830454397107982</v>
      </c>
      <c r="S42" s="926">
        <f>'1IS'!S59/S31</f>
        <v>9.8112342961677648</v>
      </c>
      <c r="T42" s="926">
        <f>'1IS'!T59/T31</f>
        <v>9.6683830689183381</v>
      </c>
      <c r="U42" s="409" t="s">
        <v>408</v>
      </c>
      <c r="W42" s="402"/>
      <c r="X42" s="402"/>
      <c r="Y42" s="402"/>
      <c r="Z42" s="402"/>
      <c r="AA42" s="402"/>
      <c r="AB42" s="402"/>
    </row>
    <row r="43" spans="2:30" ht="15" thickBot="1">
      <c r="B43" s="395" t="s">
        <v>706</v>
      </c>
      <c r="C43" s="410">
        <f>'1CF'!J37</f>
        <v>2715583</v>
      </c>
      <c r="D43" s="410">
        <f>'1CF'!K37</f>
        <v>18884</v>
      </c>
      <c r="E43" s="410">
        <f>'1CF'!L37</f>
        <v>2423075</v>
      </c>
      <c r="F43" s="410">
        <f>'1CF'!M37</f>
        <v>1157062.3102342309</v>
      </c>
      <c r="G43" s="410">
        <f>'1CF'!N37</f>
        <v>1630789.3910295605</v>
      </c>
      <c r="H43" s="410">
        <f>'1CF'!O37</f>
        <v>1058171.727803634</v>
      </c>
      <c r="I43" s="410">
        <f>'1CF'!P37</f>
        <v>800539.80580687569</v>
      </c>
      <c r="J43" s="410">
        <f>'1CF'!Q37</f>
        <v>895529.06746309402</v>
      </c>
      <c r="K43" s="354"/>
      <c r="L43" s="367" t="s">
        <v>707</v>
      </c>
      <c r="M43" s="411">
        <f>Equity!M112*100</f>
        <v>64.207286922999913</v>
      </c>
      <c r="N43" s="411">
        <f>Equity!N112*100</f>
        <v>113.13736990313544</v>
      </c>
      <c r="O43" s="411">
        <f>Equity!O112*100</f>
        <v>150.40411185574141</v>
      </c>
      <c r="P43" s="411">
        <f>Equity!P112*100</f>
        <v>102.03477758980254</v>
      </c>
      <c r="Q43" s="411">
        <f>Equity!Q112*100</f>
        <v>98.760481509683061</v>
      </c>
      <c r="R43" s="411">
        <f>Equity!R112*100</f>
        <v>90.152861491581604</v>
      </c>
      <c r="S43" s="411">
        <f>Equity!S112*100</f>
        <v>88.323242211164157</v>
      </c>
      <c r="T43" s="411">
        <f>Equity!T112*100</f>
        <v>84.181588469755155</v>
      </c>
      <c r="U43" s="152" t="s">
        <v>708</v>
      </c>
    </row>
    <row r="44" spans="2:30" ht="15" thickBot="1">
      <c r="B44" s="403" t="s">
        <v>709</v>
      </c>
      <c r="C44" s="412">
        <f>SUM('1CF'!J29:J30)</f>
        <v>-281250</v>
      </c>
      <c r="D44" s="412">
        <f>SUM('1CF'!K29:K30)</f>
        <v>-292493</v>
      </c>
      <c r="E44" s="412">
        <f>SUM('1CF'!L29:L30)</f>
        <v>-240244</v>
      </c>
      <c r="F44" s="412">
        <f>SUM('1CF'!M29:M30)</f>
        <v>49759.081256246427</v>
      </c>
      <c r="G44" s="412">
        <f>SUM('1CF'!N29:N30)</f>
        <v>-12731.453173224005</v>
      </c>
      <c r="H44" s="412">
        <f>SUM('1CF'!O29:O30)</f>
        <v>-72097.475530705531</v>
      </c>
      <c r="I44" s="412">
        <f>SUM('1CF'!P29:P30)</f>
        <v>-57898.509572592011</v>
      </c>
      <c r="J44" s="412">
        <f>SUM('1CF'!Q29:Q30)</f>
        <v>-67436.359267901935</v>
      </c>
      <c r="K44" s="354"/>
      <c r="L44" s="413" t="s">
        <v>710</v>
      </c>
      <c r="M44" s="414">
        <v>6.5</v>
      </c>
      <c r="N44" s="414">
        <v>10.5</v>
      </c>
      <c r="O44" s="414">
        <v>11.2</v>
      </c>
      <c r="P44" s="414">
        <f>-Equity!P25/(Valuation!$B$13)*100</f>
        <v>7.9041431454097877</v>
      </c>
      <c r="Q44" s="414">
        <f>-Equity!Q25/(Valuation!$B$13)*100</f>
        <v>7.9041431454097877</v>
      </c>
      <c r="R44" s="414">
        <f>-Equity!R25/(Valuation!$B$13)*100</f>
        <v>7.9041431454097877</v>
      </c>
      <c r="S44" s="414">
        <f>-Equity!S25/(Valuation!$B$13)*100</f>
        <v>7.9041431454097877</v>
      </c>
      <c r="T44" s="414">
        <f>-Equity!T25/(Valuation!$B$13)*100</f>
        <v>7.9041431454097877</v>
      </c>
    </row>
    <row r="45" spans="2:30" ht="15" thickBot="1">
      <c r="B45" s="367" t="s">
        <v>711</v>
      </c>
      <c r="C45" s="404">
        <f>SUM('1CF'!J31:J32)</f>
        <v>1633297</v>
      </c>
      <c r="D45" s="404">
        <f>SUM('1CF'!K31:K32)</f>
        <v>-121467</v>
      </c>
      <c r="E45" s="404">
        <f>SUM('1CF'!L31:L32)</f>
        <v>1075151</v>
      </c>
      <c r="F45" s="404">
        <f>SUM('1CF'!M31:M32)</f>
        <v>146720.02935340628</v>
      </c>
      <c r="G45" s="404">
        <f>SUM('1CF'!N31:N32)</f>
        <v>730207.39860778488</v>
      </c>
      <c r="H45" s="404">
        <f>SUM('1CF'!O31:O32)</f>
        <v>223674.78042893112</v>
      </c>
      <c r="I45" s="404">
        <f>SUM('1CF'!P31:P32)</f>
        <v>-45966.643931308761</v>
      </c>
      <c r="J45" s="404">
        <f>SUM('1CF'!Q31:Q32)</f>
        <v>61705.126040281728</v>
      </c>
      <c r="K45" s="354"/>
      <c r="L45" s="395" t="s">
        <v>712</v>
      </c>
      <c r="M45" s="356"/>
      <c r="N45" s="356"/>
      <c r="O45" s="356"/>
      <c r="P45" s="356"/>
      <c r="Q45" s="356"/>
      <c r="R45" s="356"/>
      <c r="S45" s="356"/>
      <c r="T45" s="356"/>
      <c r="U45" s="152" t="s">
        <v>713</v>
      </c>
      <c r="W45" s="152">
        <v>158000</v>
      </c>
      <c r="X45" s="152">
        <v>158000</v>
      </c>
      <c r="Y45" s="152">
        <v>158000</v>
      </c>
      <c r="Z45" s="152">
        <v>158000</v>
      </c>
      <c r="AA45" s="152">
        <v>158000</v>
      </c>
      <c r="AB45" s="152">
        <v>158000</v>
      </c>
    </row>
    <row r="46" spans="2:30" ht="15" thickBot="1">
      <c r="B46" s="381" t="s">
        <v>572</v>
      </c>
      <c r="C46" s="408">
        <f>C43-C44-C45</f>
        <v>1363536</v>
      </c>
      <c r="D46" s="408">
        <f t="shared" ref="D46:J46" si="31">D43-D44-D45</f>
        <v>432844</v>
      </c>
      <c r="E46" s="408">
        <f t="shared" si="31"/>
        <v>1588168</v>
      </c>
      <c r="F46" s="408">
        <f t="shared" si="31"/>
        <v>960583.19962457824</v>
      </c>
      <c r="G46" s="408">
        <f t="shared" si="31"/>
        <v>913313.44559499971</v>
      </c>
      <c r="H46" s="408">
        <f t="shared" si="31"/>
        <v>906594.42290540831</v>
      </c>
      <c r="I46" s="408">
        <f t="shared" si="31"/>
        <v>904404.95931077644</v>
      </c>
      <c r="J46" s="408">
        <f t="shared" si="31"/>
        <v>901260.30069071427</v>
      </c>
      <c r="K46" s="354"/>
      <c r="L46" s="389" t="s">
        <v>688</v>
      </c>
      <c r="M46" s="415">
        <f t="shared" ref="M46:T46" si="32">M33</f>
        <v>19.666408930367439</v>
      </c>
      <c r="N46" s="415">
        <f t="shared" si="32"/>
        <v>19.526893740126454</v>
      </c>
      <c r="O46" s="415">
        <f t="shared" si="32"/>
        <v>24.785755606262498</v>
      </c>
      <c r="P46" s="415">
        <f t="shared" si="32"/>
        <v>23.944546700369376</v>
      </c>
      <c r="Q46" s="415">
        <f t="shared" si="32"/>
        <v>24.005641518261353</v>
      </c>
      <c r="R46" s="415">
        <f t="shared" si="32"/>
        <v>24.693421157804302</v>
      </c>
      <c r="S46" s="415">
        <f t="shared" si="32"/>
        <v>24.520460218704905</v>
      </c>
      <c r="T46" s="415">
        <f t="shared" si="32"/>
        <v>23.92834448607957</v>
      </c>
      <c r="U46" s="152" t="s">
        <v>714</v>
      </c>
      <c r="W46" s="1100">
        <f>-'1CF'!J46</f>
        <v>3354093</v>
      </c>
      <c r="X46" s="1100">
        <f>-'1CF'!K46</f>
        <v>4658550</v>
      </c>
      <c r="Y46" s="1100">
        <f>-'1CF'!L46</f>
        <v>6512668</v>
      </c>
      <c r="Z46" s="1100">
        <f>-'1CF'!M46</f>
        <v>4821433.9799999995</v>
      </c>
      <c r="AA46" s="1100">
        <f>-'1CF'!N46</f>
        <v>4790311.9695433984</v>
      </c>
      <c r="AB46" s="1100">
        <f>-'1CF'!O46</f>
        <v>4765744.1607301254</v>
      </c>
      <c r="AC46" s="1100">
        <f>-'1CF'!P46</f>
        <v>4748431.7765747942</v>
      </c>
      <c r="AD46" s="1100">
        <f>-'1CF'!Q46</f>
        <v>4734909.0105298702</v>
      </c>
    </row>
    <row r="47" spans="2:30" ht="15" thickBot="1">
      <c r="B47" s="369" t="s">
        <v>715</v>
      </c>
      <c r="C47" s="397">
        <f>'1CF'!J48</f>
        <v>-3685025</v>
      </c>
      <c r="D47" s="397">
        <f>'1CF'!K48</f>
        <v>-4943450</v>
      </c>
      <c r="E47" s="397">
        <f>'1CF'!L48</f>
        <v>-6787750</v>
      </c>
      <c r="F47" s="397">
        <f>'1CF'!M48</f>
        <v>-4798733.3469610363</v>
      </c>
      <c r="G47" s="397">
        <f>'1CF'!N48</f>
        <v>-4766927.9726116713</v>
      </c>
      <c r="H47" s="397">
        <f>'1CF'!O48</f>
        <v>-4739971.6269727778</v>
      </c>
      <c r="I47" s="397">
        <f>'1CF'!P48</f>
        <v>-4720054.6033846131</v>
      </c>
      <c r="J47" s="397">
        <f>'1CF'!Q48</f>
        <v>-4703691.5434399685</v>
      </c>
      <c r="K47" s="354"/>
      <c r="L47" s="367" t="s">
        <v>662</v>
      </c>
      <c r="M47" s="411">
        <f t="shared" ref="M47:T47" si="33">M15</f>
        <v>12.512380025492616</v>
      </c>
      <c r="N47" s="411">
        <f t="shared" si="33"/>
        <v>13.921834042269213</v>
      </c>
      <c r="O47" s="411">
        <f t="shared" si="33"/>
        <v>16.589157713292607</v>
      </c>
      <c r="P47" s="411">
        <f t="shared" si="33"/>
        <v>16.341087166023438</v>
      </c>
      <c r="Q47" s="411">
        <f t="shared" si="33"/>
        <v>16.71276113933121</v>
      </c>
      <c r="R47" s="411">
        <f t="shared" si="33"/>
        <v>17.780804839959817</v>
      </c>
      <c r="S47" s="411">
        <f t="shared" si="33"/>
        <v>17.742448209587877</v>
      </c>
      <c r="T47" s="411">
        <f t="shared" si="33"/>
        <v>18.008007564276376</v>
      </c>
      <c r="U47" s="152" t="s">
        <v>716</v>
      </c>
      <c r="W47" s="152">
        <f>W46*100/W45</f>
        <v>2122.8436708860759</v>
      </c>
      <c r="X47" s="152">
        <f t="shared" ref="X47:AB47" si="34">X46*100/X45</f>
        <v>2948.4493670886077</v>
      </c>
      <c r="Y47" s="152">
        <f t="shared" si="34"/>
        <v>4121.9417721518985</v>
      </c>
      <c r="Z47" s="152">
        <f>Z46*100/Z45</f>
        <v>3051.5404936708856</v>
      </c>
      <c r="AA47" s="152">
        <f t="shared" si="34"/>
        <v>3031.8430186983537</v>
      </c>
      <c r="AB47" s="152">
        <f t="shared" si="34"/>
        <v>3016.2937726140035</v>
      </c>
    </row>
    <row r="48" spans="2:30" ht="14.5">
      <c r="B48" s="367" t="s">
        <v>717</v>
      </c>
      <c r="C48" s="416">
        <f>SUM('1CF'!J41:J42)</f>
        <v>0</v>
      </c>
      <c r="D48" s="416">
        <f>SUM('1CF'!K41:K42)</f>
        <v>0</v>
      </c>
      <c r="E48" s="416">
        <f>SUM('1CF'!L41:L42)</f>
        <v>0</v>
      </c>
      <c r="F48" s="416">
        <f>SUM('1CF'!M41:M42)</f>
        <v>0</v>
      </c>
      <c r="G48" s="416">
        <f>SUM('1CF'!N41:N42)</f>
        <v>0</v>
      </c>
      <c r="H48" s="416">
        <f>SUM('1CF'!O41:O42)</f>
        <v>0</v>
      </c>
      <c r="I48" s="416">
        <f>SUM('1CF'!P41:P42)</f>
        <v>0</v>
      </c>
      <c r="J48" s="416">
        <f>SUM('1CF'!Q41:Q42)</f>
        <v>0</v>
      </c>
      <c r="K48" s="354"/>
      <c r="L48" s="367" t="s">
        <v>677</v>
      </c>
      <c r="M48" s="411">
        <f t="shared" ref="M48:T48" si="35">M25</f>
        <v>13.968686960109178</v>
      </c>
      <c r="N48" s="411">
        <f t="shared" si="35"/>
        <v>14.102394556396522</v>
      </c>
      <c r="O48" s="411">
        <f t="shared" si="35"/>
        <v>17.664906842470884</v>
      </c>
      <c r="P48" s="411">
        <f t="shared" si="35"/>
        <v>16.876843717366885</v>
      </c>
      <c r="Q48" s="411">
        <f t="shared" si="35"/>
        <v>17.00341409482504</v>
      </c>
      <c r="R48" s="411">
        <f t="shared" si="35"/>
        <v>17.812075813771472</v>
      </c>
      <c r="S48" s="411">
        <f t="shared" si="35"/>
        <v>17.742997876306664</v>
      </c>
      <c r="T48" s="411">
        <f t="shared" si="35"/>
        <v>17.901899908983559</v>
      </c>
      <c r="W48" s="152">
        <f>M43*100</f>
        <v>6420.7286922999911</v>
      </c>
      <c r="X48" s="152">
        <f t="shared" ref="X48:AB48" si="36">N43*100</f>
        <v>11313.736990313544</v>
      </c>
      <c r="Y48" s="152">
        <f t="shared" si="36"/>
        <v>15040.411185574141</v>
      </c>
      <c r="Z48" s="152">
        <f t="shared" si="36"/>
        <v>10203.477758980254</v>
      </c>
      <c r="AA48" s="152">
        <f t="shared" si="36"/>
        <v>9876.0481509683068</v>
      </c>
      <c r="AB48" s="152">
        <f t="shared" si="36"/>
        <v>9015.2861491581607</v>
      </c>
    </row>
    <row r="49" spans="2:28" ht="14.5">
      <c r="B49" s="367" t="s">
        <v>718</v>
      </c>
      <c r="C49" s="416">
        <f>SUM('1CF'!J43:J44)</f>
        <v>-330933</v>
      </c>
      <c r="D49" s="416">
        <f>SUM('1CF'!K43:K44)</f>
        <v>-284900</v>
      </c>
      <c r="E49" s="416">
        <f>SUM('1CF'!L43:L44)</f>
        <v>-275081</v>
      </c>
      <c r="F49" s="416">
        <f>SUM('1CF'!M43:M44)</f>
        <v>22700.633038963599</v>
      </c>
      <c r="G49" s="416">
        <f>SUM('1CF'!N43:N44)</f>
        <v>23383.996931727277</v>
      </c>
      <c r="H49" s="416">
        <f>SUM('1CF'!O43:O44)</f>
        <v>25772.533757347963</v>
      </c>
      <c r="I49" s="416">
        <f>SUM('1CF'!P43:P44)</f>
        <v>28377.173190181027</v>
      </c>
      <c r="J49" s="416">
        <f>SUM('1CF'!Q43:Q44)</f>
        <v>31217.467089901911</v>
      </c>
      <c r="K49" s="354"/>
      <c r="L49" s="367" t="s">
        <v>719</v>
      </c>
      <c r="M49" s="411">
        <f t="shared" ref="M49" si="37">M23*100/C7</f>
        <v>12.49405365329066</v>
      </c>
      <c r="N49" s="411">
        <f>N23*100/AVERAGE(C7:D7)</f>
        <v>13.318631827127259</v>
      </c>
      <c r="O49" s="411">
        <f t="shared" ref="O49:T49" si="38">O23*100/AVERAGE(D7:E7)</f>
        <v>13.850240171531127</v>
      </c>
      <c r="P49" s="411">
        <f t="shared" si="38"/>
        <v>14.24914273683325</v>
      </c>
      <c r="Q49" s="411">
        <f t="shared" si="38"/>
        <v>15.092349759122229</v>
      </c>
      <c r="R49" s="411">
        <f t="shared" si="38"/>
        <v>16.417878402631153</v>
      </c>
      <c r="S49" s="411">
        <f t="shared" si="38"/>
        <v>16.425224595702844</v>
      </c>
      <c r="T49" s="411">
        <f t="shared" si="38"/>
        <v>16.840808646704968</v>
      </c>
      <c r="U49" s="1101"/>
      <c r="W49" s="417">
        <f>W48*100/W45</f>
        <v>4.0637523368987285</v>
      </c>
      <c r="X49" s="417">
        <f t="shared" ref="X49:AB49" si="39">X48*100/X45</f>
        <v>7.160593031844015</v>
      </c>
      <c r="Y49" s="417">
        <f t="shared" si="39"/>
        <v>9.5192475858064185</v>
      </c>
      <c r="Z49" s="417">
        <f t="shared" si="39"/>
        <v>6.4578973158102873</v>
      </c>
      <c r="AA49" s="417">
        <f t="shared" si="39"/>
        <v>6.2506633866888022</v>
      </c>
      <c r="AB49" s="152">
        <f t="shared" si="39"/>
        <v>5.7058773095937729</v>
      </c>
    </row>
    <row r="50" spans="2:28" ht="15" thickBot="1">
      <c r="B50" s="381" t="s">
        <v>720</v>
      </c>
      <c r="C50" s="418">
        <f>'1CF'!J46</f>
        <v>-3354093</v>
      </c>
      <c r="D50" s="418">
        <f>'1CF'!K46</f>
        <v>-4658550</v>
      </c>
      <c r="E50" s="418">
        <f>'1CF'!L46</f>
        <v>-6512668</v>
      </c>
      <c r="F50" s="418">
        <f>'1CF'!M46</f>
        <v>-4821433.9799999995</v>
      </c>
      <c r="G50" s="418">
        <f>'1CF'!N46</f>
        <v>-4790311.9695433984</v>
      </c>
      <c r="H50" s="418">
        <f>'1CF'!O46</f>
        <v>-4765744.1607301254</v>
      </c>
      <c r="I50" s="418">
        <f>'1CF'!P46</f>
        <v>-4748431.7765747942</v>
      </c>
      <c r="J50" s="418">
        <f>'1CF'!Q46</f>
        <v>-4734909.0105298702</v>
      </c>
      <c r="K50" s="354"/>
      <c r="L50" s="367" t="s">
        <v>721</v>
      </c>
      <c r="M50" s="414">
        <f>M23*100/C26</f>
        <v>16.69620019620832</v>
      </c>
      <c r="N50" s="414">
        <f>N23*100/AVERAGE(C26:D26)</f>
        <v>18.007096675187984</v>
      </c>
      <c r="O50" s="414">
        <f t="shared" ref="O50:T50" si="40">O23*100/AVERAGE(D26:E26)</f>
        <v>19.280873028233628</v>
      </c>
      <c r="P50" s="414">
        <f t="shared" ca="1" si="40"/>
        <v>19.991463245945308</v>
      </c>
      <c r="Q50" s="414">
        <f t="shared" ca="1" si="40"/>
        <v>20.930512761394418</v>
      </c>
      <c r="R50" s="414">
        <f t="shared" ca="1" si="40"/>
        <v>22.909699601989335</v>
      </c>
      <c r="S50" s="414">
        <f t="shared" ca="1" si="40"/>
        <v>23.066451870995575</v>
      </c>
      <c r="T50" s="414">
        <f t="shared" ca="1" si="40"/>
        <v>23.679009119209947</v>
      </c>
    </row>
    <row r="51" spans="2:28" ht="15" thickBot="1">
      <c r="B51" s="369" t="s">
        <v>722</v>
      </c>
      <c r="C51" s="397">
        <f>C37+C43+C47</f>
        <v>970622</v>
      </c>
      <c r="D51" s="397">
        <f t="shared" ref="D51:J51" si="41">D37+D43+D47</f>
        <v>-562056</v>
      </c>
      <c r="E51" s="397">
        <f t="shared" si="41"/>
        <v>-460599</v>
      </c>
      <c r="F51" s="397">
        <f t="shared" si="41"/>
        <v>-269304.56211612001</v>
      </c>
      <c r="G51" s="397">
        <f t="shared" si="41"/>
        <v>1174835.8943283316</v>
      </c>
      <c r="H51" s="397">
        <f t="shared" si="41"/>
        <v>1490653.3869696744</v>
      </c>
      <c r="I51" s="397">
        <f t="shared" si="41"/>
        <v>1128694.8261244455</v>
      </c>
      <c r="J51" s="397">
        <f t="shared" si="41"/>
        <v>1535118.2341805641</v>
      </c>
      <c r="K51" s="354"/>
      <c r="L51" s="395" t="s">
        <v>723</v>
      </c>
      <c r="M51" s="356"/>
      <c r="N51" s="356"/>
      <c r="O51" s="356"/>
      <c r="P51" s="356"/>
      <c r="Q51" s="356"/>
      <c r="R51" s="356"/>
      <c r="S51" s="356"/>
      <c r="T51" s="356"/>
    </row>
    <row r="52" spans="2:28" ht="14.5">
      <c r="B52" s="367" t="s">
        <v>724</v>
      </c>
      <c r="C52" s="404">
        <f>'1CF'!J53</f>
        <v>4069464</v>
      </c>
      <c r="D52" s="404">
        <f>C54</f>
        <v>5039908</v>
      </c>
      <c r="E52" s="404">
        <f t="shared" ref="E52:J52" si="42">D54</f>
        <v>4477502</v>
      </c>
      <c r="F52" s="404">
        <f t="shared" si="42"/>
        <v>4016882</v>
      </c>
      <c r="G52" s="404">
        <f t="shared" si="42"/>
        <v>3747577.43788388</v>
      </c>
      <c r="H52" s="404">
        <f t="shared" si="42"/>
        <v>4922413.3322122116</v>
      </c>
      <c r="I52" s="404">
        <f t="shared" si="42"/>
        <v>6413066.7191818859</v>
      </c>
      <c r="J52" s="404">
        <f t="shared" si="42"/>
        <v>7541761.5453063315</v>
      </c>
      <c r="K52" s="354"/>
      <c r="L52" s="389" t="s">
        <v>725</v>
      </c>
      <c r="M52" s="419">
        <f t="shared" ref="M52:T52" si="43">C32/C26*100</f>
        <v>2.7504518512304297</v>
      </c>
      <c r="N52" s="419">
        <f t="shared" si="43"/>
        <v>1.6975341543284221</v>
      </c>
      <c r="O52" s="419">
        <f>E32/E26*100</f>
        <v>1.893580448364476</v>
      </c>
      <c r="P52" s="419">
        <f t="shared" ca="1" si="43"/>
        <v>2.0266459326813639</v>
      </c>
      <c r="Q52" s="419">
        <f t="shared" ca="1" si="43"/>
        <v>2.1502289745555734</v>
      </c>
      <c r="R52" s="419">
        <f t="shared" ca="1" si="43"/>
        <v>2.2403174401463812</v>
      </c>
      <c r="S52" s="419">
        <f t="shared" ca="1" si="43"/>
        <v>2.3274954186604879</v>
      </c>
      <c r="T52" s="419">
        <f t="shared" ca="1" si="43"/>
        <v>2.3968555802794813</v>
      </c>
    </row>
    <row r="53" spans="2:28" ht="14.5">
      <c r="B53" s="367" t="s">
        <v>726</v>
      </c>
      <c r="C53" s="404">
        <f>C54-SUM(C51:C52)</f>
        <v>-178</v>
      </c>
      <c r="D53" s="404">
        <f t="shared" ref="D53:H53" si="44">D54-SUM(D51:D52)</f>
        <v>-350</v>
      </c>
      <c r="E53" s="404">
        <f>E54-SUM(E51:E52)</f>
        <v>-21</v>
      </c>
      <c r="F53" s="404">
        <f>F54-SUM(F51:F52)</f>
        <v>0</v>
      </c>
      <c r="G53" s="404">
        <f t="shared" si="44"/>
        <v>0</v>
      </c>
      <c r="H53" s="404">
        <f t="shared" si="44"/>
        <v>0</v>
      </c>
      <c r="I53" s="404">
        <f t="shared" ref="I53:J53" si="45">I54-SUM(I51:I52)</f>
        <v>0</v>
      </c>
      <c r="J53" s="404">
        <f t="shared" si="45"/>
        <v>0</v>
      </c>
      <c r="K53" s="354"/>
      <c r="L53" s="367" t="s">
        <v>727</v>
      </c>
      <c r="M53" s="420">
        <f t="shared" ref="M53:T53" si="46">C33/M31*100</f>
        <v>-368.57398111759693</v>
      </c>
      <c r="N53" s="420">
        <f t="shared" si="46"/>
        <v>-331.45775345924034</v>
      </c>
      <c r="O53" s="420">
        <f t="shared" si="46"/>
        <v>-289.35724990119354</v>
      </c>
      <c r="P53" s="420">
        <f t="shared" si="46"/>
        <v>-280.26347469146049</v>
      </c>
      <c r="Q53" s="420">
        <f t="shared" si="46"/>
        <v>-278.94330967430113</v>
      </c>
      <c r="R53" s="420">
        <f t="shared" si="46"/>
        <v>-276.66358138885693</v>
      </c>
      <c r="S53" s="420">
        <f t="shared" si="46"/>
        <v>-287.65088461940928</v>
      </c>
      <c r="T53" s="420">
        <f t="shared" si="46"/>
        <v>-302.9884841509371</v>
      </c>
      <c r="W53" s="152">
        <f>5000/48000</f>
        <v>0.10416666666666667</v>
      </c>
    </row>
    <row r="54" spans="2:28" ht="15" thickBot="1">
      <c r="B54" s="381" t="s">
        <v>728</v>
      </c>
      <c r="C54" s="408">
        <f>C9</f>
        <v>5039908</v>
      </c>
      <c r="D54" s="408">
        <f t="shared" ref="D54:J54" si="47">D9</f>
        <v>4477502</v>
      </c>
      <c r="E54" s="408">
        <f t="shared" si="47"/>
        <v>4016882</v>
      </c>
      <c r="F54" s="408">
        <f t="shared" si="47"/>
        <v>3747577.43788388</v>
      </c>
      <c r="G54" s="408">
        <f t="shared" si="47"/>
        <v>4922413.3322122116</v>
      </c>
      <c r="H54" s="408">
        <f t="shared" si="47"/>
        <v>6413066.7191818859</v>
      </c>
      <c r="I54" s="408">
        <f t="shared" si="47"/>
        <v>7541761.5453063315</v>
      </c>
      <c r="J54" s="408">
        <f t="shared" si="47"/>
        <v>9076879.7794868946</v>
      </c>
      <c r="K54" s="354"/>
      <c r="L54" s="367" t="s">
        <v>729</v>
      </c>
      <c r="M54" s="411">
        <f t="shared" ref="M54:T54" si="48">(C9+C10)/C19*100</f>
        <v>276.98535905905788</v>
      </c>
      <c r="N54" s="411">
        <f t="shared" si="48"/>
        <v>243.07956864743221</v>
      </c>
      <c r="O54" s="411">
        <f t="shared" si="48"/>
        <v>213.98389307725733</v>
      </c>
      <c r="P54" s="411">
        <f t="shared" si="48"/>
        <v>230.35319505804642</v>
      </c>
      <c r="Q54" s="411">
        <f t="shared" si="48"/>
        <v>240.40601718117162</v>
      </c>
      <c r="R54" s="411">
        <f t="shared" si="48"/>
        <v>239.47945786333142</v>
      </c>
      <c r="S54" s="411">
        <f t="shared" si="48"/>
        <v>250.41130727864643</v>
      </c>
      <c r="T54" s="411">
        <f t="shared" si="48"/>
        <v>255.82660584214975</v>
      </c>
    </row>
    <row r="55" spans="2:28" ht="15" thickBot="1">
      <c r="K55" s="354"/>
      <c r="L55" s="381" t="s">
        <v>730</v>
      </c>
      <c r="M55" s="421">
        <f t="shared" ref="M55:T55" si="49">-M28/M19</f>
        <v>107.94832221447774</v>
      </c>
      <c r="N55" s="421">
        <f t="shared" si="49"/>
        <v>206.73256830601093</v>
      </c>
      <c r="O55" s="421">
        <f t="shared" si="49"/>
        <v>165.55965760204973</v>
      </c>
      <c r="P55" s="421">
        <f t="shared" si="49"/>
        <v>170.57001102644679</v>
      </c>
      <c r="Q55" s="421">
        <f t="shared" si="49"/>
        <v>167.15263066268884</v>
      </c>
      <c r="R55" s="421">
        <f t="shared" si="49"/>
        <v>167.79093567082899</v>
      </c>
      <c r="S55" s="421">
        <f t="shared" si="49"/>
        <v>164.80831847926186</v>
      </c>
      <c r="T55" s="421">
        <f t="shared" si="49"/>
        <v>162.19733783072726</v>
      </c>
    </row>
    <row r="56" spans="2:28" ht="15" thickBot="1"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95" t="s">
        <v>731</v>
      </c>
      <c r="M56" s="356"/>
      <c r="N56" s="356"/>
      <c r="O56" s="356"/>
      <c r="P56" s="356"/>
      <c r="Q56" s="356"/>
    </row>
    <row r="57" spans="2:28" ht="14.5">
      <c r="K57" s="354"/>
      <c r="L57" s="389" t="s">
        <v>732</v>
      </c>
      <c r="M57" s="422">
        <f>365/(M62/AVERAGE('1BS'!L71:M71))</f>
        <v>44.521064796018905</v>
      </c>
      <c r="N57" s="422">
        <f>365/(N62/AVERAGE('1BS'!M71:N71))</f>
        <v>42.071194166958016</v>
      </c>
      <c r="O57" s="422">
        <f>365/(O62/AVERAGE('1BS'!N71:O71))</f>
        <v>55.292171341203179</v>
      </c>
      <c r="P57" s="422">
        <f>365/(P62/AVERAGE('1BS'!O71:P71))</f>
        <v>48.948356581882038</v>
      </c>
      <c r="Q57" s="422">
        <f>365/(Q62/AVERAGE('1BS'!P71:Q71))</f>
        <v>47.311330991733108</v>
      </c>
      <c r="R57" s="422">
        <f>365/(R62/AVERAGE('1BS'!Q71:R71))</f>
        <v>47.528086469225748</v>
      </c>
      <c r="S57" s="422">
        <f>365/(S62/AVERAGE('1BS'!R71:S71))</f>
        <v>48.464819179137848</v>
      </c>
      <c r="T57" s="422">
        <f>365/(T62/AVERAGE('1BS'!S71:T71))</f>
        <v>47.829169916445544</v>
      </c>
    </row>
    <row r="58" spans="2:28" ht="14.5">
      <c r="K58" s="354"/>
      <c r="L58" s="367" t="s">
        <v>733</v>
      </c>
      <c r="M58" s="406">
        <f>-365/(M9/AVERAGE('1BS'!L21:M21))</f>
        <v>39.844087542328602</v>
      </c>
      <c r="N58" s="406">
        <f>-365/(N9/AVERAGE('1BS'!M21:N21))</f>
        <v>35.893888110788666</v>
      </c>
      <c r="O58" s="406">
        <f>-365/(O9/AVERAGE('1BS'!N21:O21))</f>
        <v>45.688760347996649</v>
      </c>
      <c r="P58" s="406">
        <f>-365/(P9/AVERAGE('1BS'!O21:P21))</f>
        <v>42.606879980749156</v>
      </c>
      <c r="Q58" s="406">
        <f>-365/(Q9/AVERAGE('1BS'!P21:Q21))</f>
        <v>40.584999127179621</v>
      </c>
      <c r="R58" s="406">
        <f>-365/(R9/AVERAGE('1BS'!Q21:R21))</f>
        <v>40.977460980385572</v>
      </c>
      <c r="S58" s="406">
        <f>-365/(S9/AVERAGE('1BS'!R21:S21))</f>
        <v>41.791808048534925</v>
      </c>
      <c r="T58" s="406">
        <f>-365/(T9/AVERAGE('1BS'!S21:T21))</f>
        <v>41.204813119047657</v>
      </c>
    </row>
    <row r="59" spans="2:28" ht="14.5" thickBot="1">
      <c r="L59" s="381" t="s">
        <v>734</v>
      </c>
      <c r="M59" s="423">
        <f>365/(M7/AVERAGE('1BS'!L11:M11))</f>
        <v>12.743835659115364</v>
      </c>
      <c r="N59" s="423">
        <f>365/(N7/AVERAGE('1BS'!M11:N11))</f>
        <v>17.451981206822186</v>
      </c>
      <c r="O59" s="423">
        <f>365/(O7/AVERAGE('1BS'!N11:O11))</f>
        <v>19.18389424414034</v>
      </c>
      <c r="P59" s="423">
        <f>365/(P7/AVERAGE('1BS'!O11:P11))</f>
        <v>13.176378181007175</v>
      </c>
      <c r="Q59" s="423">
        <f>365/(Q7/AVERAGE('1BS'!P11:Q11))</f>
        <v>13.588716279089251</v>
      </c>
      <c r="R59" s="423">
        <f>365/(R7/AVERAGE('1BS'!Q11:R11))</f>
        <v>13.285045726375246</v>
      </c>
      <c r="S59" s="423">
        <f>365/(S7/AVERAGE('1BS'!R11:S11))</f>
        <v>13.680829793963976</v>
      </c>
      <c r="T59" s="423">
        <f>365/(T7/AVERAGE('1BS'!S11:T11))</f>
        <v>13.506341428326254</v>
      </c>
    </row>
    <row r="61" spans="2:28">
      <c r="L61" s="352">
        <f>'1IS'!G21/AVERAGE('1BS'!F100:G100)</f>
        <v>0.36855992986591868</v>
      </c>
    </row>
    <row r="62" spans="2:28">
      <c r="K62" s="152" t="s">
        <v>735</v>
      </c>
      <c r="M62" s="390">
        <f>'1BS'!M21-'1BS'!L21-M9</f>
        <v>21490595</v>
      </c>
      <c r="N62" s="390">
        <f>'1BS'!N21-'1BS'!M21-N9</f>
        <v>22203989</v>
      </c>
      <c r="O62" s="390">
        <f>'1BS'!O21-'1BS'!N21-O9</f>
        <v>16654628</v>
      </c>
      <c r="P62" s="390">
        <f>'1BS'!P21-'1BS'!O21-P9</f>
        <v>17591244.460668869</v>
      </c>
      <c r="Q62" s="390">
        <f>'1BS'!Q21-'1BS'!P21-Q9</f>
        <v>18239818.538583163</v>
      </c>
      <c r="R62" s="390">
        <f>'1BS'!R21-'1BS'!Q21-R9</f>
        <v>19119708.066684105</v>
      </c>
      <c r="S62" s="390">
        <f>'1BS'!S21-'1BS'!R21-S9</f>
        <v>19398881.497293316</v>
      </c>
      <c r="T62" s="390">
        <f>'1BS'!T21-'1BS'!S21-T9</f>
        <v>20186775.277696874</v>
      </c>
      <c r="U62" s="152" t="s">
        <v>736</v>
      </c>
    </row>
    <row r="63" spans="2:28">
      <c r="U63" s="424" t="s">
        <v>737</v>
      </c>
    </row>
    <row r="69" spans="2:21" ht="14.5" thickBot="1">
      <c r="K69" s="152">
        <f>K72/F72-1</f>
        <v>0.14660943327441345</v>
      </c>
      <c r="L69" s="352">
        <f>K69/5</f>
        <v>2.9321886654882688E-2</v>
      </c>
    </row>
    <row r="70" spans="2:21" ht="14.5" thickBot="1">
      <c r="B70" s="425"/>
      <c r="C70" s="1130" t="s">
        <v>1069</v>
      </c>
      <c r="D70" s="1130"/>
      <c r="E70" s="1130"/>
      <c r="F70" s="1130"/>
      <c r="G70" s="1130"/>
      <c r="H70" s="1130"/>
      <c r="I70" s="426"/>
      <c r="J70" s="426"/>
      <c r="K70" s="426"/>
      <c r="M70" s="427" t="s">
        <v>738</v>
      </c>
      <c r="N70" s="428">
        <v>2023</v>
      </c>
      <c r="O70" s="429">
        <v>2024</v>
      </c>
      <c r="P70" s="428">
        <v>2025</v>
      </c>
      <c r="Q70" s="429" t="s">
        <v>645</v>
      </c>
      <c r="R70" s="429" t="s">
        <v>646</v>
      </c>
      <c r="S70" s="429" t="s">
        <v>647</v>
      </c>
      <c r="U70" s="152">
        <f>48.1/44-1</f>
        <v>9.3181818181818254E-2</v>
      </c>
    </row>
    <row r="71" spans="2:21" ht="21.5" thickBot="1">
      <c r="B71" s="1131" t="s">
        <v>739</v>
      </c>
      <c r="C71" s="1132"/>
      <c r="D71" s="430" t="s">
        <v>1070</v>
      </c>
      <c r="E71" s="430" t="s">
        <v>1068</v>
      </c>
      <c r="F71" s="430" t="s">
        <v>1066</v>
      </c>
      <c r="G71" s="430" t="s">
        <v>645</v>
      </c>
      <c r="H71" s="430" t="s">
        <v>646</v>
      </c>
      <c r="I71" s="430" t="s">
        <v>647</v>
      </c>
      <c r="J71" s="430" t="s">
        <v>648</v>
      </c>
      <c r="K71" s="430" t="s">
        <v>1067</v>
      </c>
      <c r="L71" s="451"/>
      <c r="M71" s="431" t="s">
        <v>740</v>
      </c>
      <c r="N71" s="432">
        <f>D72</f>
        <v>30461367</v>
      </c>
      <c r="O71" s="432">
        <f t="shared" ref="O71:R71" si="50">E72</f>
        <v>31872417</v>
      </c>
      <c r="P71" s="432">
        <f t="shared" si="50"/>
        <v>25888192</v>
      </c>
      <c r="Q71" s="432">
        <f t="shared" si="50"/>
        <v>27013433.246165488</v>
      </c>
      <c r="R71" s="432">
        <f t="shared" si="50"/>
        <v>27701284.305715155</v>
      </c>
      <c r="S71" s="432">
        <f>I72</f>
        <v>28968445.042441562</v>
      </c>
    </row>
    <row r="72" spans="2:21" ht="20">
      <c r="B72" s="1121" t="s">
        <v>741</v>
      </c>
      <c r="C72" s="1122"/>
      <c r="D72" s="433">
        <f t="shared" ref="D72:J72" si="51">M7</f>
        <v>30461367</v>
      </c>
      <c r="E72" s="433">
        <f t="shared" si="51"/>
        <v>31872417</v>
      </c>
      <c r="F72" s="433">
        <f t="shared" si="51"/>
        <v>25888192</v>
      </c>
      <c r="G72" s="433">
        <f t="shared" si="51"/>
        <v>27013433.246165488</v>
      </c>
      <c r="H72" s="433">
        <f t="shared" si="51"/>
        <v>27701284.305715155</v>
      </c>
      <c r="I72" s="433">
        <f t="shared" si="51"/>
        <v>28968445.042441562</v>
      </c>
      <c r="J72" s="433">
        <f t="shared" si="51"/>
        <v>29683645.157619204</v>
      </c>
      <c r="K72" s="433">
        <f t="shared" ref="K72" si="52">S7</f>
        <v>29683645.157619204</v>
      </c>
      <c r="M72" s="146" t="s">
        <v>742</v>
      </c>
      <c r="N72" s="434">
        <f t="shared" ref="N72:S73" si="53">D76</f>
        <v>3811442</v>
      </c>
      <c r="O72" s="434">
        <f t="shared" si="53"/>
        <v>4437225</v>
      </c>
      <c r="P72" s="434">
        <f t="shared" si="53"/>
        <v>4294633</v>
      </c>
      <c r="Q72" s="434">
        <f t="shared" si="53"/>
        <v>4414288.6732914569</v>
      </c>
      <c r="R72" s="434">
        <f t="shared" si="53"/>
        <v>4629649.4785412177</v>
      </c>
      <c r="S72" s="434">
        <f t="shared" si="53"/>
        <v>5150822.678167549</v>
      </c>
    </row>
    <row r="73" spans="2:21" ht="14.5" thickBot="1">
      <c r="B73" s="1123" t="s">
        <v>743</v>
      </c>
      <c r="C73" s="1124"/>
      <c r="D73" s="433">
        <f>Rev!M6</f>
        <v>26923336</v>
      </c>
      <c r="E73" s="433">
        <f>Rev!N6</f>
        <v>28082589</v>
      </c>
      <c r="F73" s="433">
        <f>Rev!O6</f>
        <v>24383477</v>
      </c>
      <c r="G73" s="433">
        <f>Rev!P6</f>
        <v>25412093.977244996</v>
      </c>
      <c r="H73" s="433">
        <f>Rev!Q6</f>
        <v>26049937.536073841</v>
      </c>
      <c r="I73" s="433">
        <f>Rev!R6</f>
        <v>27227394.712704375</v>
      </c>
      <c r="J73" s="433">
        <f>Rev!S6</f>
        <v>27910802.319993254</v>
      </c>
      <c r="K73" s="433">
        <f>Rev!T6</f>
        <v>29032118.803198975</v>
      </c>
      <c r="M73" s="437" t="s">
        <v>744</v>
      </c>
      <c r="N73" s="438">
        <f t="shared" si="53"/>
        <v>4255053</v>
      </c>
      <c r="O73" s="438">
        <f t="shared" si="53"/>
        <v>4494774</v>
      </c>
      <c r="P73" s="438">
        <f t="shared" si="53"/>
        <v>4573125</v>
      </c>
      <c r="Q73" s="438">
        <f t="shared" si="53"/>
        <v>4559014.9116505776</v>
      </c>
      <c r="R73" s="438">
        <f t="shared" si="53"/>
        <v>4710164.0800855272</v>
      </c>
      <c r="S73" s="438">
        <f t="shared" si="53"/>
        <v>5159881.3930304144</v>
      </c>
    </row>
    <row r="74" spans="2:21">
      <c r="B74" s="435" t="s">
        <v>745</v>
      </c>
      <c r="C74" s="436"/>
      <c r="D74" s="433">
        <f>D72-D73</f>
        <v>3538031</v>
      </c>
      <c r="E74" s="433">
        <f t="shared" ref="E74:K74" si="54">E72-E73</f>
        <v>3789828</v>
      </c>
      <c r="F74" s="433">
        <f t="shared" si="54"/>
        <v>1504715</v>
      </c>
      <c r="G74" s="433">
        <f t="shared" si="54"/>
        <v>1601339.2689204924</v>
      </c>
      <c r="H74" s="433">
        <f t="shared" si="54"/>
        <v>1651346.7696413137</v>
      </c>
      <c r="I74" s="433">
        <f t="shared" si="54"/>
        <v>1741050.3297371864</v>
      </c>
      <c r="J74" s="433">
        <f t="shared" si="54"/>
        <v>1772842.8376259506</v>
      </c>
      <c r="K74" s="433">
        <f t="shared" si="54"/>
        <v>651526.35442022979</v>
      </c>
      <c r="M74" s="146" t="s">
        <v>746</v>
      </c>
      <c r="N74" s="439">
        <f>'1IS'!M24</f>
        <v>3132</v>
      </c>
      <c r="O74" s="439">
        <f>'1IS'!N24</f>
        <v>3291</v>
      </c>
      <c r="P74" s="439">
        <f>'1IS'!O24</f>
        <v>3347</v>
      </c>
      <c r="Q74" s="439">
        <f>'1IS'!P24</f>
        <v>3330.7194815705279</v>
      </c>
      <c r="R74" s="439">
        <f>'1IS'!Q24</f>
        <v>3441.1458543035806</v>
      </c>
      <c r="S74" s="439">
        <f>'1IS'!R24</f>
        <v>3769.6997731769848</v>
      </c>
    </row>
    <row r="75" spans="2:21" ht="14.5" thickBot="1">
      <c r="B75" s="435" t="s">
        <v>747</v>
      </c>
      <c r="C75" s="436"/>
      <c r="D75" s="433">
        <f>'1IS'!M5</f>
        <v>9091363</v>
      </c>
      <c r="E75" s="433">
        <f>'1IS'!N5</f>
        <v>9318197</v>
      </c>
      <c r="F75" s="433">
        <f>'1IS'!O5</f>
        <v>9300561</v>
      </c>
      <c r="G75" s="433">
        <f>'1IS'!P5</f>
        <v>9330733.5240935758</v>
      </c>
      <c r="H75" s="433">
        <f>'1IS'!Q5</f>
        <v>9477374.2320413701</v>
      </c>
      <c r="I75" s="433">
        <f>'1IS'!R5</f>
        <v>10032005.667818952</v>
      </c>
      <c r="J75" s="433">
        <f>'1IS'!S5</f>
        <v>10290562.311735477</v>
      </c>
      <c r="K75" s="433">
        <f>'1IS'!T5</f>
        <v>10771408.917792004</v>
      </c>
      <c r="M75" s="440" t="s">
        <v>748</v>
      </c>
      <c r="N75" s="441">
        <f>'1IS'!M36</f>
        <v>18878.077611339748</v>
      </c>
      <c r="O75" s="441">
        <f>'1IS'!N36</f>
        <v>18152.816976607824</v>
      </c>
      <c r="P75" s="441">
        <f>'1IS'!O36</f>
        <v>16492.596743669321</v>
      </c>
      <c r="Q75" s="441">
        <f ca="1">'1IS'!P36</f>
        <v>16323.31614883031</v>
      </c>
      <c r="R75" s="441">
        <f ca="1">'1IS'!Q36</f>
        <v>16264.461926724351</v>
      </c>
      <c r="S75" s="441">
        <f ca="1">'1IS'!R36</f>
        <v>16534.161623491796</v>
      </c>
    </row>
    <row r="76" spans="2:21" ht="20">
      <c r="B76" s="442" t="s">
        <v>749</v>
      </c>
      <c r="C76" s="443"/>
      <c r="D76" s="444">
        <f>M13</f>
        <v>3811442</v>
      </c>
      <c r="E76" s="444">
        <f t="shared" ref="E76:K76" si="55">N13</f>
        <v>4437225</v>
      </c>
      <c r="F76" s="444">
        <f t="shared" si="55"/>
        <v>4294633</v>
      </c>
      <c r="G76" s="444">
        <f t="shared" si="55"/>
        <v>4414288.6732914569</v>
      </c>
      <c r="H76" s="444">
        <f t="shared" si="55"/>
        <v>4629649.4785412177</v>
      </c>
      <c r="I76" s="444">
        <f t="shared" si="55"/>
        <v>5150822.678167549</v>
      </c>
      <c r="J76" s="444">
        <f t="shared" si="55"/>
        <v>5266605.3688084269</v>
      </c>
      <c r="K76" s="444">
        <f t="shared" si="55"/>
        <v>5558641.4071273524</v>
      </c>
      <c r="M76" s="146" t="s">
        <v>750</v>
      </c>
      <c r="N76" s="445">
        <f t="shared" ref="N76:S77" si="56">D80</f>
        <v>12.512380025492616</v>
      </c>
      <c r="O76" s="445">
        <f t="shared" si="56"/>
        <v>13.921834042269213</v>
      </c>
      <c r="P76" s="445">
        <f t="shared" si="56"/>
        <v>16.589157713292607</v>
      </c>
      <c r="Q76" s="445">
        <f t="shared" si="56"/>
        <v>16.341087166023438</v>
      </c>
      <c r="R76" s="445">
        <f t="shared" si="56"/>
        <v>16.71276113933121</v>
      </c>
      <c r="S76" s="445">
        <f t="shared" si="56"/>
        <v>17.780804839959817</v>
      </c>
    </row>
    <row r="77" spans="2:21" ht="14.5" thickBot="1">
      <c r="B77" s="446" t="s">
        <v>751</v>
      </c>
      <c r="C77" s="447"/>
      <c r="D77" s="448">
        <f t="shared" ref="D77" si="57">M23</f>
        <v>4255053</v>
      </c>
      <c r="E77" s="448">
        <f t="shared" ref="E77" si="58">N23</f>
        <v>4494774</v>
      </c>
      <c r="F77" s="448">
        <f t="shared" ref="F77" si="59">O23</f>
        <v>4573125</v>
      </c>
      <c r="G77" s="448">
        <f t="shared" ref="G77" si="60">P23</f>
        <v>4559014.9116505776</v>
      </c>
      <c r="H77" s="448">
        <f t="shared" ref="H77" si="61">Q23</f>
        <v>4710164.0800855272</v>
      </c>
      <c r="I77" s="448">
        <f t="shared" ref="I77" si="62">R23</f>
        <v>5159881.3930304144</v>
      </c>
      <c r="J77" s="448">
        <f t="shared" ref="J77" si="63">S23</f>
        <v>5266768.5299267806</v>
      </c>
      <c r="K77" s="448">
        <f t="shared" ref="K77" si="64">T23</f>
        <v>5525888.5107162083</v>
      </c>
      <c r="M77" s="146" t="s">
        <v>752</v>
      </c>
      <c r="N77" s="445">
        <f t="shared" si="56"/>
        <v>13.968686960109178</v>
      </c>
      <c r="O77" s="445">
        <f t="shared" si="56"/>
        <v>14.102394556396522</v>
      </c>
      <c r="P77" s="445">
        <f t="shared" si="56"/>
        <v>17.664906842470884</v>
      </c>
      <c r="Q77" s="445">
        <f t="shared" si="56"/>
        <v>16.876843717366885</v>
      </c>
      <c r="R77" s="445">
        <f t="shared" si="56"/>
        <v>17.00341409482504</v>
      </c>
      <c r="S77" s="445">
        <f t="shared" si="56"/>
        <v>17.812075813771472</v>
      </c>
    </row>
    <row r="78" spans="2:21" ht="14.5" thickBot="1">
      <c r="B78" s="449" t="s">
        <v>753</v>
      </c>
      <c r="C78" s="450"/>
      <c r="D78" s="451"/>
      <c r="E78" s="451"/>
      <c r="F78" s="451"/>
      <c r="G78" s="452"/>
      <c r="H78" s="451"/>
      <c r="I78" s="451"/>
      <c r="J78" s="451"/>
      <c r="K78" s="451"/>
      <c r="M78" s="437" t="s">
        <v>721</v>
      </c>
      <c r="N78" s="453">
        <f>M50</f>
        <v>16.69620019620832</v>
      </c>
      <c r="O78" s="453">
        <f t="shared" ref="O78:S78" si="65">N50</f>
        <v>18.007096675187984</v>
      </c>
      <c r="P78" s="453">
        <f t="shared" si="65"/>
        <v>19.280873028233628</v>
      </c>
      <c r="Q78" s="453">
        <f t="shared" ca="1" si="65"/>
        <v>19.991463245945308</v>
      </c>
      <c r="R78" s="453">
        <f t="shared" ca="1" si="65"/>
        <v>20.930512761394418</v>
      </c>
      <c r="S78" s="453">
        <f t="shared" ca="1" si="65"/>
        <v>22.909699601989335</v>
      </c>
      <c r="T78" s="152" t="s">
        <v>421</v>
      </c>
    </row>
    <row r="79" spans="2:21" ht="14.5" thickBot="1">
      <c r="B79" s="435" t="s">
        <v>754</v>
      </c>
      <c r="C79" s="436"/>
      <c r="D79" s="454">
        <f>M11</f>
        <v>29.845548297290797</v>
      </c>
      <c r="E79" s="454">
        <f t="shared" ref="E79:K79" si="66">N11</f>
        <v>29.235925220230396</v>
      </c>
      <c r="F79" s="454">
        <f t="shared" si="66"/>
        <v>35.925880803109003</v>
      </c>
      <c r="G79" s="454">
        <f t="shared" si="66"/>
        <v>34.541087166023438</v>
      </c>
      <c r="H79" s="454">
        <f t="shared" si="66"/>
        <v>34.212761139331214</v>
      </c>
      <c r="I79" s="454">
        <f t="shared" si="66"/>
        <v>34.630804839959815</v>
      </c>
      <c r="J79" s="454">
        <f t="shared" si="66"/>
        <v>34.667448209587874</v>
      </c>
      <c r="K79" s="454">
        <f t="shared" si="66"/>
        <v>34.895507564276379</v>
      </c>
      <c r="M79" s="146" t="s">
        <v>700</v>
      </c>
      <c r="N79" s="455">
        <f>M40</f>
        <v>16.395134603213798</v>
      </c>
      <c r="O79" s="455">
        <f t="shared" ref="O79:S79" si="67">N40</f>
        <v>15.441275783652394</v>
      </c>
      <c r="P79" s="455">
        <f t="shared" si="67"/>
        <v>14.105918940687703</v>
      </c>
      <c r="Q79" s="455">
        <f t="shared" si="67"/>
        <v>16.716792192237222</v>
      </c>
      <c r="R79" s="455">
        <f t="shared" si="67"/>
        <v>16.180350319768387</v>
      </c>
      <c r="S79" s="455">
        <f t="shared" si="67"/>
        <v>14.770127271203386</v>
      </c>
      <c r="T79" s="152" t="s">
        <v>421</v>
      </c>
    </row>
    <row r="80" spans="2:21" ht="14.5" thickBot="1">
      <c r="B80" s="435" t="s">
        <v>755</v>
      </c>
      <c r="C80" s="436"/>
      <c r="D80" s="454">
        <f t="shared" ref="D80" si="68">M47</f>
        <v>12.512380025492616</v>
      </c>
      <c r="E80" s="454">
        <f t="shared" ref="E80" si="69">N47</f>
        <v>13.921834042269213</v>
      </c>
      <c r="F80" s="454">
        <f t="shared" ref="F80" si="70">O47</f>
        <v>16.589157713292607</v>
      </c>
      <c r="G80" s="454">
        <f t="shared" ref="G80" si="71">P47</f>
        <v>16.341087166023438</v>
      </c>
      <c r="H80" s="454">
        <f t="shared" ref="H80" si="72">Q47</f>
        <v>16.71276113933121</v>
      </c>
      <c r="I80" s="454">
        <f t="shared" ref="I80" si="73">R47</f>
        <v>17.780804839959817</v>
      </c>
      <c r="J80" s="454">
        <f t="shared" ref="J80" si="74">S47</f>
        <v>17.742448209587877</v>
      </c>
      <c r="K80" s="454">
        <f t="shared" ref="K80" si="75">T47</f>
        <v>18.008007564276376</v>
      </c>
      <c r="M80" s="146" t="s">
        <v>703</v>
      </c>
      <c r="N80" s="455">
        <f t="shared" ref="N80:S81" si="76">M41</f>
        <v>2.7094919860523849</v>
      </c>
      <c r="O80" s="455">
        <f t="shared" si="76"/>
        <v>2.7885479187737201</v>
      </c>
      <c r="P80" s="455">
        <f t="shared" si="76"/>
        <v>2.8497634866408128</v>
      </c>
      <c r="Q80" s="455">
        <f t="shared" ca="1" si="76"/>
        <v>3.4110069863494266</v>
      </c>
      <c r="R80" s="455">
        <f t="shared" ca="1" si="76"/>
        <v>3.4233499807678109</v>
      </c>
      <c r="S80" s="455">
        <f t="shared" ca="1" si="76"/>
        <v>3.3675094445031766</v>
      </c>
      <c r="T80" s="152" t="s">
        <v>421</v>
      </c>
    </row>
    <row r="81" spans="2:20" ht="14.5" thickBot="1">
      <c r="B81" s="446" t="s">
        <v>756</v>
      </c>
      <c r="C81" s="447"/>
      <c r="D81" s="454">
        <f t="shared" ref="D81" si="77">M25</f>
        <v>13.968686960109178</v>
      </c>
      <c r="E81" s="454">
        <f t="shared" ref="E81" si="78">N25</f>
        <v>14.102394556396522</v>
      </c>
      <c r="F81" s="454">
        <f t="shared" ref="F81" si="79">O25</f>
        <v>17.664906842470884</v>
      </c>
      <c r="G81" s="454">
        <f t="shared" ref="G81" si="80">P25</f>
        <v>16.876843717366885</v>
      </c>
      <c r="H81" s="454">
        <f t="shared" ref="H81" si="81">Q25</f>
        <v>17.00341409482504</v>
      </c>
      <c r="I81" s="454">
        <f t="shared" ref="I81" si="82">R25</f>
        <v>17.812075813771472</v>
      </c>
      <c r="J81" s="454">
        <f t="shared" ref="J81" si="83">S25</f>
        <v>17.742997876306664</v>
      </c>
      <c r="K81" s="454">
        <f t="shared" ref="K81" si="84">T25</f>
        <v>17.901899908983559</v>
      </c>
      <c r="M81" s="440" t="s">
        <v>705</v>
      </c>
      <c r="N81" s="455">
        <f t="shared" si="76"/>
        <v>10.950896592443867</v>
      </c>
      <c r="O81" s="455">
        <f t="shared" si="76"/>
        <v>10.431637175972529</v>
      </c>
      <c r="P81" s="455">
        <f t="shared" si="76"/>
        <v>9.3944739886519049</v>
      </c>
      <c r="Q81" s="455">
        <f t="shared" si="76"/>
        <v>11.040356359300311</v>
      </c>
      <c r="R81" s="455">
        <f t="shared" si="76"/>
        <v>10.738812864936524</v>
      </c>
      <c r="S81" s="455">
        <f t="shared" si="76"/>
        <v>9.9830454397107982</v>
      </c>
      <c r="T81" s="152" t="s">
        <v>421</v>
      </c>
    </row>
    <row r="82" spans="2:20">
      <c r="B82" s="449" t="s">
        <v>757</v>
      </c>
      <c r="C82" s="450"/>
      <c r="D82" s="454"/>
      <c r="E82" s="454"/>
      <c r="F82" s="454"/>
      <c r="G82" s="454"/>
      <c r="H82" s="454"/>
      <c r="I82" s="454"/>
      <c r="J82" s="454"/>
      <c r="K82" s="454"/>
      <c r="O82" s="152">
        <f>O71/N71-1</f>
        <v>4.6322609224989764E-2</v>
      </c>
    </row>
    <row r="83" spans="2:20">
      <c r="B83" s="435" t="s">
        <v>758</v>
      </c>
      <c r="C83" s="436"/>
      <c r="D83" s="454">
        <f t="shared" ref="D83" si="85">M8</f>
        <v>-12.91548114867731</v>
      </c>
      <c r="E83" s="454">
        <f t="shared" ref="E83" si="86">N8</f>
        <v>4.6322609224989764</v>
      </c>
      <c r="F83" s="454">
        <f t="shared" ref="F83" si="87">O8</f>
        <v>-18.775560698769723</v>
      </c>
      <c r="G83" s="454">
        <f t="shared" ref="G83" si="88">P8</f>
        <v>4.3465424165793021</v>
      </c>
      <c r="H83" s="454">
        <f t="shared" ref="H83" si="89">Q8</f>
        <v>2.5463296474812491</v>
      </c>
      <c r="I83" s="454">
        <f t="shared" ref="I83" si="90">R8</f>
        <v>4.5743754070816545</v>
      </c>
      <c r="J83" s="454">
        <f t="shared" ref="J83" si="91">S8</f>
        <v>2.468893701853192</v>
      </c>
      <c r="K83" s="454">
        <f t="shared" ref="K83" si="92">T8</f>
        <v>3.988607455827986</v>
      </c>
      <c r="O83" s="152">
        <f t="shared" ref="O83:O84" si="93">O72/N72-1</f>
        <v>0.16418536606355283</v>
      </c>
    </row>
    <row r="84" spans="2:20">
      <c r="B84" s="442" t="s">
        <v>749</v>
      </c>
      <c r="C84" s="443"/>
      <c r="D84" s="454">
        <f t="shared" ref="D84" si="94">M14</f>
        <v>-30.675487129529376</v>
      </c>
      <c r="E84" s="454">
        <f t="shared" ref="E84" si="95">N14</f>
        <v>16.418532298659592</v>
      </c>
      <c r="F84" s="454">
        <f t="shared" ref="F84" si="96">O14</f>
        <v>-3.2135618064078719</v>
      </c>
      <c r="G84" s="454">
        <f t="shared" ref="G84" si="97">P14</f>
        <v>2.7861676024809823</v>
      </c>
      <c r="H84" s="454">
        <f t="shared" ref="H84" si="98">Q14</f>
        <v>4.8787204731941536</v>
      </c>
      <c r="I84" s="454">
        <f t="shared" ref="I84" si="99">R14</f>
        <v>11.2572928478065</v>
      </c>
      <c r="J84" s="454">
        <f t="shared" ref="J84" si="100">S14</f>
        <v>2.2478485064461262</v>
      </c>
      <c r="K84" s="454">
        <f t="shared" ref="K84" si="101">T14</f>
        <v>5.5450526072926332</v>
      </c>
      <c r="O84" s="152">
        <f t="shared" si="93"/>
        <v>5.6337958657624254E-2</v>
      </c>
    </row>
    <row r="85" spans="2:20" ht="14.5" thickBot="1">
      <c r="B85" s="1125" t="s">
        <v>751</v>
      </c>
      <c r="C85" s="1126"/>
      <c r="D85" s="456">
        <f t="shared" ref="D85" si="102">M24</f>
        <v>-22.632558504875998</v>
      </c>
      <c r="E85" s="456">
        <f t="shared" ref="E85" si="103">N24</f>
        <v>5.6337958657624254</v>
      </c>
      <c r="F85" s="456">
        <f t="shared" ref="F85" si="104">O24</f>
        <v>1.7431577204993998</v>
      </c>
      <c r="G85" s="456">
        <f t="shared" ref="G85" si="105">P24</f>
        <v>-0.30854368401087573</v>
      </c>
      <c r="H85" s="456">
        <f t="shared" ref="H85" si="106">Q24</f>
        <v>3.3153909641463919</v>
      </c>
      <c r="I85" s="456">
        <f t="shared" ref="I85" si="107">R24</f>
        <v>9.5478056666068678</v>
      </c>
      <c r="J85" s="456">
        <f t="shared" ref="J85" si="108">S24</f>
        <v>2.0715037566704897</v>
      </c>
      <c r="K85" s="456">
        <f t="shared" ref="K85" si="109">T24</f>
        <v>4.9199044787531232</v>
      </c>
    </row>
    <row r="86" spans="2:20">
      <c r="B86" s="435"/>
      <c r="C86" s="1121"/>
      <c r="D86" s="1121"/>
      <c r="E86" s="1121"/>
      <c r="F86" s="1121"/>
      <c r="G86" s="1121"/>
      <c r="H86" s="1121"/>
      <c r="I86" s="435"/>
      <c r="J86" s="435"/>
      <c r="K86" s="442"/>
    </row>
  </sheetData>
  <mergeCells count="10">
    <mergeCell ref="L5:Q5"/>
    <mergeCell ref="B35:G35"/>
    <mergeCell ref="L35:Q35"/>
    <mergeCell ref="C70:H70"/>
    <mergeCell ref="B71:C71"/>
    <mergeCell ref="B72:C72"/>
    <mergeCell ref="B73:C73"/>
    <mergeCell ref="B85:C85"/>
    <mergeCell ref="C86:H86"/>
    <mergeCell ref="B5:G5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A731-75EE-44DC-AF1C-1D86EAD0F05B}">
  <sheetPr>
    <tabColor theme="5" tint="0.59999389629810485"/>
  </sheetPr>
  <dimension ref="A1:AE131"/>
  <sheetViews>
    <sheetView topLeftCell="C1" zoomScale="70" zoomScaleNormal="70" workbookViewId="0">
      <selection activeCell="P86" sqref="P86"/>
    </sheetView>
  </sheetViews>
  <sheetFormatPr defaultColWidth="8.83203125" defaultRowHeight="14" outlineLevelRow="1" outlineLevelCol="2"/>
  <cols>
    <col min="1" max="1" width="15.75" bestFit="1" customWidth="1"/>
    <col min="2" max="2" width="29.25" customWidth="1"/>
    <col min="3" max="3" width="6.25" customWidth="1"/>
    <col min="4" max="4" width="4.75" customWidth="1" outlineLevel="2"/>
    <col min="5" max="7" width="9.33203125" customWidth="1" outlineLevel="2"/>
    <col min="8" max="8" width="10.9140625" bestFit="1" customWidth="1" outlineLevel="2"/>
    <col min="9" max="15" width="10.9140625" bestFit="1" customWidth="1"/>
    <col min="16" max="21" width="12.58203125" bestFit="1" customWidth="1"/>
    <col min="23" max="31" width="11.1640625" bestFit="1" customWidth="1"/>
    <col min="39" max="39" width="10.75" customWidth="1"/>
  </cols>
  <sheetData>
    <row r="1" spans="1:31">
      <c r="B1" s="457" t="s">
        <v>546</v>
      </c>
      <c r="C1" s="457"/>
    </row>
    <row r="2" spans="1:31" s="191" customFormat="1" ht="13">
      <c r="B2" s="237" t="s">
        <v>760</v>
      </c>
      <c r="C2" s="237"/>
    </row>
    <row r="3" spans="1:31" s="191" customFormat="1" ht="13">
      <c r="B3" s="224" t="s">
        <v>761</v>
      </c>
      <c r="C3" s="224"/>
      <c r="M3" s="1133" t="s">
        <v>762</v>
      </c>
      <c r="N3" s="1133"/>
      <c r="O3" s="1133"/>
      <c r="P3" s="1133"/>
      <c r="Q3" s="1133"/>
      <c r="R3" s="458"/>
      <c r="S3" s="458"/>
      <c r="T3" s="458"/>
    </row>
    <row r="4" spans="1:31" s="459" customFormat="1" ht="13">
      <c r="B4" s="198" t="s">
        <v>763</v>
      </c>
      <c r="C4" s="198"/>
      <c r="D4" s="460">
        <v>2014</v>
      </c>
      <c r="E4" s="460">
        <v>2015</v>
      </c>
      <c r="F4" s="460">
        <v>2016</v>
      </c>
      <c r="G4" s="460">
        <v>2017</v>
      </c>
      <c r="H4" s="460">
        <v>2018</v>
      </c>
      <c r="I4" s="460">
        <v>2019</v>
      </c>
      <c r="J4" s="460">
        <v>2020</v>
      </c>
      <c r="K4" s="460">
        <v>2021</v>
      </c>
      <c r="L4" s="460">
        <v>2022</v>
      </c>
      <c r="M4" s="460">
        <v>2023</v>
      </c>
      <c r="N4" s="460">
        <v>2024</v>
      </c>
      <c r="O4" s="460">
        <v>2025</v>
      </c>
      <c r="P4" s="460" t="s">
        <v>369</v>
      </c>
      <c r="Q4" s="460" t="s">
        <v>370</v>
      </c>
      <c r="R4" s="460" t="s">
        <v>371</v>
      </c>
      <c r="S4" s="460" t="s">
        <v>372</v>
      </c>
      <c r="T4" s="460" t="s">
        <v>373</v>
      </c>
      <c r="U4" s="460" t="s">
        <v>802</v>
      </c>
      <c r="W4" s="461"/>
      <c r="X4" s="461"/>
      <c r="Y4" s="461"/>
      <c r="Z4" s="461"/>
      <c r="AA4" s="461"/>
      <c r="AB4" s="461"/>
      <c r="AC4" s="461"/>
      <c r="AD4" s="461"/>
      <c r="AE4" s="461"/>
    </row>
    <row r="5" spans="1:31" s="191" customFormat="1" ht="13">
      <c r="A5" s="462"/>
      <c r="B5" s="463" t="s">
        <v>764</v>
      </c>
      <c r="C5" s="464"/>
      <c r="D5" s="462"/>
      <c r="E5" s="462"/>
      <c r="F5" s="462"/>
      <c r="G5" s="462"/>
      <c r="H5" s="462"/>
      <c r="I5" s="463"/>
      <c r="J5" s="465"/>
      <c r="K5" s="465"/>
      <c r="L5" s="465"/>
      <c r="M5" s="466"/>
      <c r="N5" s="466"/>
      <c r="O5" s="467"/>
      <c r="P5" s="465"/>
      <c r="Q5" s="465"/>
      <c r="R5" s="465"/>
      <c r="S5" s="465"/>
      <c r="T5" s="465"/>
      <c r="U5" s="465"/>
      <c r="V5" s="224"/>
    </row>
    <row r="6" spans="1:31" s="191" customFormat="1" ht="13">
      <c r="B6" s="468" t="s">
        <v>765</v>
      </c>
      <c r="C6" s="201"/>
      <c r="D6" s="205"/>
      <c r="E6" s="205"/>
      <c r="F6" s="205"/>
      <c r="G6" s="205"/>
      <c r="H6" s="582">
        <v>30790775</v>
      </c>
      <c r="I6" s="582">
        <v>32713860</v>
      </c>
      <c r="J6" s="579">
        <v>24825638</v>
      </c>
      <c r="K6" s="579">
        <v>23238177</v>
      </c>
      <c r="L6" s="579">
        <v>30600241</v>
      </c>
      <c r="M6" s="579">
        <v>26923336</v>
      </c>
      <c r="N6" s="580">
        <v>28082589</v>
      </c>
      <c r="O6" s="581">
        <v>24383477</v>
      </c>
      <c r="P6" s="222">
        <f>P81</f>
        <v>25412093.977244996</v>
      </c>
      <c r="Q6" s="222">
        <f t="shared" ref="Q6:U6" si="0">Q81</f>
        <v>26049937.536073841</v>
      </c>
      <c r="R6" s="222">
        <f t="shared" si="0"/>
        <v>27227394.712704375</v>
      </c>
      <c r="S6" s="222">
        <f t="shared" si="0"/>
        <v>27910802.319993254</v>
      </c>
      <c r="T6" s="222">
        <f t="shared" si="0"/>
        <v>29032118.803198975</v>
      </c>
      <c r="U6" s="222">
        <f t="shared" si="0"/>
        <v>29760824.985159267</v>
      </c>
      <c r="V6" s="224"/>
      <c r="W6" s="205"/>
      <c r="X6" s="205"/>
      <c r="Y6" s="205"/>
      <c r="Z6" s="205"/>
      <c r="AA6" s="205"/>
      <c r="AB6" s="205"/>
      <c r="AC6" s="205"/>
      <c r="AD6" s="205"/>
      <c r="AE6" s="205"/>
    </row>
    <row r="7" spans="1:31" s="187" customFormat="1" ht="13">
      <c r="B7" s="470" t="s">
        <v>766</v>
      </c>
      <c r="C7" s="201"/>
      <c r="D7" s="471"/>
      <c r="E7" s="471"/>
      <c r="F7" s="471"/>
      <c r="G7" s="471"/>
      <c r="H7" s="582">
        <v>4816209</v>
      </c>
      <c r="I7" s="582">
        <v>4991065</v>
      </c>
      <c r="J7" s="582">
        <v>2960705</v>
      </c>
      <c r="K7" s="582">
        <v>3045470</v>
      </c>
      <c r="L7" s="582">
        <v>4234477</v>
      </c>
      <c r="M7" s="582">
        <v>3419080</v>
      </c>
      <c r="N7" s="582">
        <v>3714839</v>
      </c>
      <c r="O7" s="583">
        <v>1467426</v>
      </c>
      <c r="P7" s="595">
        <f>P117</f>
        <v>1521720.7619999999</v>
      </c>
      <c r="Q7" s="595">
        <f t="shared" ref="Q7:U7" si="1">Q117</f>
        <v>1552155.1772399999</v>
      </c>
      <c r="R7" s="595">
        <f t="shared" si="1"/>
        <v>1614241.3843296</v>
      </c>
      <c r="S7" s="595">
        <f t="shared" si="1"/>
        <v>1646526.212016192</v>
      </c>
      <c r="T7" s="595">
        <f t="shared" si="1"/>
        <v>1704154.6294367586</v>
      </c>
      <c r="U7" s="595">
        <f t="shared" si="1"/>
        <v>1738237.7220254939</v>
      </c>
      <c r="W7" s="205"/>
      <c r="X7" s="205"/>
      <c r="Y7" s="205"/>
      <c r="Z7" s="205"/>
      <c r="AA7" s="205"/>
      <c r="AB7" s="205"/>
      <c r="AC7" s="205"/>
      <c r="AD7" s="205"/>
      <c r="AE7" s="205"/>
    </row>
    <row r="8" spans="1:31" s="187" customFormat="1" ht="12.5">
      <c r="B8" s="470" t="s">
        <v>767</v>
      </c>
      <c r="C8" s="470"/>
      <c r="D8" s="471"/>
      <c r="E8" s="471"/>
      <c r="F8" s="471"/>
      <c r="G8" s="471"/>
      <c r="H8" s="582">
        <v>286041</v>
      </c>
      <c r="I8" s="582">
        <v>250920</v>
      </c>
      <c r="J8" s="582">
        <v>171263</v>
      </c>
      <c r="K8" s="582">
        <v>137129</v>
      </c>
      <c r="L8" s="582">
        <v>171442</v>
      </c>
      <c r="M8" s="582">
        <v>121969</v>
      </c>
      <c r="N8" s="584">
        <v>162851</v>
      </c>
      <c r="O8" s="585">
        <v>137473</v>
      </c>
      <c r="P8" s="866">
        <f>O8*(1+AVERAGE(L16:O16))</f>
        <v>142318.99795681742</v>
      </c>
      <c r="Q8" s="866">
        <f t="shared" ref="Q8:U9" si="2">P8*(1+AVERAGE(M16:P16))</f>
        <v>138432.90414965551</v>
      </c>
      <c r="R8" s="866">
        <f t="shared" si="2"/>
        <v>144639.81430885845</v>
      </c>
      <c r="S8" s="866">
        <f t="shared" si="2"/>
        <v>139004.80253808299</v>
      </c>
      <c r="T8" s="866">
        <f t="shared" si="2"/>
        <v>139004.80253808299</v>
      </c>
      <c r="U8" s="866">
        <f t="shared" si="2"/>
        <v>139004.80253808299</v>
      </c>
      <c r="W8" s="205"/>
      <c r="X8" s="205"/>
      <c r="Y8" s="205"/>
      <c r="Z8" s="205"/>
      <c r="AA8" s="205"/>
      <c r="AB8" s="205"/>
      <c r="AC8" s="205"/>
      <c r="AD8" s="205"/>
      <c r="AE8" s="205"/>
    </row>
    <row r="9" spans="1:31" s="187" customFormat="1" ht="12.5">
      <c r="B9" s="470" t="s">
        <v>572</v>
      </c>
      <c r="C9" s="470"/>
      <c r="D9" s="471"/>
      <c r="E9" s="471"/>
      <c r="F9" s="471"/>
      <c r="G9" s="471"/>
      <c r="H9" s="582">
        <f>149993-94465</f>
        <v>55528</v>
      </c>
      <c r="I9" s="582">
        <f>177945-234730</f>
        <v>-56785</v>
      </c>
      <c r="J9" s="582">
        <f>178015-174298</f>
        <v>3717</v>
      </c>
      <c r="K9" s="582">
        <f>157231-204261</f>
        <v>-47030</v>
      </c>
      <c r="L9" s="582">
        <f>172575+57164-256815</f>
        <v>-27076</v>
      </c>
      <c r="M9" s="582">
        <f>190735+51639-245392</f>
        <v>-3018</v>
      </c>
      <c r="N9" s="586">
        <f>203980-291842</f>
        <v>-87862</v>
      </c>
      <c r="O9" s="587">
        <f>260630-360814</f>
        <v>-100184</v>
      </c>
      <c r="P9" s="1098">
        <f>O9*(1+AVERAGE(M17,O17))</f>
        <v>-62700.49103632172</v>
      </c>
      <c r="Q9" s="1098">
        <f>P9*(1+AVERAGE(M17,P17,O17))</f>
        <v>-39241.311748341657</v>
      </c>
      <c r="R9" s="1098">
        <f>Q9*(1+AVERAGE(M17,Q17,P17))</f>
        <v>-17830.868901271086</v>
      </c>
      <c r="S9" s="1098">
        <f>R9*(1+AVERAGE(O17:R17))</f>
        <v>-12688.176928324579</v>
      </c>
      <c r="T9" s="1098">
        <f t="shared" si="2"/>
        <v>-7668.9936362831086</v>
      </c>
      <c r="U9" s="1098">
        <f t="shared" si="2"/>
        <v>-4594.2044308602117</v>
      </c>
      <c r="W9" s="205"/>
      <c r="X9" s="205"/>
      <c r="Y9" s="205"/>
      <c r="Z9" s="205"/>
      <c r="AA9" s="205"/>
      <c r="AB9" s="205"/>
      <c r="AC9" s="205"/>
      <c r="AD9" s="205"/>
      <c r="AE9" s="205"/>
    </row>
    <row r="10" spans="1:31" s="474" customFormat="1" ht="13">
      <c r="B10" s="475" t="s">
        <v>768</v>
      </c>
      <c r="C10" s="475"/>
      <c r="D10" s="477"/>
      <c r="E10" s="477"/>
      <c r="F10" s="477"/>
      <c r="G10" s="477"/>
      <c r="H10" s="588">
        <f>SUM(H6:H9)</f>
        <v>35948553</v>
      </c>
      <c r="I10" s="588">
        <f>SUM(I6:I9)</f>
        <v>37899060</v>
      </c>
      <c r="J10" s="588">
        <f t="shared" ref="J10:M10" si="3">SUM(J6:J9)</f>
        <v>27961323</v>
      </c>
      <c r="K10" s="588">
        <f t="shared" si="3"/>
        <v>26373746</v>
      </c>
      <c r="L10" s="588">
        <f t="shared" si="3"/>
        <v>34979084</v>
      </c>
      <c r="M10" s="588">
        <f t="shared" si="3"/>
        <v>30461367</v>
      </c>
      <c r="N10" s="588">
        <f>SUM(N6:N9)</f>
        <v>31872417</v>
      </c>
      <c r="O10" s="589">
        <f>SUM(O6:O9)</f>
        <v>25888192</v>
      </c>
      <c r="P10" s="590">
        <f>SUM(P6:P9)</f>
        <v>27013433.246165488</v>
      </c>
      <c r="Q10" s="590">
        <f>SUM(Q6:Q9)</f>
        <v>27701284.305715155</v>
      </c>
      <c r="R10" s="590">
        <f t="shared" ref="R10:U10" si="4">SUM(R6:R9)</f>
        <v>28968445.042441562</v>
      </c>
      <c r="S10" s="590">
        <f t="shared" si="4"/>
        <v>29683645.157619204</v>
      </c>
      <c r="T10" s="590">
        <f t="shared" si="4"/>
        <v>30867609.24153753</v>
      </c>
      <c r="U10" s="590">
        <f t="shared" si="4"/>
        <v>31633473.305291984</v>
      </c>
    </row>
    <row r="11" spans="1:31" s="478" customFormat="1" ht="13">
      <c r="B11" s="479" t="s">
        <v>769</v>
      </c>
      <c r="C11" s="479"/>
      <c r="D11" s="480"/>
      <c r="E11" s="481"/>
      <c r="F11" s="481"/>
      <c r="G11" s="481"/>
      <c r="H11" s="481"/>
      <c r="I11" s="482">
        <f>I10/H10-1</f>
        <v>5.4258289617387323E-2</v>
      </c>
      <c r="J11" s="482">
        <f t="shared" ref="J11:M11" si="5">J10/I10-1</f>
        <v>-0.26221592303344732</v>
      </c>
      <c r="K11" s="482">
        <f>K10/J10-1</f>
        <v>-5.6777606696221117E-2</v>
      </c>
      <c r="L11" s="482">
        <f t="shared" si="5"/>
        <v>0.32628425252901128</v>
      </c>
      <c r="M11" s="482">
        <f t="shared" si="5"/>
        <v>-0.1291548114867731</v>
      </c>
      <c r="N11" s="482">
        <f>N10/M10-1</f>
        <v>4.6322609224989764E-2</v>
      </c>
      <c r="O11" s="483">
        <f>O10/N10-1</f>
        <v>-0.18775560698769722</v>
      </c>
      <c r="P11" s="482">
        <f>P10/O10-1</f>
        <v>4.3465424165793021E-2</v>
      </c>
      <c r="Q11" s="482">
        <f t="shared" ref="Q11:U11" si="6">Q10/P10-1</f>
        <v>2.5463296474812491E-2</v>
      </c>
      <c r="R11" s="482">
        <f t="shared" si="6"/>
        <v>4.5743754070816545E-2</v>
      </c>
      <c r="S11" s="482">
        <f t="shared" si="6"/>
        <v>2.468893701853192E-2</v>
      </c>
      <c r="T11" s="482">
        <f t="shared" si="6"/>
        <v>3.988607455827986E-2</v>
      </c>
      <c r="U11" s="482">
        <f t="shared" si="6"/>
        <v>2.481125304397902E-2</v>
      </c>
    </row>
    <row r="12" spans="1:31" s="484" customFormat="1" ht="13">
      <c r="B12" s="485"/>
      <c r="C12" s="485"/>
      <c r="D12" s="486"/>
      <c r="E12" s="486"/>
      <c r="F12" s="487"/>
      <c r="G12" s="487"/>
      <c r="H12" s="487"/>
      <c r="I12" s="487">
        <f>I6/H6-1</f>
        <v>6.2456531217548017E-2</v>
      </c>
      <c r="J12" s="487">
        <f t="shared" ref="J12:M12" si="7">J6/I6-1</f>
        <v>-0.24112782777697284</v>
      </c>
      <c r="K12" s="487">
        <f>K6/J6-1</f>
        <v>-6.3944419071928826E-2</v>
      </c>
      <c r="L12" s="487">
        <f t="shared" si="7"/>
        <v>0.31680901647319404</v>
      </c>
      <c r="M12" s="487">
        <f t="shared" si="7"/>
        <v>-0.12015934776461401</v>
      </c>
      <c r="N12" s="487">
        <f>N6/M6-1</f>
        <v>4.305755423473534E-2</v>
      </c>
      <c r="O12" s="488">
        <f>O6/N6-1</f>
        <v>-0.13172261289726528</v>
      </c>
      <c r="P12" s="1138">
        <f>P6/O6-1</f>
        <v>4.2184999999999917E-2</v>
      </c>
      <c r="Q12" s="487">
        <f t="shared" ref="Q12:U12" si="8">Q6/P6-1</f>
        <v>2.50999999999999E-2</v>
      </c>
      <c r="R12" s="487">
        <f t="shared" si="8"/>
        <v>4.5199999999999907E-2</v>
      </c>
      <c r="S12" s="487">
        <f t="shared" si="8"/>
        <v>2.50999999999999E-2</v>
      </c>
      <c r="T12" s="487">
        <f t="shared" si="8"/>
        <v>4.0174999999999628E-2</v>
      </c>
      <c r="U12" s="487">
        <f t="shared" si="8"/>
        <v>2.50999999999999E-2</v>
      </c>
    </row>
    <row r="13" spans="1:31" s="191" customFormat="1" ht="13" outlineLevel="1">
      <c r="B13" s="201" t="s">
        <v>769</v>
      </c>
      <c r="C13" s="201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489"/>
      <c r="P13" s="237"/>
      <c r="Q13" s="237"/>
      <c r="R13" s="237"/>
      <c r="S13" s="237"/>
      <c r="T13" s="237"/>
      <c r="U13" s="237"/>
      <c r="V13" s="224"/>
    </row>
    <row r="14" spans="1:31" s="484" customFormat="1" ht="13" outlineLevel="1">
      <c r="B14" s="468" t="str">
        <f>B6</f>
        <v>Beer</v>
      </c>
      <c r="C14" s="485"/>
      <c r="D14" s="490"/>
      <c r="E14" s="490"/>
      <c r="F14" s="490"/>
      <c r="G14" s="490"/>
      <c r="H14" s="490"/>
      <c r="I14" s="490">
        <f>IFERROR(I6/H6-1,0)</f>
        <v>6.2456531217548017E-2</v>
      </c>
      <c r="J14" s="490">
        <f t="shared" ref="I14:U18" si="9">IFERROR(J6/I6-1,0)</f>
        <v>-0.24112782777697284</v>
      </c>
      <c r="K14" s="490">
        <f t="shared" si="9"/>
        <v>-6.3944419071928826E-2</v>
      </c>
      <c r="L14" s="490">
        <f t="shared" si="9"/>
        <v>0.31680901647319404</v>
      </c>
      <c r="M14" s="491">
        <f t="shared" si="9"/>
        <v>-0.12015934776461401</v>
      </c>
      <c r="N14" s="491">
        <f t="shared" si="9"/>
        <v>4.305755423473534E-2</v>
      </c>
      <c r="O14" s="492">
        <f t="shared" si="9"/>
        <v>-0.13172261289726528</v>
      </c>
      <c r="P14" s="490">
        <f t="shared" si="9"/>
        <v>4.2184999999999917E-2</v>
      </c>
      <c r="Q14" s="490">
        <f t="shared" si="9"/>
        <v>2.50999999999999E-2</v>
      </c>
      <c r="R14" s="490">
        <f t="shared" si="9"/>
        <v>4.5199999999999907E-2</v>
      </c>
      <c r="S14" s="490">
        <f t="shared" si="9"/>
        <v>2.50999999999999E-2</v>
      </c>
      <c r="T14" s="490">
        <f t="shared" si="9"/>
        <v>4.0174999999999628E-2</v>
      </c>
      <c r="U14" s="490">
        <f t="shared" si="9"/>
        <v>2.50999999999999E-2</v>
      </c>
    </row>
    <row r="15" spans="1:31" s="484" customFormat="1" ht="13" outlineLevel="1">
      <c r="B15" s="468" t="str">
        <f t="shared" ref="B15:B17" si="10">B7</f>
        <v>Raw materials</v>
      </c>
      <c r="C15" s="485"/>
      <c r="D15" s="490"/>
      <c r="E15" s="490"/>
      <c r="F15" s="490"/>
      <c r="G15" s="490"/>
      <c r="H15" s="490"/>
      <c r="I15" s="490">
        <f>IFERROR(I7/H7-1,0)</f>
        <v>3.6305733409825125E-2</v>
      </c>
      <c r="J15" s="490">
        <f t="shared" si="9"/>
        <v>-0.40679894972315522</v>
      </c>
      <c r="K15" s="490">
        <f t="shared" si="9"/>
        <v>2.8630005353454724E-2</v>
      </c>
      <c r="L15" s="490">
        <f t="shared" si="9"/>
        <v>0.39041822772839652</v>
      </c>
      <c r="M15" s="491">
        <f t="shared" si="9"/>
        <v>-0.19256144265277619</v>
      </c>
      <c r="N15" s="491">
        <f t="shared" si="9"/>
        <v>8.6502509446985787E-2</v>
      </c>
      <c r="O15" s="492">
        <f t="shared" si="9"/>
        <v>-0.60498261162866007</v>
      </c>
      <c r="P15" s="491">
        <f>IFERROR(P7/O7-1,0)</f>
        <v>3.6999999999999922E-2</v>
      </c>
      <c r="Q15" s="491">
        <f t="shared" si="9"/>
        <v>2.0000000000000018E-2</v>
      </c>
      <c r="R15" s="491">
        <f t="shared" si="9"/>
        <v>4.0000000000000036E-2</v>
      </c>
      <c r="S15" s="491">
        <f t="shared" si="9"/>
        <v>2.0000000000000018E-2</v>
      </c>
      <c r="T15" s="491">
        <f t="shared" si="9"/>
        <v>3.499999999999992E-2</v>
      </c>
      <c r="U15" s="491">
        <f t="shared" si="9"/>
        <v>2.0000000000000018E-2</v>
      </c>
    </row>
    <row r="16" spans="1:31" s="484" customFormat="1" ht="13" outlineLevel="1">
      <c r="B16" s="468" t="str">
        <f t="shared" si="10"/>
        <v>Beverages</v>
      </c>
      <c r="C16" s="493"/>
      <c r="D16" s="494"/>
      <c r="E16" s="494"/>
      <c r="F16" s="494"/>
      <c r="G16" s="494"/>
      <c r="H16" s="494"/>
      <c r="I16" s="494">
        <f>IFERROR(I8/H8-1,0)</f>
        <v>-0.12278309752797678</v>
      </c>
      <c r="J16" s="494">
        <f t="shared" si="9"/>
        <v>-0.31745974812689304</v>
      </c>
      <c r="K16" s="494">
        <f t="shared" si="9"/>
        <v>-0.19930749782498258</v>
      </c>
      <c r="L16" s="494">
        <f t="shared" si="9"/>
        <v>0.25022424140772559</v>
      </c>
      <c r="M16" s="495">
        <f t="shared" si="9"/>
        <v>-0.28856989535819699</v>
      </c>
      <c r="N16" s="495">
        <f t="shared" si="9"/>
        <v>0.33518353024129088</v>
      </c>
      <c r="O16" s="496">
        <f t="shared" si="9"/>
        <v>-0.15583570257474622</v>
      </c>
      <c r="P16" s="497">
        <v>0</v>
      </c>
      <c r="Q16" s="497">
        <v>0</v>
      </c>
      <c r="R16" s="497">
        <v>0</v>
      </c>
      <c r="S16" s="497">
        <v>0</v>
      </c>
      <c r="T16" s="497">
        <v>0</v>
      </c>
      <c r="U16" s="497">
        <v>0</v>
      </c>
    </row>
    <row r="17" spans="1:31" s="484" customFormat="1" ht="13" outlineLevel="1">
      <c r="B17" s="468" t="str">
        <f t="shared" si="10"/>
        <v>Others</v>
      </c>
      <c r="C17" s="485"/>
      <c r="D17" s="490"/>
      <c r="E17" s="490"/>
      <c r="F17" s="490"/>
      <c r="G17" s="490"/>
      <c r="H17" s="490"/>
      <c r="I17" s="490">
        <f t="shared" si="9"/>
        <v>-2.0226372280651201</v>
      </c>
      <c r="J17" s="490">
        <f t="shared" si="9"/>
        <v>-1.0654574271374482</v>
      </c>
      <c r="K17" s="490">
        <f t="shared" si="9"/>
        <v>-13.652676889965026</v>
      </c>
      <c r="L17" s="490">
        <f t="shared" si="9"/>
        <v>-0.42428237295343396</v>
      </c>
      <c r="M17" s="491">
        <f t="shared" si="9"/>
        <v>-0.88853597281725516</v>
      </c>
      <c r="N17" s="491">
        <f>IFERROR(N9/M9-1,0)</f>
        <v>28.112657388999338</v>
      </c>
      <c r="O17" s="492">
        <f t="shared" si="9"/>
        <v>0.14024265325169005</v>
      </c>
      <c r="P17" s="490">
        <f>IFERROR(P9/O9-1,0)</f>
        <v>-0.3741466597827825</v>
      </c>
      <c r="Q17" s="490">
        <f>IFERROR(Q9/P9-1,0)</f>
        <v>-0.3741466597827825</v>
      </c>
      <c r="R17" s="490">
        <f t="shared" si="9"/>
        <v>-0.54560976412760664</v>
      </c>
      <c r="S17" s="490">
        <f t="shared" si="9"/>
        <v>-0.28841510761037037</v>
      </c>
      <c r="T17" s="490">
        <f t="shared" si="9"/>
        <v>-0.39557954782588556</v>
      </c>
      <c r="U17" s="490">
        <f t="shared" si="9"/>
        <v>-0.4009377698366613</v>
      </c>
    </row>
    <row r="18" spans="1:31" s="315" customFormat="1" ht="13" outlineLevel="1">
      <c r="B18" s="498" t="s">
        <v>768</v>
      </c>
      <c r="C18" s="498"/>
      <c r="D18" s="499"/>
      <c r="E18" s="499"/>
      <c r="F18" s="499"/>
      <c r="G18" s="499"/>
      <c r="H18" s="499"/>
      <c r="I18" s="499">
        <f t="shared" si="9"/>
        <v>5.4258289617387323E-2</v>
      </c>
      <c r="J18" s="499">
        <f t="shared" si="9"/>
        <v>-0.26221592303344732</v>
      </c>
      <c r="K18" s="499">
        <f t="shared" si="9"/>
        <v>-5.6777606696221117E-2</v>
      </c>
      <c r="L18" s="499">
        <f t="shared" si="9"/>
        <v>0.32628425252901128</v>
      </c>
      <c r="M18" s="499">
        <f t="shared" si="9"/>
        <v>-0.1291548114867731</v>
      </c>
      <c r="N18" s="499">
        <f t="shared" si="9"/>
        <v>4.6322609224989764E-2</v>
      </c>
      <c r="O18" s="500">
        <f>IFERROR(O10/N10-1,0)</f>
        <v>-0.18775560698769722</v>
      </c>
      <c r="P18" s="499">
        <f>IFERROR(P10/O10-1,0)</f>
        <v>4.3465424165793021E-2</v>
      </c>
      <c r="Q18" s="499">
        <f t="shared" si="9"/>
        <v>2.5463296474812491E-2</v>
      </c>
      <c r="R18" s="499">
        <f t="shared" si="9"/>
        <v>4.5743754070816545E-2</v>
      </c>
      <c r="S18" s="499">
        <f t="shared" si="9"/>
        <v>2.468893701853192E-2</v>
      </c>
      <c r="T18" s="499">
        <f>IFERROR(T10/S10-1,0)</f>
        <v>3.988607455827986E-2</v>
      </c>
      <c r="U18" s="499">
        <f t="shared" si="9"/>
        <v>2.481125304397902E-2</v>
      </c>
    </row>
    <row r="19" spans="1:31" s="484" customFormat="1" ht="13" outlineLevel="1">
      <c r="B19" s="485"/>
      <c r="C19" s="485"/>
      <c r="D19" s="486"/>
      <c r="E19" s="486"/>
      <c r="F19" s="486"/>
      <c r="G19" s="486"/>
      <c r="H19" s="486"/>
      <c r="I19" s="486"/>
      <c r="J19" s="486"/>
      <c r="K19" s="486"/>
      <c r="L19" s="486"/>
      <c r="M19" s="486"/>
      <c r="N19" s="487"/>
      <c r="O19" s="501"/>
      <c r="P19" s="502"/>
      <c r="Q19" s="502"/>
      <c r="R19" s="502"/>
      <c r="S19" s="502"/>
      <c r="T19" s="502"/>
    </row>
    <row r="20" spans="1:31" s="484" customFormat="1" ht="13" outlineLevel="1">
      <c r="B20" s="485"/>
      <c r="C20" s="485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7"/>
      <c r="O20" s="501"/>
      <c r="P20" s="502"/>
      <c r="Q20" s="502"/>
      <c r="R20" s="502"/>
      <c r="S20" s="502"/>
      <c r="T20" s="502"/>
    </row>
    <row r="21" spans="1:31" s="191" customFormat="1" ht="13" outlineLevel="1">
      <c r="B21" s="201" t="s">
        <v>770</v>
      </c>
      <c r="C21" s="201"/>
      <c r="I21" s="237"/>
      <c r="J21" s="237"/>
      <c r="K21" s="503"/>
      <c r="L21" s="237"/>
      <c r="M21" s="237"/>
      <c r="N21" s="237"/>
      <c r="O21" s="504"/>
      <c r="P21" s="237"/>
      <c r="Q21" s="237"/>
      <c r="R21" s="237"/>
      <c r="S21" s="237"/>
      <c r="T21" s="237"/>
      <c r="U21" s="224"/>
      <c r="V21" s="224"/>
    </row>
    <row r="22" spans="1:31" s="484" customFormat="1" ht="13" outlineLevel="1">
      <c r="A22" s="484" t="s">
        <v>743</v>
      </c>
      <c r="B22" s="468" t="str">
        <f>B6</f>
        <v>Beer</v>
      </c>
      <c r="C22" s="485"/>
      <c r="D22" s="490"/>
      <c r="E22" s="490"/>
      <c r="F22" s="490"/>
      <c r="G22" s="490"/>
      <c r="H22" s="490"/>
      <c r="I22" s="505">
        <f>I6/I$10</f>
        <v>0.86318394176531033</v>
      </c>
      <c r="J22" s="505">
        <f t="shared" ref="I22:U25" si="11">J6/J$10</f>
        <v>0.887856343564287</v>
      </c>
      <c r="K22" s="505">
        <f t="shared" si="11"/>
        <v>0.88111021468091788</v>
      </c>
      <c r="L22" s="505">
        <f t="shared" si="11"/>
        <v>0.87481538967687089</v>
      </c>
      <c r="M22" s="506">
        <f t="shared" si="11"/>
        <v>0.88385186390354709</v>
      </c>
      <c r="N22" s="491">
        <f t="shared" si="11"/>
        <v>0.88109379969520352</v>
      </c>
      <c r="O22" s="492">
        <f>O6/O$10</f>
        <v>0.94187639677579649</v>
      </c>
      <c r="P22" s="490">
        <f t="shared" si="11"/>
        <v>0.94072063131228234</v>
      </c>
      <c r="Q22" s="490">
        <f t="shared" si="11"/>
        <v>0.94038735708363463</v>
      </c>
      <c r="R22" s="490">
        <f t="shared" si="11"/>
        <v>0.93989838504668166</v>
      </c>
      <c r="S22" s="490">
        <f t="shared" si="11"/>
        <v>0.94027543355230758</v>
      </c>
      <c r="T22" s="490">
        <f t="shared" si="11"/>
        <v>0.9405366828387669</v>
      </c>
      <c r="U22" s="490">
        <f t="shared" si="11"/>
        <v>0.94080168490952776</v>
      </c>
    </row>
    <row r="23" spans="1:31" s="484" customFormat="1" ht="13" outlineLevel="1">
      <c r="A23" s="484" t="s">
        <v>771</v>
      </c>
      <c r="B23" s="468" t="str">
        <f t="shared" ref="B23:B25" si="12">B7</f>
        <v>Raw materials</v>
      </c>
      <c r="C23" s="485"/>
      <c r="D23" s="490"/>
      <c r="E23" s="490"/>
      <c r="F23" s="490"/>
      <c r="G23" s="490"/>
      <c r="H23" s="490"/>
      <c r="I23" s="505">
        <f t="shared" si="11"/>
        <v>0.13169363567328582</v>
      </c>
      <c r="J23" s="505">
        <f>J7/J$10</f>
        <v>0.10588572650872063</v>
      </c>
      <c r="K23" s="505">
        <f t="shared" si="11"/>
        <v>0.11547354706456944</v>
      </c>
      <c r="L23" s="505">
        <f t="shared" si="11"/>
        <v>0.12105740104572206</v>
      </c>
      <c r="M23" s="506">
        <f t="shared" si="11"/>
        <v>0.1122431570454471</v>
      </c>
      <c r="N23" s="491">
        <f t="shared" si="11"/>
        <v>0.11655341356759985</v>
      </c>
      <c r="O23" s="492">
        <f>O7/O$10</f>
        <v>5.6683216811741814E-2</v>
      </c>
      <c r="P23" s="490">
        <f>P7/P$10</f>
        <v>5.6332001494700995E-2</v>
      </c>
      <c r="Q23" s="490">
        <f t="shared" si="11"/>
        <v>5.6031885024181674E-2</v>
      </c>
      <c r="R23" s="490">
        <f t="shared" si="11"/>
        <v>5.5724129547325751E-2</v>
      </c>
      <c r="S23" s="490">
        <f t="shared" si="11"/>
        <v>5.5469138081700904E-2</v>
      </c>
      <c r="T23" s="490">
        <f t="shared" si="11"/>
        <v>5.5208507277056416E-2</v>
      </c>
      <c r="U23" s="490">
        <f t="shared" si="11"/>
        <v>5.4949316037790352E-2</v>
      </c>
    </row>
    <row r="24" spans="1:31" s="484" customFormat="1" ht="13" outlineLevel="1">
      <c r="A24" s="484" t="s">
        <v>772</v>
      </c>
      <c r="B24" s="468" t="str">
        <f t="shared" si="12"/>
        <v>Beverages</v>
      </c>
      <c r="C24" s="485"/>
      <c r="D24" s="490"/>
      <c r="E24" s="490"/>
      <c r="F24" s="490"/>
      <c r="G24" s="490"/>
      <c r="H24" s="490"/>
      <c r="I24" s="505">
        <f t="shared" si="11"/>
        <v>6.6207446833773716E-3</v>
      </c>
      <c r="J24" s="505">
        <f t="shared" si="11"/>
        <v>6.124996302928871E-3</v>
      </c>
      <c r="K24" s="505">
        <f t="shared" si="11"/>
        <v>5.1994509994901751E-3</v>
      </c>
      <c r="L24" s="505">
        <f t="shared" si="11"/>
        <v>4.9012718572047226E-3</v>
      </c>
      <c r="M24" s="506">
        <f t="shared" si="11"/>
        <v>4.0040553662611398E-3</v>
      </c>
      <c r="N24" s="491">
        <f t="shared" si="11"/>
        <v>5.1094650273934353E-3</v>
      </c>
      <c r="O24" s="492">
        <f>O8/O$10</f>
        <v>5.3102588237911707E-3</v>
      </c>
      <c r="P24" s="490">
        <f t="shared" si="11"/>
        <v>5.2684527975361802E-3</v>
      </c>
      <c r="Q24" s="490">
        <f t="shared" si="11"/>
        <v>4.9973460660484581E-3</v>
      </c>
      <c r="R24" s="490">
        <f t="shared" si="11"/>
        <v>4.9930127107943555E-3</v>
      </c>
      <c r="S24" s="490">
        <f t="shared" si="11"/>
        <v>4.6828750916530614E-3</v>
      </c>
      <c r="T24" s="490">
        <f t="shared" si="11"/>
        <v>4.5032578147007505E-3</v>
      </c>
      <c r="U24" s="490">
        <f t="shared" si="11"/>
        <v>4.3942314268357241E-3</v>
      </c>
    </row>
    <row r="25" spans="1:31" s="484" customFormat="1" ht="13" outlineLevel="1">
      <c r="A25" s="484" t="s">
        <v>745</v>
      </c>
      <c r="B25" s="468" t="str">
        <f t="shared" si="12"/>
        <v>Others</v>
      </c>
      <c r="C25" s="485"/>
      <c r="D25" s="490"/>
      <c r="E25" s="490"/>
      <c r="F25" s="490"/>
      <c r="G25" s="490"/>
      <c r="H25" s="490"/>
      <c r="I25" s="505">
        <v>0.01</v>
      </c>
      <c r="J25" s="505">
        <f t="shared" si="11"/>
        <v>1.3293362406349655E-4</v>
      </c>
      <c r="K25" s="505">
        <v>0</v>
      </c>
      <c r="L25" s="505">
        <f t="shared" si="11"/>
        <v>-7.7406257979768713E-4</v>
      </c>
      <c r="M25" s="506">
        <f t="shared" si="11"/>
        <v>-9.9076315255319962E-5</v>
      </c>
      <c r="N25" s="491">
        <f t="shared" si="11"/>
        <v>-2.7566782901968182E-3</v>
      </c>
      <c r="O25" s="492">
        <f t="shared" si="11"/>
        <v>-3.8698724113294587E-3</v>
      </c>
      <c r="P25" s="490">
        <f t="shared" si="11"/>
        <v>-2.3210856045194459E-3</v>
      </c>
      <c r="Q25" s="490">
        <f t="shared" si="11"/>
        <v>-1.4165881738647632E-3</v>
      </c>
      <c r="R25" s="490">
        <f t="shared" si="11"/>
        <v>-6.155273048017298E-4</v>
      </c>
      <c r="S25" s="490">
        <f t="shared" si="11"/>
        <v>-4.2744672566158123E-4</v>
      </c>
      <c r="T25" s="490">
        <f t="shared" si="11"/>
        <v>-2.4844793052398745E-4</v>
      </c>
      <c r="U25" s="490">
        <f t="shared" si="11"/>
        <v>-1.4523237415385695E-4</v>
      </c>
    </row>
    <row r="26" spans="1:31" s="315" customFormat="1" ht="13" outlineLevel="1">
      <c r="B26" s="498" t="s">
        <v>768</v>
      </c>
      <c r="C26" s="498"/>
      <c r="D26" s="499"/>
      <c r="E26" s="499"/>
      <c r="F26" s="499"/>
      <c r="G26" s="499"/>
      <c r="H26" s="499"/>
      <c r="I26" s="499">
        <f t="shared" ref="I26:R26" si="13">SUM(I22:I25)</f>
        <v>1.0114983221219735</v>
      </c>
      <c r="J26" s="499">
        <f t="shared" si="13"/>
        <v>1</v>
      </c>
      <c r="K26" s="499">
        <f t="shared" si="13"/>
        <v>1.0017832127449775</v>
      </c>
      <c r="L26" s="499">
        <f t="shared" si="13"/>
        <v>0.99999999999999989</v>
      </c>
      <c r="M26" s="499">
        <f t="shared" si="13"/>
        <v>1</v>
      </c>
      <c r="N26" s="499">
        <f>SUM(N22:N25)</f>
        <v>1</v>
      </c>
      <c r="O26" s="500">
        <f>SUM(O22:O25)</f>
        <v>1</v>
      </c>
      <c r="P26" s="499">
        <f t="shared" si="13"/>
        <v>1</v>
      </c>
      <c r="Q26" s="499">
        <f t="shared" si="13"/>
        <v>1</v>
      </c>
      <c r="R26" s="499">
        <f t="shared" si="13"/>
        <v>1.0000000000000002</v>
      </c>
      <c r="S26" s="499">
        <f t="shared" ref="S26:U26" si="14">SUM(S22:S25)</f>
        <v>1</v>
      </c>
      <c r="T26" s="499">
        <f t="shared" si="14"/>
        <v>1</v>
      </c>
      <c r="U26" s="499">
        <f t="shared" si="14"/>
        <v>0.99999999999999989</v>
      </c>
    </row>
    <row r="27" spans="1:31" s="484" customFormat="1" ht="13">
      <c r="B27" s="485"/>
      <c r="C27" s="485"/>
      <c r="D27" s="486"/>
      <c r="E27" s="486"/>
      <c r="F27" s="486"/>
      <c r="G27" s="486"/>
      <c r="H27" s="486"/>
      <c r="I27" s="486"/>
      <c r="J27" s="486"/>
      <c r="K27" s="486"/>
      <c r="L27" s="486"/>
      <c r="M27" s="486"/>
      <c r="N27" s="507"/>
      <c r="O27" s="501"/>
      <c r="P27" s="502"/>
      <c r="Q27" s="502"/>
      <c r="R27" s="502"/>
      <c r="S27" s="502"/>
      <c r="T27" s="502"/>
    </row>
    <row r="28" spans="1:31" s="191" customFormat="1" ht="13">
      <c r="A28" s="462"/>
      <c r="B28" s="463" t="s">
        <v>411</v>
      </c>
      <c r="C28" s="464"/>
      <c r="D28" s="462"/>
      <c r="E28" s="462"/>
      <c r="F28" s="462"/>
      <c r="G28" s="462"/>
      <c r="H28" s="462"/>
      <c r="I28" s="463"/>
      <c r="J28" s="463"/>
      <c r="K28" s="508"/>
      <c r="L28" s="463"/>
      <c r="M28" s="463"/>
      <c r="N28" s="463"/>
      <c r="O28" s="509"/>
      <c r="P28" s="463"/>
      <c r="Q28" s="463"/>
      <c r="R28" s="463"/>
      <c r="S28" s="463"/>
      <c r="T28" s="463"/>
      <c r="U28" s="463"/>
      <c r="V28" s="224"/>
    </row>
    <row r="29" spans="1:31" s="484" customFormat="1" ht="13">
      <c r="B29" s="468" t="str">
        <f>B6</f>
        <v>Beer</v>
      </c>
      <c r="C29" s="201"/>
      <c r="D29" s="205"/>
      <c r="E29" s="205"/>
      <c r="F29" s="205"/>
      <c r="G29" s="205"/>
      <c r="H29" s="218">
        <v>22632123</v>
      </c>
      <c r="I29" s="579">
        <v>23157713</v>
      </c>
      <c r="J29" s="579">
        <v>16418911</v>
      </c>
      <c r="K29" s="579">
        <v>15558536</v>
      </c>
      <c r="L29" s="579">
        <v>19772096</v>
      </c>
      <c r="M29" s="579">
        <v>17755201</v>
      </c>
      <c r="N29" s="579">
        <v>18673205</v>
      </c>
      <c r="O29" s="594">
        <v>14929466</v>
      </c>
      <c r="P29" s="205">
        <f>P90</f>
        <v>16009619.205664348</v>
      </c>
      <c r="Q29" s="205">
        <f t="shared" ref="Q29:U29" si="15">Q90</f>
        <v>16541710.33540689</v>
      </c>
      <c r="R29" s="205">
        <f t="shared" si="15"/>
        <v>17207713.458429165</v>
      </c>
      <c r="S29" s="205">
        <f t="shared" si="15"/>
        <v>17639627.066235736</v>
      </c>
      <c r="T29" s="205">
        <f t="shared" si="15"/>
        <v>18290234.846015353</v>
      </c>
      <c r="U29" s="205">
        <f t="shared" si="15"/>
        <v>18749319.740650337</v>
      </c>
      <c r="W29" s="486"/>
      <c r="X29" s="486"/>
      <c r="Y29" s="486"/>
      <c r="Z29" s="486"/>
      <c r="AA29" s="486"/>
      <c r="AB29" s="486"/>
      <c r="AC29" s="486"/>
      <c r="AD29" s="486"/>
      <c r="AE29" s="486"/>
    </row>
    <row r="30" spans="1:31" s="484" customFormat="1" ht="13">
      <c r="B30" s="468" t="str">
        <f t="shared" ref="B30:B32" si="16">B7</f>
        <v>Raw materials</v>
      </c>
      <c r="C30" s="201"/>
      <c r="D30" s="471"/>
      <c r="E30" s="471"/>
      <c r="F30" s="471"/>
      <c r="G30" s="471"/>
      <c r="H30" s="595">
        <v>4851969</v>
      </c>
      <c r="I30" s="582">
        <v>4932930</v>
      </c>
      <c r="J30" s="582">
        <v>2845343</v>
      </c>
      <c r="K30" s="582">
        <v>3028411</v>
      </c>
      <c r="L30" s="582">
        <v>4229718</v>
      </c>
      <c r="M30" s="582">
        <v>3423775</v>
      </c>
      <c r="N30" s="582">
        <v>3700008</v>
      </c>
      <c r="O30" s="583">
        <v>1458845</v>
      </c>
      <c r="P30" s="471">
        <f t="shared" ref="P30:U30" si="17">P120</f>
        <v>1512822.2649999999</v>
      </c>
      <c r="Q30" s="471">
        <f t="shared" si="17"/>
        <v>1543078.7102999999</v>
      </c>
      <c r="R30" s="471">
        <f t="shared" si="17"/>
        <v>1604801.8587120001</v>
      </c>
      <c r="S30" s="471">
        <f t="shared" si="17"/>
        <v>1636897.8958862401</v>
      </c>
      <c r="T30" s="471">
        <f t="shared" si="17"/>
        <v>1694189.3222422583</v>
      </c>
      <c r="U30" s="471">
        <f t="shared" si="17"/>
        <v>1728073.1086871035</v>
      </c>
      <c r="W30" s="486"/>
      <c r="X30" s="486"/>
      <c r="Y30" s="486"/>
      <c r="Z30" s="486"/>
      <c r="AA30" s="486"/>
      <c r="AB30" s="486"/>
      <c r="AC30" s="486"/>
      <c r="AD30" s="486"/>
      <c r="AE30" s="486"/>
    </row>
    <row r="31" spans="1:31" s="484" customFormat="1" ht="13">
      <c r="B31" s="468" t="str">
        <f t="shared" si="16"/>
        <v>Beverages</v>
      </c>
      <c r="C31" s="470"/>
      <c r="D31" s="471"/>
      <c r="E31" s="471"/>
      <c r="F31" s="471"/>
      <c r="G31" s="471"/>
      <c r="H31" s="595">
        <v>199352</v>
      </c>
      <c r="I31" s="582">
        <v>172072</v>
      </c>
      <c r="J31" s="582">
        <v>120956</v>
      </c>
      <c r="K31" s="582">
        <v>111802</v>
      </c>
      <c r="L31" s="582">
        <v>134076</v>
      </c>
      <c r="M31" s="582">
        <v>93978</v>
      </c>
      <c r="N31" s="584">
        <v>117183</v>
      </c>
      <c r="O31" s="585">
        <v>105855</v>
      </c>
      <c r="P31" s="472">
        <f>P8*(1-AVERAGE(L63:O63))</f>
        <v>108238.35228051667</v>
      </c>
      <c r="Q31" s="472">
        <f t="shared" ref="Q31:U31" si="18">Q8*(1-AVERAGE(M63:P63))</f>
        <v>104538.24060134226</v>
      </c>
      <c r="R31" s="472">
        <f t="shared" si="18"/>
        <v>108670.26473515002</v>
      </c>
      <c r="S31" s="472">
        <f t="shared" si="18"/>
        <v>105539.74824078238</v>
      </c>
      <c r="T31" s="472">
        <f t="shared" si="18"/>
        <v>105166.06111173941</v>
      </c>
      <c r="U31" s="472">
        <f t="shared" si="18"/>
        <v>105028.12740218586</v>
      </c>
      <c r="W31" s="486"/>
      <c r="X31" s="486"/>
      <c r="Y31" s="486"/>
      <c r="Z31" s="486"/>
      <c r="AA31" s="486"/>
      <c r="AB31" s="486"/>
      <c r="AC31" s="486"/>
      <c r="AD31" s="486"/>
      <c r="AE31" s="486"/>
    </row>
    <row r="32" spans="1:31" s="484" customFormat="1" ht="13">
      <c r="B32" s="468" t="str">
        <f t="shared" si="16"/>
        <v>Others</v>
      </c>
      <c r="C32" s="470"/>
      <c r="D32" s="471"/>
      <c r="E32" s="471"/>
      <c r="F32" s="471"/>
      <c r="G32" s="471"/>
      <c r="H32" s="595">
        <v>180966</v>
      </c>
      <c r="I32" s="582">
        <v>85713</v>
      </c>
      <c r="J32" s="582">
        <v>75016</v>
      </c>
      <c r="K32" s="582">
        <v>66429</v>
      </c>
      <c r="L32" s="582">
        <v>72483</v>
      </c>
      <c r="M32" s="582">
        <v>97048</v>
      </c>
      <c r="N32" s="586">
        <v>63823</v>
      </c>
      <c r="O32" s="587">
        <v>93463</v>
      </c>
      <c r="P32" s="473">
        <f>P9*(1-AVERAGE(N64:O64))</f>
        <v>52019.899127045894</v>
      </c>
      <c r="Q32" s="473">
        <f t="shared" ref="Q32:U32" si="19">Q9*(1-AVERAGE(O64:P64))</f>
        <v>34582.787365552169</v>
      </c>
      <c r="R32" s="473">
        <f t="shared" si="19"/>
        <v>15253.792746292953</v>
      </c>
      <c r="S32" s="473">
        <f t="shared" si="19"/>
        <v>11018.13552096909</v>
      </c>
      <c r="T32" s="473">
        <f t="shared" si="19"/>
        <v>6610.0943761719946</v>
      </c>
      <c r="U32" s="473">
        <f t="shared" si="19"/>
        <v>3974.6822957493546</v>
      </c>
      <c r="W32" s="486"/>
      <c r="X32" s="486"/>
      <c r="Y32" s="486"/>
      <c r="Z32" s="486"/>
      <c r="AA32" s="486"/>
      <c r="AB32" s="486"/>
      <c r="AC32" s="486"/>
      <c r="AD32" s="486"/>
      <c r="AE32" s="486"/>
    </row>
    <row r="33" spans="2:22" s="484" customFormat="1" ht="13">
      <c r="B33" s="475" t="s">
        <v>768</v>
      </c>
      <c r="C33" s="475"/>
      <c r="D33" s="477"/>
      <c r="E33" s="477"/>
      <c r="F33" s="477"/>
      <c r="G33" s="477"/>
      <c r="H33" s="590">
        <f>SUM(H29:H32)</f>
        <v>27864410</v>
      </c>
      <c r="I33" s="588">
        <f t="shared" ref="I33:M33" si="20">SUM(I29:I32)</f>
        <v>28348428</v>
      </c>
      <c r="J33" s="588">
        <f t="shared" si="20"/>
        <v>19460226</v>
      </c>
      <c r="K33" s="588">
        <f t="shared" si="20"/>
        <v>18765178</v>
      </c>
      <c r="L33" s="588">
        <f t="shared" si="20"/>
        <v>24208373</v>
      </c>
      <c r="M33" s="588">
        <f t="shared" si="20"/>
        <v>21370002</v>
      </c>
      <c r="N33" s="588">
        <f>SUM(N29:N32)</f>
        <v>22554219</v>
      </c>
      <c r="O33" s="589">
        <f t="shared" ref="O33:U33" si="21">SUM(O29:O32)</f>
        <v>16587629</v>
      </c>
      <c r="P33" s="477">
        <f>SUM(P29:P32)</f>
        <v>17682699.722071912</v>
      </c>
      <c r="Q33" s="477">
        <f t="shared" si="21"/>
        <v>18223910.073673785</v>
      </c>
      <c r="R33" s="477">
        <f t="shared" si="21"/>
        <v>18936439.374622609</v>
      </c>
      <c r="S33" s="477">
        <f t="shared" si="21"/>
        <v>19393082.845883727</v>
      </c>
      <c r="T33" s="477">
        <f t="shared" si="21"/>
        <v>20096200.323745526</v>
      </c>
      <c r="U33" s="477">
        <f t="shared" si="21"/>
        <v>20586395.659035377</v>
      </c>
    </row>
    <row r="34" spans="2:22" s="484" customFormat="1" ht="13">
      <c r="B34" s="479" t="s">
        <v>769</v>
      </c>
      <c r="C34" s="479"/>
      <c r="D34" s="480"/>
      <c r="E34" s="481"/>
      <c r="F34" s="481"/>
      <c r="G34" s="481"/>
      <c r="H34" s="481"/>
      <c r="I34" s="481">
        <f t="shared" ref="I34:M34" si="22">I33/H33-1</f>
        <v>1.7370473661563191E-2</v>
      </c>
      <c r="J34" s="481">
        <f t="shared" si="22"/>
        <v>-0.31353421078586796</v>
      </c>
      <c r="K34" s="481">
        <f t="shared" si="22"/>
        <v>-3.5716337518382324E-2</v>
      </c>
      <c r="L34" s="481">
        <f t="shared" si="22"/>
        <v>0.29006892447276544</v>
      </c>
      <c r="M34" s="481">
        <f t="shared" si="22"/>
        <v>-0.11724749118827604</v>
      </c>
      <c r="N34" s="481">
        <f>N33/M33-1</f>
        <v>5.541492228217848E-2</v>
      </c>
      <c r="O34" s="510">
        <f t="shared" ref="O34:U34" si="23">O33/N33-1</f>
        <v>-0.26454429656819423</v>
      </c>
      <c r="P34" s="481">
        <f>P33/O33-1</f>
        <v>6.6017314594624121E-2</v>
      </c>
      <c r="Q34" s="481">
        <f t="shared" si="23"/>
        <v>3.0606771596439097E-2</v>
      </c>
      <c r="R34" s="481">
        <f t="shared" si="23"/>
        <v>3.9098596188648971E-2</v>
      </c>
      <c r="S34" s="481">
        <f t="shared" si="23"/>
        <v>2.4114537174981354E-2</v>
      </c>
      <c r="T34" s="481">
        <f t="shared" si="23"/>
        <v>3.6256096230261825E-2</v>
      </c>
      <c r="U34" s="481">
        <f t="shared" si="23"/>
        <v>2.4392438739309297E-2</v>
      </c>
    </row>
    <row r="35" spans="2:22" s="484" customFormat="1" ht="13">
      <c r="B35" s="485"/>
      <c r="C35" s="485"/>
      <c r="D35" s="486"/>
      <c r="E35" s="486"/>
      <c r="F35" s="486"/>
      <c r="G35" s="486"/>
      <c r="H35" s="486"/>
      <c r="I35" s="486"/>
      <c r="J35" s="486"/>
      <c r="K35" s="486"/>
      <c r="L35" s="486"/>
      <c r="M35" s="486"/>
      <c r="N35" s="487"/>
      <c r="O35" s="501"/>
      <c r="P35" s="502"/>
      <c r="Q35" s="502"/>
      <c r="R35" s="502"/>
      <c r="S35" s="502"/>
      <c r="T35" s="502"/>
      <c r="U35" s="502"/>
    </row>
    <row r="36" spans="2:22" s="191" customFormat="1" ht="13" outlineLevel="1">
      <c r="B36" s="201" t="s">
        <v>769</v>
      </c>
      <c r="C36" s="201"/>
      <c r="I36" s="237"/>
      <c r="J36" s="237"/>
      <c r="K36" s="503"/>
      <c r="L36" s="237"/>
      <c r="M36" s="237"/>
      <c r="N36" s="237"/>
      <c r="O36" s="489"/>
      <c r="P36" s="237"/>
      <c r="Q36" s="237"/>
      <c r="R36" s="237"/>
      <c r="S36" s="237"/>
      <c r="T36" s="237"/>
      <c r="U36" s="237"/>
      <c r="V36" s="224"/>
    </row>
    <row r="37" spans="2:22" s="484" customFormat="1" ht="13" outlineLevel="1">
      <c r="B37" s="511" t="str">
        <f>B29</f>
        <v>Beer</v>
      </c>
      <c r="C37" s="485"/>
      <c r="D37" s="490"/>
      <c r="E37" s="491"/>
      <c r="F37" s="491"/>
      <c r="G37" s="491"/>
      <c r="H37" s="491"/>
      <c r="I37" s="491">
        <f t="shared" ref="I37:T41" si="24">IFERROR(I29/H29-1,0)</f>
        <v>2.3223185911458666E-2</v>
      </c>
      <c r="J37" s="491">
        <f t="shared" si="24"/>
        <v>-0.29099600638456824</v>
      </c>
      <c r="K37" s="491">
        <f t="shared" si="24"/>
        <v>-5.2401465602682218E-2</v>
      </c>
      <c r="L37" s="491">
        <f t="shared" si="24"/>
        <v>0.27081982520720449</v>
      </c>
      <c r="M37" s="491">
        <f t="shared" si="24"/>
        <v>-0.10200714178203463</v>
      </c>
      <c r="N37" s="491">
        <f>IFERROR(N29/M29-1,0)</f>
        <v>5.1703385391131285E-2</v>
      </c>
      <c r="O37" s="492">
        <f t="shared" ref="O37:U41" si="25">IFERROR(O29/N29-1,0)</f>
        <v>-0.20048722219886728</v>
      </c>
      <c r="P37" s="490">
        <f t="shared" si="25"/>
        <v>7.2350424701348892E-2</v>
      </c>
      <c r="Q37" s="490">
        <f t="shared" si="25"/>
        <v>3.3235714285714257E-2</v>
      </c>
      <c r="R37" s="490">
        <f t="shared" si="25"/>
        <v>4.0262047244094212E-2</v>
      </c>
      <c r="S37" s="490">
        <f t="shared" si="25"/>
        <v>2.50999999999999E-2</v>
      </c>
      <c r="T37" s="490">
        <f t="shared" si="25"/>
        <v>3.6883306962024909E-2</v>
      </c>
      <c r="U37" s="490">
        <f t="shared" si="25"/>
        <v>2.50999999999999E-2</v>
      </c>
    </row>
    <row r="38" spans="2:22" s="484" customFormat="1" ht="13" outlineLevel="1">
      <c r="B38" s="511" t="str">
        <f>B30</f>
        <v>Raw materials</v>
      </c>
      <c r="C38" s="485"/>
      <c r="D38" s="490"/>
      <c r="E38" s="491"/>
      <c r="F38" s="491"/>
      <c r="G38" s="491"/>
      <c r="H38" s="491"/>
      <c r="I38" s="491">
        <f t="shared" si="24"/>
        <v>1.6686215431302109E-2</v>
      </c>
      <c r="J38" s="491">
        <f t="shared" si="24"/>
        <v>-0.42319412600624784</v>
      </c>
      <c r="K38" s="491">
        <f t="shared" si="24"/>
        <v>6.4339518996479494E-2</v>
      </c>
      <c r="L38" s="491">
        <f t="shared" si="24"/>
        <v>0.39667898445752581</v>
      </c>
      <c r="M38" s="491">
        <f t="shared" si="24"/>
        <v>-0.19054296291147543</v>
      </c>
      <c r="N38" s="491">
        <f t="shared" si="24"/>
        <v>8.0680827449233661E-2</v>
      </c>
      <c r="O38" s="492">
        <f t="shared" si="24"/>
        <v>-0.60571842006828092</v>
      </c>
      <c r="P38" s="490">
        <f t="shared" si="24"/>
        <v>3.6999999999999922E-2</v>
      </c>
      <c r="Q38" s="490">
        <f t="shared" si="24"/>
        <v>2.0000000000000018E-2</v>
      </c>
      <c r="R38" s="490">
        <f t="shared" si="24"/>
        <v>4.0000000000000036E-2</v>
      </c>
      <c r="S38" s="490">
        <f t="shared" si="24"/>
        <v>2.0000000000000018E-2</v>
      </c>
      <c r="T38" s="490">
        <f t="shared" si="24"/>
        <v>3.499999999999992E-2</v>
      </c>
      <c r="U38" s="490">
        <f t="shared" si="25"/>
        <v>2.0000000000000018E-2</v>
      </c>
    </row>
    <row r="39" spans="2:22" s="484" customFormat="1" ht="13" outlineLevel="1">
      <c r="B39" s="511" t="str">
        <f>B31</f>
        <v>Beverages</v>
      </c>
      <c r="C39" s="485"/>
      <c r="D39" s="490"/>
      <c r="E39" s="491"/>
      <c r="F39" s="491"/>
      <c r="G39" s="491"/>
      <c r="H39" s="491"/>
      <c r="I39" s="491">
        <f t="shared" si="24"/>
        <v>-0.13684337252698742</v>
      </c>
      <c r="J39" s="491">
        <f t="shared" si="24"/>
        <v>-0.29706169510437497</v>
      </c>
      <c r="K39" s="491">
        <f t="shared" si="24"/>
        <v>-7.5680412712060607E-2</v>
      </c>
      <c r="L39" s="491">
        <f t="shared" si="24"/>
        <v>0.19922720523783122</v>
      </c>
      <c r="M39" s="491">
        <f t="shared" si="24"/>
        <v>-0.29906918464154664</v>
      </c>
      <c r="N39" s="491">
        <f t="shared" si="24"/>
        <v>0.2469194917959523</v>
      </c>
      <c r="O39" s="492">
        <f t="shared" si="24"/>
        <v>-9.6669312101584692E-2</v>
      </c>
      <c r="P39" s="490">
        <f t="shared" si="24"/>
        <v>2.2515254645663063E-2</v>
      </c>
      <c r="Q39" s="490">
        <f t="shared" si="24"/>
        <v>-3.4184848542270774E-2</v>
      </c>
      <c r="R39" s="490">
        <f t="shared" si="24"/>
        <v>3.9526436546462262E-2</v>
      </c>
      <c r="S39" s="490">
        <f t="shared" si="24"/>
        <v>-2.8807480151054166E-2</v>
      </c>
      <c r="T39" s="490">
        <f t="shared" si="24"/>
        <v>-3.5407240899459902E-3</v>
      </c>
      <c r="U39" s="490">
        <f t="shared" si="25"/>
        <v>-1.3115800677083733E-3</v>
      </c>
    </row>
    <row r="40" spans="2:22" s="484" customFormat="1" ht="13" outlineLevel="1">
      <c r="B40" s="511" t="str">
        <f>B32</f>
        <v>Others</v>
      </c>
      <c r="C40" s="485"/>
      <c r="D40" s="490"/>
      <c r="E40" s="491"/>
      <c r="F40" s="491"/>
      <c r="G40" s="491"/>
      <c r="H40" s="491"/>
      <c r="I40" s="491">
        <f t="shared" si="24"/>
        <v>-0.52635854248864433</v>
      </c>
      <c r="J40" s="491">
        <f t="shared" si="24"/>
        <v>-0.12480020533641334</v>
      </c>
      <c r="K40" s="491">
        <f t="shared" si="24"/>
        <v>-0.11446891329849629</v>
      </c>
      <c r="L40" s="491">
        <f t="shared" si="24"/>
        <v>9.1134895903897339E-2</v>
      </c>
      <c r="M40" s="491">
        <f t="shared" si="24"/>
        <v>0.33890705406785049</v>
      </c>
      <c r="N40" s="491">
        <f t="shared" si="24"/>
        <v>-0.3423563597395104</v>
      </c>
      <c r="O40" s="492">
        <f t="shared" si="24"/>
        <v>0.46440938219764027</v>
      </c>
      <c r="P40" s="490">
        <f t="shared" si="24"/>
        <v>-0.44341719047060446</v>
      </c>
      <c r="Q40" s="490">
        <f t="shared" si="24"/>
        <v>-0.3352007991962429</v>
      </c>
      <c r="R40" s="490">
        <f t="shared" si="24"/>
        <v>-0.5589195114594141</v>
      </c>
      <c r="S40" s="490">
        <f t="shared" si="24"/>
        <v>-0.27767895472116155</v>
      </c>
      <c r="T40" s="490">
        <f t="shared" si="24"/>
        <v>-0.40007142192142775</v>
      </c>
      <c r="U40" s="490">
        <f t="shared" si="25"/>
        <v>-0.39869507611309585</v>
      </c>
    </row>
    <row r="41" spans="2:22" s="315" customFormat="1" ht="13" outlineLevel="1">
      <c r="B41" s="498" t="s">
        <v>768</v>
      </c>
      <c r="C41" s="498"/>
      <c r="D41" s="499"/>
      <c r="E41" s="499"/>
      <c r="F41" s="499"/>
      <c r="G41" s="499"/>
      <c r="H41" s="499"/>
      <c r="I41" s="499">
        <f t="shared" si="24"/>
        <v>1.7370473661563191E-2</v>
      </c>
      <c r="J41" s="499">
        <f t="shared" si="24"/>
        <v>-0.31353421078586796</v>
      </c>
      <c r="K41" s="499">
        <f t="shared" si="24"/>
        <v>-3.5716337518382324E-2</v>
      </c>
      <c r="L41" s="499">
        <f t="shared" si="24"/>
        <v>0.29006892447276544</v>
      </c>
      <c r="M41" s="499">
        <f t="shared" si="24"/>
        <v>-0.11724749118827604</v>
      </c>
      <c r="N41" s="499">
        <f t="shared" si="24"/>
        <v>5.541492228217848E-2</v>
      </c>
      <c r="O41" s="500">
        <f t="shared" si="24"/>
        <v>-0.26454429656819423</v>
      </c>
      <c r="P41" s="499">
        <f>IFERROR(P33/O33-1,0)</f>
        <v>6.6017314594624121E-2</v>
      </c>
      <c r="Q41" s="499">
        <f t="shared" si="24"/>
        <v>3.0606771596439097E-2</v>
      </c>
      <c r="R41" s="499">
        <f t="shared" si="24"/>
        <v>3.9098596188648971E-2</v>
      </c>
      <c r="S41" s="499">
        <f t="shared" si="24"/>
        <v>2.4114537174981354E-2</v>
      </c>
      <c r="T41" s="499">
        <f t="shared" si="24"/>
        <v>3.6256096230261825E-2</v>
      </c>
      <c r="U41" s="499">
        <f t="shared" si="25"/>
        <v>2.4392438739309297E-2</v>
      </c>
    </row>
    <row r="42" spans="2:22" s="315" customFormat="1" ht="13" outlineLevel="1">
      <c r="B42" s="512"/>
      <c r="C42" s="512"/>
      <c r="D42" s="513"/>
      <c r="E42" s="513"/>
      <c r="F42" s="513"/>
      <c r="G42" s="513"/>
      <c r="H42" s="513"/>
      <c r="I42" s="513"/>
      <c r="J42" s="513"/>
      <c r="K42" s="513"/>
      <c r="L42" s="513"/>
      <c r="M42" s="513"/>
      <c r="N42" s="513"/>
      <c r="O42" s="514"/>
      <c r="P42" s="513"/>
      <c r="Q42" s="513"/>
      <c r="R42" s="513"/>
      <c r="S42" s="513"/>
      <c r="T42" s="513"/>
      <c r="U42" s="513"/>
    </row>
    <row r="43" spans="2:22" s="315" customFormat="1" ht="13" outlineLevel="1">
      <c r="B43" s="512"/>
      <c r="C43" s="512"/>
      <c r="D43" s="513"/>
      <c r="E43" s="513"/>
      <c r="F43" s="513"/>
      <c r="G43" s="513"/>
      <c r="H43" s="513"/>
      <c r="I43" s="513"/>
      <c r="J43" s="513"/>
      <c r="K43" s="513"/>
      <c r="L43" s="513"/>
      <c r="M43" s="513"/>
      <c r="N43" s="513"/>
      <c r="O43" s="514"/>
      <c r="P43" s="513"/>
      <c r="Q43" s="513"/>
      <c r="R43" s="513"/>
      <c r="S43" s="513"/>
      <c r="T43" s="513"/>
      <c r="U43" s="513"/>
    </row>
    <row r="44" spans="2:22" s="484" customFormat="1" ht="13" outlineLevel="1">
      <c r="B44" s="201" t="s">
        <v>773</v>
      </c>
      <c r="C44" s="201"/>
      <c r="D44" s="191"/>
      <c r="E44" s="237"/>
      <c r="F44" s="237"/>
      <c r="G44" s="237"/>
      <c r="H44" s="237"/>
      <c r="I44" s="237"/>
      <c r="J44" s="237"/>
      <c r="K44" s="503"/>
      <c r="L44" s="237"/>
      <c r="M44" s="237"/>
      <c r="N44" s="237"/>
      <c r="O44" s="504"/>
      <c r="P44" s="237"/>
      <c r="Q44" s="237"/>
      <c r="R44" s="237"/>
      <c r="S44" s="237"/>
      <c r="T44" s="237"/>
      <c r="U44" s="237"/>
    </row>
    <row r="45" spans="2:22" s="484" customFormat="1" ht="13" outlineLevel="1">
      <c r="B45" s="511" t="str">
        <f>B37</f>
        <v>Beer</v>
      </c>
      <c r="C45" s="485"/>
      <c r="D45" s="490"/>
      <c r="E45" s="491"/>
      <c r="F45" s="491"/>
      <c r="G45" s="491"/>
      <c r="H45" s="491"/>
      <c r="I45" s="491">
        <f t="shared" ref="I45:U49" si="26">I29/I$33</f>
        <v>0.81689584339561971</v>
      </c>
      <c r="J45" s="491">
        <f t="shared" si="26"/>
        <v>0.84371635766203334</v>
      </c>
      <c r="K45" s="491">
        <f t="shared" si="26"/>
        <v>0.82911742164129754</v>
      </c>
      <c r="L45" s="491">
        <f t="shared" si="26"/>
        <v>0.81674617290472185</v>
      </c>
      <c r="M45" s="491">
        <f t="shared" si="26"/>
        <v>0.83084695078643422</v>
      </c>
      <c r="N45" s="491">
        <f t="shared" si="26"/>
        <v>0.82792514340665047</v>
      </c>
      <c r="O45" s="492">
        <f t="shared" si="26"/>
        <v>0.90003616550623355</v>
      </c>
      <c r="P45" s="490">
        <f t="shared" si="26"/>
        <v>0.90538319698325309</v>
      </c>
      <c r="Q45" s="490">
        <f t="shared" si="26"/>
        <v>0.9076927107593119</v>
      </c>
      <c r="R45" s="490">
        <f t="shared" si="26"/>
        <v>0.90870903014057802</v>
      </c>
      <c r="S45" s="490">
        <f t="shared" si="26"/>
        <v>0.90958344304602556</v>
      </c>
      <c r="T45" s="490">
        <f t="shared" si="26"/>
        <v>0.91013398310942106</v>
      </c>
      <c r="U45" s="490">
        <f t="shared" si="26"/>
        <v>0.91076262455983903</v>
      </c>
    </row>
    <row r="46" spans="2:22" s="484" customFormat="1" ht="13" outlineLevel="1">
      <c r="B46" s="511" t="str">
        <f>B38</f>
        <v>Raw materials</v>
      </c>
      <c r="C46" s="485"/>
      <c r="D46" s="490"/>
      <c r="E46" s="491"/>
      <c r="F46" s="491"/>
      <c r="G46" s="491"/>
      <c r="H46" s="491"/>
      <c r="I46" s="491">
        <f t="shared" si="26"/>
        <v>0.17401070704872948</v>
      </c>
      <c r="J46" s="491">
        <f t="shared" si="26"/>
        <v>0.14621325569394725</v>
      </c>
      <c r="K46" s="491">
        <f t="shared" si="26"/>
        <v>0.16138461356455025</v>
      </c>
      <c r="L46" s="491">
        <f t="shared" si="26"/>
        <v>0.1747212834171053</v>
      </c>
      <c r="M46" s="491">
        <f t="shared" si="26"/>
        <v>0.1602140701718231</v>
      </c>
      <c r="N46" s="491">
        <f t="shared" si="26"/>
        <v>0.16404948448891093</v>
      </c>
      <c r="O46" s="492">
        <f t="shared" si="26"/>
        <v>8.7947771197438768E-2</v>
      </c>
      <c r="P46" s="490">
        <f t="shared" si="26"/>
        <v>8.5553806193500184E-2</v>
      </c>
      <c r="Q46" s="490">
        <f t="shared" si="26"/>
        <v>8.4673305786837016E-2</v>
      </c>
      <c r="R46" s="490">
        <f t="shared" si="26"/>
        <v>8.4746758720789489E-2</v>
      </c>
      <c r="S46" s="490">
        <f t="shared" si="26"/>
        <v>8.4406275623871707E-2</v>
      </c>
      <c r="T46" s="490">
        <f t="shared" si="26"/>
        <v>8.4303962686937212E-2</v>
      </c>
      <c r="U46" s="490">
        <f t="shared" si="26"/>
        <v>8.3942480136324951E-2</v>
      </c>
    </row>
    <row r="47" spans="2:22" s="484" customFormat="1" ht="13" outlineLevel="1">
      <c r="B47" s="511" t="str">
        <f>B39</f>
        <v>Beverages</v>
      </c>
      <c r="C47" s="485"/>
      <c r="D47" s="490"/>
      <c r="E47" s="491"/>
      <c r="F47" s="491"/>
      <c r="G47" s="491"/>
      <c r="H47" s="491"/>
      <c r="I47" s="491">
        <f t="shared" si="26"/>
        <v>6.0698956570008041E-3</v>
      </c>
      <c r="J47" s="491">
        <f t="shared" si="26"/>
        <v>6.2155496035863102E-3</v>
      </c>
      <c r="K47" s="491">
        <f t="shared" si="26"/>
        <v>5.9579504121943317E-3</v>
      </c>
      <c r="L47" s="491">
        <f t="shared" si="26"/>
        <v>5.538414332925224E-3</v>
      </c>
      <c r="M47" s="491">
        <f t="shared" si="26"/>
        <v>4.3976598598352967E-3</v>
      </c>
      <c r="N47" s="491">
        <f t="shared" si="26"/>
        <v>5.1956132907993845E-3</v>
      </c>
      <c r="O47" s="492">
        <f t="shared" si="26"/>
        <v>6.3815630310998638E-3</v>
      </c>
      <c r="P47" s="490">
        <f t="shared" si="26"/>
        <v>6.1211440550229621E-3</v>
      </c>
      <c r="Q47" s="490">
        <f t="shared" si="26"/>
        <v>5.7363233344943868E-3</v>
      </c>
      <c r="R47" s="490">
        <f t="shared" si="26"/>
        <v>5.7386852187630835E-3</v>
      </c>
      <c r="S47" s="490">
        <f t="shared" si="26"/>
        <v>5.442133624628108E-3</v>
      </c>
      <c r="T47" s="490">
        <f t="shared" si="26"/>
        <v>5.2331316078430981E-3</v>
      </c>
      <c r="U47" s="490">
        <f t="shared" si="26"/>
        <v>5.1018220548038956E-3</v>
      </c>
    </row>
    <row r="48" spans="2:22" s="484" customFormat="1" ht="13" outlineLevel="1">
      <c r="B48" s="511" t="str">
        <f>B40</f>
        <v>Others</v>
      </c>
      <c r="C48" s="485"/>
      <c r="D48" s="490"/>
      <c r="E48" s="491"/>
      <c r="F48" s="491"/>
      <c r="G48" s="491"/>
      <c r="H48" s="491"/>
      <c r="I48" s="491">
        <f t="shared" si="26"/>
        <v>3.0235538986500415E-3</v>
      </c>
      <c r="J48" s="491">
        <f t="shared" si="26"/>
        <v>3.854837040433138E-3</v>
      </c>
      <c r="K48" s="491">
        <f t="shared" si="26"/>
        <v>3.5400143819579008E-3</v>
      </c>
      <c r="L48" s="491">
        <f t="shared" si="26"/>
        <v>2.9941293452476134E-3</v>
      </c>
      <c r="M48" s="491">
        <f t="shared" si="26"/>
        <v>4.5413191819074234E-3</v>
      </c>
      <c r="N48" s="491">
        <f t="shared" si="26"/>
        <v>2.8297588136392575E-3</v>
      </c>
      <c r="O48" s="492">
        <f t="shared" si="26"/>
        <v>5.6345002652277787E-3</v>
      </c>
      <c r="P48" s="490">
        <f t="shared" si="26"/>
        <v>2.9418527682237108E-3</v>
      </c>
      <c r="Q48" s="490">
        <f t="shared" si="26"/>
        <v>1.8976601193566236E-3</v>
      </c>
      <c r="R48" s="490">
        <f t="shared" si="26"/>
        <v>8.0552591986934451E-4</v>
      </c>
      <c r="S48" s="490">
        <f t="shared" si="26"/>
        <v>5.6814770547467344E-4</v>
      </c>
      <c r="T48" s="490">
        <f t="shared" si="26"/>
        <v>3.2892259579844822E-4</v>
      </c>
      <c r="U48" s="490">
        <f t="shared" si="26"/>
        <v>1.9307324903205505E-4</v>
      </c>
    </row>
    <row r="49" spans="1:21" s="484" customFormat="1" ht="13" outlineLevel="1">
      <c r="B49" s="498" t="s">
        <v>768</v>
      </c>
      <c r="C49" s="498"/>
      <c r="D49" s="499"/>
      <c r="E49" s="499"/>
      <c r="F49" s="499"/>
      <c r="G49" s="499"/>
      <c r="H49" s="499"/>
      <c r="I49" s="499">
        <f t="shared" si="26"/>
        <v>1</v>
      </c>
      <c r="J49" s="499">
        <f t="shared" si="26"/>
        <v>1</v>
      </c>
      <c r="K49" s="499">
        <f t="shared" si="26"/>
        <v>1</v>
      </c>
      <c r="L49" s="499">
        <f t="shared" si="26"/>
        <v>1</v>
      </c>
      <c r="M49" s="499">
        <f t="shared" si="26"/>
        <v>1</v>
      </c>
      <c r="N49" s="499">
        <f t="shared" si="26"/>
        <v>1</v>
      </c>
      <c r="O49" s="500">
        <f t="shared" si="26"/>
        <v>1</v>
      </c>
      <c r="P49" s="499">
        <f t="shared" si="26"/>
        <v>1</v>
      </c>
      <c r="Q49" s="499">
        <f t="shared" si="26"/>
        <v>1</v>
      </c>
      <c r="R49" s="499">
        <f t="shared" si="26"/>
        <v>1</v>
      </c>
      <c r="S49" s="499">
        <f t="shared" si="26"/>
        <v>1</v>
      </c>
      <c r="T49" s="499">
        <f t="shared" si="26"/>
        <v>1</v>
      </c>
      <c r="U49" s="499">
        <f t="shared" si="26"/>
        <v>1</v>
      </c>
    </row>
    <row r="50" spans="1:21" s="484" customFormat="1" ht="13">
      <c r="B50" s="485"/>
      <c r="C50" s="485"/>
      <c r="D50" s="486"/>
      <c r="E50" s="486"/>
      <c r="F50" s="486"/>
      <c r="G50" s="486"/>
      <c r="H50" s="486"/>
      <c r="I50" s="486"/>
      <c r="J50" s="486"/>
      <c r="K50" s="486"/>
      <c r="L50" s="486"/>
      <c r="M50" s="486"/>
      <c r="N50" s="487"/>
      <c r="O50" s="501"/>
      <c r="P50" s="502"/>
      <c r="Q50" s="502"/>
      <c r="R50" s="502"/>
      <c r="S50" s="502"/>
      <c r="T50" s="502"/>
    </row>
    <row r="51" spans="1:21" s="484" customFormat="1" ht="13">
      <c r="A51" s="515"/>
      <c r="B51" s="463" t="s">
        <v>774</v>
      </c>
      <c r="C51" s="464"/>
      <c r="D51" s="462"/>
      <c r="E51" s="462"/>
      <c r="F51" s="462"/>
      <c r="G51" s="462"/>
      <c r="H51" s="462"/>
      <c r="I51" s="463"/>
      <c r="J51" s="463"/>
      <c r="K51" s="508"/>
      <c r="L51" s="463"/>
      <c r="M51" s="463"/>
      <c r="N51" s="463"/>
      <c r="O51" s="509"/>
      <c r="P51" s="463"/>
      <c r="Q51" s="463"/>
      <c r="R51" s="463"/>
      <c r="S51" s="463"/>
      <c r="T51" s="463"/>
      <c r="U51" s="463"/>
    </row>
    <row r="52" spans="1:21" s="484" customFormat="1" ht="13">
      <c r="A52" s="484" t="s">
        <v>743</v>
      </c>
      <c r="B52" s="511" t="str">
        <f>B45</f>
        <v>Beer</v>
      </c>
      <c r="C52" s="201"/>
      <c r="D52" s="469"/>
      <c r="E52" s="469"/>
      <c r="F52" s="469"/>
      <c r="G52" s="469"/>
      <c r="H52" s="469"/>
      <c r="I52" s="579">
        <f t="shared" ref="I52:U55" si="27">I6-I29</f>
        <v>9556147</v>
      </c>
      <c r="J52" s="579">
        <f t="shared" si="27"/>
        <v>8406727</v>
      </c>
      <c r="K52" s="579">
        <f t="shared" si="27"/>
        <v>7679641</v>
      </c>
      <c r="L52" s="579">
        <f t="shared" si="27"/>
        <v>10828145</v>
      </c>
      <c r="M52" s="579">
        <f t="shared" si="27"/>
        <v>9168135</v>
      </c>
      <c r="N52" s="218">
        <f t="shared" si="27"/>
        <v>9409384</v>
      </c>
      <c r="O52" s="270">
        <f>O6-O29</f>
        <v>9454011</v>
      </c>
      <c r="P52" s="205">
        <f>P6-P29</f>
        <v>9402474.7715806477</v>
      </c>
      <c r="Q52" s="205">
        <f t="shared" si="27"/>
        <v>9508227.200666951</v>
      </c>
      <c r="R52" s="205">
        <f t="shared" si="27"/>
        <v>10019681.25427521</v>
      </c>
      <c r="S52" s="205">
        <f t="shared" si="27"/>
        <v>10271175.253757518</v>
      </c>
      <c r="T52" s="205">
        <f t="shared" si="27"/>
        <v>10741883.957183622</v>
      </c>
      <c r="U52" s="205">
        <f t="shared" si="27"/>
        <v>11011505.24450893</v>
      </c>
    </row>
    <row r="53" spans="1:21" s="484" customFormat="1" ht="13">
      <c r="A53" s="484" t="s">
        <v>771</v>
      </c>
      <c r="B53" s="511" t="str">
        <f t="shared" ref="B53:B54" si="28">B46</f>
        <v>Raw materials</v>
      </c>
      <c r="C53" s="201"/>
      <c r="D53" s="469"/>
      <c r="E53" s="469"/>
      <c r="F53" s="469"/>
      <c r="G53" s="469"/>
      <c r="H53" s="469"/>
      <c r="I53" s="579">
        <f t="shared" si="27"/>
        <v>58135</v>
      </c>
      <c r="J53" s="579">
        <f t="shared" si="27"/>
        <v>115362</v>
      </c>
      <c r="K53" s="579">
        <f t="shared" si="27"/>
        <v>17059</v>
      </c>
      <c r="L53" s="579">
        <f t="shared" si="27"/>
        <v>4759</v>
      </c>
      <c r="M53" s="579">
        <f t="shared" si="27"/>
        <v>-4695</v>
      </c>
      <c r="N53" s="218">
        <f t="shared" si="27"/>
        <v>14831</v>
      </c>
      <c r="O53" s="270">
        <f t="shared" si="27"/>
        <v>8581</v>
      </c>
      <c r="P53" s="205">
        <f t="shared" si="27"/>
        <v>8898.4969999999739</v>
      </c>
      <c r="Q53" s="205">
        <f t="shared" si="27"/>
        <v>9076.4669399999548</v>
      </c>
      <c r="R53" s="205">
        <f t="shared" si="27"/>
        <v>9439.525617599953</v>
      </c>
      <c r="S53" s="205">
        <f t="shared" si="27"/>
        <v>9628.3161299519707</v>
      </c>
      <c r="T53" s="205">
        <f t="shared" si="27"/>
        <v>9965.3071945002303</v>
      </c>
      <c r="U53" s="205">
        <f t="shared" si="27"/>
        <v>10164.613338390365</v>
      </c>
    </row>
    <row r="54" spans="1:21" s="484" customFormat="1" ht="13">
      <c r="A54" s="484" t="s">
        <v>772</v>
      </c>
      <c r="B54" s="511" t="str">
        <f t="shared" si="28"/>
        <v>Beverages</v>
      </c>
      <c r="C54" s="470"/>
      <c r="D54" s="469"/>
      <c r="E54" s="469"/>
      <c r="F54" s="469"/>
      <c r="G54" s="469"/>
      <c r="H54" s="469"/>
      <c r="I54" s="579">
        <f t="shared" si="27"/>
        <v>78848</v>
      </c>
      <c r="J54" s="579">
        <f t="shared" si="27"/>
        <v>50307</v>
      </c>
      <c r="K54" s="579">
        <f t="shared" si="27"/>
        <v>25327</v>
      </c>
      <c r="L54" s="579">
        <f t="shared" si="27"/>
        <v>37366</v>
      </c>
      <c r="M54" s="579">
        <f t="shared" si="27"/>
        <v>27991</v>
      </c>
      <c r="N54" s="218">
        <f t="shared" si="27"/>
        <v>45668</v>
      </c>
      <c r="O54" s="270">
        <f t="shared" si="27"/>
        <v>31618</v>
      </c>
      <c r="P54" s="205">
        <f t="shared" si="27"/>
        <v>34080.645676300745</v>
      </c>
      <c r="Q54" s="205">
        <f t="shared" si="27"/>
        <v>33894.663548313256</v>
      </c>
      <c r="R54" s="205">
        <f t="shared" si="27"/>
        <v>35969.549573708427</v>
      </c>
      <c r="S54" s="205">
        <f t="shared" si="27"/>
        <v>33465.054297300609</v>
      </c>
      <c r="T54" s="205">
        <f t="shared" si="27"/>
        <v>33838.741426343578</v>
      </c>
      <c r="U54" s="205">
        <f t="shared" si="27"/>
        <v>33976.675135897138</v>
      </c>
    </row>
    <row r="55" spans="1:21" s="484" customFormat="1" ht="13">
      <c r="A55" s="484" t="s">
        <v>745</v>
      </c>
      <c r="B55" s="511" t="str">
        <f>B48</f>
        <v>Others</v>
      </c>
      <c r="C55" s="470"/>
      <c r="D55" s="469"/>
      <c r="E55" s="469"/>
      <c r="F55" s="469"/>
      <c r="G55" s="469"/>
      <c r="H55" s="469"/>
      <c r="I55" s="579">
        <f t="shared" si="27"/>
        <v>-142498</v>
      </c>
      <c r="J55" s="579">
        <f t="shared" si="27"/>
        <v>-71299</v>
      </c>
      <c r="K55" s="579">
        <f t="shared" si="27"/>
        <v>-113459</v>
      </c>
      <c r="L55" s="579">
        <f t="shared" si="27"/>
        <v>-99559</v>
      </c>
      <c r="M55" s="579">
        <f t="shared" si="27"/>
        <v>-100066</v>
      </c>
      <c r="N55" s="218">
        <f t="shared" si="27"/>
        <v>-151685</v>
      </c>
      <c r="O55" s="270">
        <f t="shared" si="27"/>
        <v>-193647</v>
      </c>
      <c r="P55" s="205">
        <f t="shared" si="27"/>
        <v>-114720.39016336761</v>
      </c>
      <c r="Q55" s="205">
        <f t="shared" si="27"/>
        <v>-73824.099113893826</v>
      </c>
      <c r="R55" s="205">
        <f t="shared" si="27"/>
        <v>-33084.66164756404</v>
      </c>
      <c r="S55" s="205">
        <f t="shared" si="27"/>
        <v>-23706.312449293669</v>
      </c>
      <c r="T55" s="205">
        <f t="shared" si="27"/>
        <v>-14279.088012455104</v>
      </c>
      <c r="U55" s="205">
        <f t="shared" si="27"/>
        <v>-8568.8867266095658</v>
      </c>
    </row>
    <row r="56" spans="1:21" s="484" customFormat="1" ht="13">
      <c r="B56" s="475" t="s">
        <v>768</v>
      </c>
      <c r="C56" s="475"/>
      <c r="D56" s="476"/>
      <c r="E56" s="476"/>
      <c r="F56" s="476"/>
      <c r="G56" s="476"/>
      <c r="H56" s="476"/>
      <c r="I56" s="588">
        <f t="shared" ref="I56:R56" si="29">SUM(I52:I55)</f>
        <v>9550632</v>
      </c>
      <c r="J56" s="588">
        <f t="shared" si="29"/>
        <v>8501097</v>
      </c>
      <c r="K56" s="588">
        <f t="shared" si="29"/>
        <v>7608568</v>
      </c>
      <c r="L56" s="588">
        <f t="shared" si="29"/>
        <v>10770711</v>
      </c>
      <c r="M56" s="588">
        <f t="shared" si="29"/>
        <v>9091365</v>
      </c>
      <c r="N56" s="590">
        <f t="shared" si="29"/>
        <v>9318198</v>
      </c>
      <c r="O56" s="591">
        <f>SUM(O52:O55)</f>
        <v>9300563</v>
      </c>
      <c r="P56" s="477">
        <f>SUM(P52:P55)</f>
        <v>9330733.5240935795</v>
      </c>
      <c r="Q56" s="477">
        <f t="shared" si="29"/>
        <v>9477374.2320413701</v>
      </c>
      <c r="R56" s="477">
        <f t="shared" si="29"/>
        <v>10032005.667818954</v>
      </c>
      <c r="S56" s="477">
        <f t="shared" ref="S56:U56" si="30">SUM(S52:S55)</f>
        <v>10290562.311735477</v>
      </c>
      <c r="T56" s="477">
        <f t="shared" si="30"/>
        <v>10771408.917792011</v>
      </c>
      <c r="U56" s="477">
        <f t="shared" si="30"/>
        <v>11047077.646256607</v>
      </c>
    </row>
    <row r="57" spans="1:21" s="484" customFormat="1" ht="13">
      <c r="B57" s="479" t="s">
        <v>769</v>
      </c>
      <c r="C57" s="479"/>
      <c r="D57" s="480"/>
      <c r="E57" s="481"/>
      <c r="F57" s="481"/>
      <c r="G57" s="481"/>
      <c r="H57" s="481"/>
      <c r="I57" s="481"/>
      <c r="J57" s="481">
        <f>J56/I56-1</f>
        <v>-0.10989168046680053</v>
      </c>
      <c r="K57" s="481">
        <f t="shared" ref="K57:U57" si="31">K56/J56-1</f>
        <v>-0.10498986189664694</v>
      </c>
      <c r="L57" s="481">
        <f t="shared" si="31"/>
        <v>0.41560290977224623</v>
      </c>
      <c r="M57" s="481">
        <f t="shared" si="31"/>
        <v>-0.15591784052139179</v>
      </c>
      <c r="N57" s="481">
        <f t="shared" si="31"/>
        <v>2.4950378738506362E-2</v>
      </c>
      <c r="O57" s="510">
        <f t="shared" si="31"/>
        <v>-1.8925332988202204E-3</v>
      </c>
      <c r="P57" s="481">
        <f>P56/O56-1</f>
        <v>3.2439459948370164E-3</v>
      </c>
      <c r="Q57" s="481">
        <f t="shared" si="31"/>
        <v>1.5715882097494083E-2</v>
      </c>
      <c r="R57" s="481">
        <f t="shared" si="31"/>
        <v>5.8521635022332541E-2</v>
      </c>
      <c r="S57" s="481">
        <f t="shared" si="31"/>
        <v>2.5773175621892852E-2</v>
      </c>
      <c r="T57" s="481">
        <f t="shared" si="31"/>
        <v>4.6726951500810632E-2</v>
      </c>
      <c r="U57" s="481">
        <f t="shared" si="31"/>
        <v>2.5592634219767874E-2</v>
      </c>
    </row>
    <row r="58" spans="1:21" s="484" customFormat="1" ht="13">
      <c r="B58" s="485"/>
      <c r="C58" s="485"/>
      <c r="D58" s="486"/>
      <c r="E58" s="486"/>
      <c r="F58" s="486"/>
      <c r="G58" s="486"/>
      <c r="H58" s="486"/>
      <c r="I58" s="486"/>
      <c r="J58" s="486"/>
      <c r="K58" s="486"/>
      <c r="L58" s="486"/>
      <c r="M58" s="516"/>
      <c r="N58" s="516"/>
      <c r="O58" s="501"/>
      <c r="P58" s="502"/>
      <c r="Q58" s="502"/>
      <c r="R58" s="502"/>
      <c r="S58" s="502"/>
      <c r="T58" s="502"/>
    </row>
    <row r="59" spans="1:21" s="484" customFormat="1" ht="13">
      <c r="B59" s="485"/>
      <c r="C59" s="485"/>
      <c r="D59" s="486"/>
      <c r="E59" s="486"/>
      <c r="F59" s="486"/>
      <c r="G59" s="486"/>
      <c r="H59" s="486"/>
      <c r="I59" s="486"/>
      <c r="J59" s="486"/>
      <c r="K59" s="486"/>
      <c r="L59" s="486"/>
      <c r="M59" s="486"/>
      <c r="N59" s="516"/>
      <c r="O59" s="501"/>
      <c r="P59" s="502"/>
      <c r="Q59" s="502"/>
      <c r="R59" s="502"/>
      <c r="S59" s="502"/>
      <c r="T59" s="502"/>
    </row>
    <row r="60" spans="1:21" s="484" customFormat="1" ht="13">
      <c r="B60" s="517" t="s">
        <v>775</v>
      </c>
      <c r="C60" s="518"/>
      <c r="D60" s="519"/>
      <c r="E60" s="519"/>
      <c r="F60" s="519"/>
      <c r="G60" s="519"/>
      <c r="H60" s="519"/>
      <c r="I60" s="517"/>
      <c r="J60" s="517"/>
      <c r="K60" s="520"/>
      <c r="L60" s="517"/>
      <c r="M60" s="517"/>
      <c r="N60" s="517"/>
      <c r="O60" s="521"/>
      <c r="P60" s="517"/>
      <c r="Q60" s="517"/>
      <c r="R60" s="517"/>
      <c r="S60" s="517"/>
      <c r="T60" s="517"/>
      <c r="U60" s="517"/>
    </row>
    <row r="61" spans="1:21" s="484" customFormat="1" ht="13">
      <c r="B61" s="511" t="str">
        <f>B52</f>
        <v>Beer</v>
      </c>
      <c r="C61" s="201"/>
      <c r="D61" s="469"/>
      <c r="E61" s="522"/>
      <c r="F61" s="522"/>
      <c r="G61" s="522"/>
      <c r="H61" s="522"/>
      <c r="I61" s="522">
        <f t="shared" ref="I61:U65" si="32">IFERROR(I52/I6,0)</f>
        <v>0.29211309824031773</v>
      </c>
      <c r="J61" s="522">
        <f t="shared" si="32"/>
        <v>0.33863085411943894</v>
      </c>
      <c r="K61" s="522">
        <f t="shared" si="32"/>
        <v>0.33047519175019624</v>
      </c>
      <c r="L61" s="522">
        <f t="shared" si="32"/>
        <v>0.35385816079030225</v>
      </c>
      <c r="M61" s="522">
        <f t="shared" si="32"/>
        <v>0.3405274517244074</v>
      </c>
      <c r="N61" s="523">
        <f t="shared" si="32"/>
        <v>0.33506112986947179</v>
      </c>
      <c r="O61" s="524">
        <f>IFERROR(O52/O6,0)</f>
        <v>0.38772202176088338</v>
      </c>
      <c r="P61" s="523">
        <f>IFERROR(P52/P6,0)</f>
        <v>0.37</v>
      </c>
      <c r="Q61" s="523">
        <f t="shared" si="32"/>
        <v>0.36499999999999994</v>
      </c>
      <c r="R61" s="523">
        <f t="shared" si="32"/>
        <v>0.36799999999999999</v>
      </c>
      <c r="S61" s="523">
        <f t="shared" si="32"/>
        <v>0.36799999999999999</v>
      </c>
      <c r="T61" s="523">
        <f t="shared" si="32"/>
        <v>0.37000000000000005</v>
      </c>
      <c r="U61" s="523">
        <f t="shared" si="32"/>
        <v>0.37000000000000005</v>
      </c>
    </row>
    <row r="62" spans="1:21" s="484" customFormat="1" ht="13">
      <c r="B62" s="511" t="str">
        <f t="shared" ref="B62:B63" si="33">B53</f>
        <v>Raw materials</v>
      </c>
      <c r="C62" s="201"/>
      <c r="D62" s="469"/>
      <c r="E62" s="522"/>
      <c r="F62" s="522"/>
      <c r="G62" s="522"/>
      <c r="H62" s="522"/>
      <c r="I62" s="522">
        <f t="shared" si="32"/>
        <v>1.1647814644770204E-2</v>
      </c>
      <c r="J62" s="522">
        <f t="shared" si="32"/>
        <v>3.8964368283905357E-2</v>
      </c>
      <c r="K62" s="522">
        <f t="shared" si="32"/>
        <v>5.6014342613783753E-3</v>
      </c>
      <c r="L62" s="522">
        <f t="shared" si="32"/>
        <v>1.1238696065653444E-3</v>
      </c>
      <c r="M62" s="522">
        <f t="shared" si="32"/>
        <v>-1.3731764100284288E-3</v>
      </c>
      <c r="N62" s="523">
        <f t="shared" si="32"/>
        <v>3.9923668293565346E-3</v>
      </c>
      <c r="O62" s="524">
        <f t="shared" si="32"/>
        <v>5.8476543280547022E-3</v>
      </c>
      <c r="P62" s="523">
        <f t="shared" si="32"/>
        <v>5.8476543280546857E-3</v>
      </c>
      <c r="Q62" s="523">
        <f t="shared" si="32"/>
        <v>5.8476543280546736E-3</v>
      </c>
      <c r="R62" s="523">
        <f t="shared" si="32"/>
        <v>5.8476543280546736E-3</v>
      </c>
      <c r="S62" s="523">
        <f t="shared" si="32"/>
        <v>5.8476543280546849E-3</v>
      </c>
      <c r="T62" s="523">
        <f t="shared" si="32"/>
        <v>5.8476543280546502E-3</v>
      </c>
      <c r="U62" s="523">
        <f t="shared" si="32"/>
        <v>5.8476543280547248E-3</v>
      </c>
    </row>
    <row r="63" spans="1:21" s="484" customFormat="1" ht="13">
      <c r="B63" s="511" t="str">
        <f t="shared" si="33"/>
        <v>Beverages</v>
      </c>
      <c r="C63" s="470"/>
      <c r="D63" s="469"/>
      <c r="E63" s="522"/>
      <c r="F63" s="522"/>
      <c r="G63" s="522"/>
      <c r="H63" s="522"/>
      <c r="I63" s="522">
        <f t="shared" si="32"/>
        <v>0.31423561294436475</v>
      </c>
      <c r="J63" s="522">
        <f t="shared" si="32"/>
        <v>0.29374120504720808</v>
      </c>
      <c r="K63" s="522">
        <f t="shared" si="32"/>
        <v>0.18469470352733558</v>
      </c>
      <c r="L63" s="522">
        <f t="shared" si="32"/>
        <v>0.21795126048459537</v>
      </c>
      <c r="M63" s="522">
        <f t="shared" si="32"/>
        <v>0.22949273995851405</v>
      </c>
      <c r="N63" s="523">
        <f t="shared" si="32"/>
        <v>0.28042812141159712</v>
      </c>
      <c r="O63" s="524">
        <f t="shared" si="32"/>
        <v>0.22999425341703461</v>
      </c>
      <c r="P63" s="523">
        <f t="shared" si="32"/>
        <v>0.2394665938179352</v>
      </c>
      <c r="Q63" s="523">
        <f t="shared" si="32"/>
        <v>0.24484542715127025</v>
      </c>
      <c r="R63" s="523">
        <f t="shared" si="32"/>
        <v>0.24868359894945935</v>
      </c>
      <c r="S63" s="523">
        <f t="shared" si="32"/>
        <v>0.24074746833392482</v>
      </c>
      <c r="T63" s="523">
        <f t="shared" si="32"/>
        <v>0.24343577206314734</v>
      </c>
      <c r="U63" s="523">
        <f t="shared" si="32"/>
        <v>0.24442806662445052</v>
      </c>
    </row>
    <row r="64" spans="1:21" s="484" customFormat="1" ht="13">
      <c r="B64" s="511" t="str">
        <f>B55</f>
        <v>Others</v>
      </c>
      <c r="C64" s="470"/>
      <c r="D64" s="469"/>
      <c r="E64" s="522"/>
      <c r="F64" s="522"/>
      <c r="G64" s="522"/>
      <c r="H64" s="522"/>
      <c r="I64" s="522">
        <f t="shared" si="32"/>
        <v>2.5094303072994628</v>
      </c>
      <c r="J64" s="522">
        <f t="shared" si="32"/>
        <v>-19.181867097121334</v>
      </c>
      <c r="K64" s="522">
        <f t="shared" si="32"/>
        <v>2.4124813948543484</v>
      </c>
      <c r="L64" s="522">
        <f t="shared" si="32"/>
        <v>3.6770202393263407</v>
      </c>
      <c r="M64" s="522">
        <f t="shared" si="32"/>
        <v>33.156394963552025</v>
      </c>
      <c r="N64" s="523">
        <f t="shared" si="32"/>
        <v>1.7264004916801348</v>
      </c>
      <c r="O64" s="524">
        <f t="shared" si="32"/>
        <v>1.93291343927174</v>
      </c>
      <c r="P64" s="523">
        <f t="shared" si="32"/>
        <v>1.8296569654759374</v>
      </c>
      <c r="Q64" s="523">
        <f t="shared" si="32"/>
        <v>1.8812852023738387</v>
      </c>
      <c r="R64" s="523">
        <f t="shared" si="32"/>
        <v>1.855471083924888</v>
      </c>
      <c r="S64" s="523">
        <f t="shared" si="32"/>
        <v>1.8683781431493633</v>
      </c>
      <c r="T64" s="523">
        <f t="shared" si="32"/>
        <v>1.8619246135371259</v>
      </c>
      <c r="U64" s="523">
        <f t="shared" si="32"/>
        <v>1.8651513783432447</v>
      </c>
    </row>
    <row r="65" spans="2:21" s="484" customFormat="1" ht="13">
      <c r="B65" s="475" t="s">
        <v>768</v>
      </c>
      <c r="C65" s="475"/>
      <c r="D65" s="476"/>
      <c r="E65" s="525"/>
      <c r="F65" s="525"/>
      <c r="G65" s="525"/>
      <c r="H65" s="525"/>
      <c r="I65" s="525">
        <f t="shared" si="32"/>
        <v>0.25200181745932487</v>
      </c>
      <c r="J65" s="525">
        <f t="shared" si="32"/>
        <v>0.30403057108563852</v>
      </c>
      <c r="K65" s="525">
        <f t="shared" si="32"/>
        <v>0.28849022812307362</v>
      </c>
      <c r="L65" s="525">
        <f t="shared" si="32"/>
        <v>0.30791861216262839</v>
      </c>
      <c r="M65" s="525">
        <f t="shared" si="32"/>
        <v>0.2984555814583108</v>
      </c>
      <c r="N65" s="525">
        <f>IFERROR(N56/N10,0)</f>
        <v>0.29235931495248696</v>
      </c>
      <c r="O65" s="526">
        <f>IFERROR(O56/O10,0)</f>
        <v>0.3592588852863885</v>
      </c>
      <c r="P65" s="525">
        <f>IFERROR(P56/P10,0)</f>
        <v>0.34541087166023449</v>
      </c>
      <c r="Q65" s="525">
        <f t="shared" si="32"/>
        <v>0.3421276113933121</v>
      </c>
      <c r="R65" s="525">
        <f t="shared" si="32"/>
        <v>0.34630804839959822</v>
      </c>
      <c r="S65" s="525">
        <f t="shared" si="32"/>
        <v>0.34667448209587876</v>
      </c>
      <c r="T65" s="525">
        <f t="shared" si="32"/>
        <v>0.34895507564276401</v>
      </c>
      <c r="U65" s="526">
        <f t="shared" si="32"/>
        <v>0.34922114115140607</v>
      </c>
    </row>
    <row r="66" spans="2:21" s="484" customFormat="1" ht="13">
      <c r="B66" s="479" t="s">
        <v>769</v>
      </c>
      <c r="C66" s="479"/>
      <c r="D66" s="480"/>
      <c r="E66" s="480"/>
      <c r="F66" s="480"/>
      <c r="G66" s="480"/>
      <c r="H66" s="480"/>
      <c r="I66" s="480"/>
      <c r="J66" s="480"/>
      <c r="K66" s="480"/>
      <c r="L66" s="480"/>
      <c r="M66" s="481"/>
      <c r="N66" s="481"/>
      <c r="O66" s="510"/>
      <c r="P66" s="481"/>
      <c r="Q66" s="481"/>
      <c r="R66" s="481"/>
      <c r="S66" s="481"/>
      <c r="T66" s="481"/>
    </row>
    <row r="67" spans="2:21" s="484" customFormat="1" ht="13">
      <c r="B67" s="485"/>
      <c r="C67" s="485"/>
      <c r="D67" s="486"/>
      <c r="E67" s="486"/>
      <c r="F67" s="486"/>
      <c r="G67" s="486"/>
      <c r="H67" s="486"/>
      <c r="I67" s="486"/>
      <c r="J67" s="486"/>
      <c r="K67" s="486"/>
      <c r="L67" s="486"/>
      <c r="M67" s="486"/>
      <c r="N67" s="527"/>
      <c r="O67" s="528"/>
      <c r="P67" s="529"/>
      <c r="Q67" s="502"/>
      <c r="R67" s="502"/>
      <c r="S67" s="502"/>
      <c r="T67" s="502"/>
    </row>
    <row r="68" spans="2:21" s="484" customFormat="1" ht="13" outlineLevel="1">
      <c r="B68" s="485"/>
      <c r="C68" s="485"/>
      <c r="D68" s="486"/>
      <c r="E68" s="486"/>
      <c r="F68" s="486"/>
      <c r="G68" s="486"/>
      <c r="H68" s="486"/>
      <c r="I68" s="486"/>
      <c r="J68" s="486"/>
      <c r="K68" s="486"/>
      <c r="L68" s="486"/>
      <c r="M68" s="486"/>
      <c r="N68" s="527"/>
      <c r="O68" s="528"/>
      <c r="P68" s="529"/>
      <c r="Q68" s="502"/>
      <c r="R68" s="502"/>
      <c r="S68" s="502"/>
      <c r="T68" s="502"/>
    </row>
    <row r="69" spans="2:21" s="484" customFormat="1" ht="13" outlineLevel="1">
      <c r="B69" s="517" t="s">
        <v>776</v>
      </c>
      <c r="C69" s="518"/>
      <c r="D69" s="519"/>
      <c r="E69" s="519"/>
      <c r="F69" s="519"/>
      <c r="G69" s="519"/>
      <c r="H69" s="519"/>
      <c r="I69" s="517"/>
      <c r="J69" s="517"/>
      <c r="K69" s="520"/>
      <c r="L69" s="517"/>
      <c r="M69" s="517"/>
      <c r="N69" s="517"/>
      <c r="O69" s="521"/>
      <c r="P69" s="517"/>
      <c r="Q69" s="517"/>
      <c r="R69" s="517"/>
      <c r="S69" s="517"/>
      <c r="T69" s="517"/>
      <c r="U69" s="517"/>
    </row>
    <row r="70" spans="2:21" s="484" customFormat="1" ht="13" outlineLevel="1">
      <c r="B70" s="511" t="str">
        <f>B61</f>
        <v>Beer</v>
      </c>
      <c r="C70" s="201"/>
      <c r="D70" s="205"/>
      <c r="E70" s="523"/>
      <c r="F70" s="523"/>
      <c r="G70" s="523"/>
      <c r="H70" s="523"/>
      <c r="I70" s="523">
        <f t="shared" ref="I70:U73" si="34">I52/I$56</f>
        <v>1.0005774486965888</v>
      </c>
      <c r="J70" s="523">
        <f t="shared" si="34"/>
        <v>0.98889907973053359</v>
      </c>
      <c r="K70" s="523">
        <f t="shared" si="34"/>
        <v>1.009341179575447</v>
      </c>
      <c r="L70" s="523">
        <f t="shared" si="34"/>
        <v>1.0053324242011508</v>
      </c>
      <c r="M70" s="523">
        <f t="shared" si="34"/>
        <v>1.0084442765195325</v>
      </c>
      <c r="N70" s="523">
        <f t="shared" si="34"/>
        <v>1.0097857976402733</v>
      </c>
      <c r="O70" s="524">
        <f t="shared" si="34"/>
        <v>1.0164987861487524</v>
      </c>
      <c r="P70" s="523">
        <f t="shared" si="34"/>
        <v>1.0076887039268478</v>
      </c>
      <c r="Q70" s="523">
        <f t="shared" si="34"/>
        <v>1.0032554342447797</v>
      </c>
      <c r="R70" s="523">
        <f t="shared" si="34"/>
        <v>0.9987714905720918</v>
      </c>
      <c r="S70" s="523">
        <f t="shared" si="34"/>
        <v>0.99811603512124403</v>
      </c>
      <c r="T70" s="523">
        <f t="shared" si="34"/>
        <v>0.99725895091034744</v>
      </c>
      <c r="U70" s="523">
        <f t="shared" si="34"/>
        <v>0.99677992652113467</v>
      </c>
    </row>
    <row r="71" spans="2:21" s="484" customFormat="1" ht="13" outlineLevel="1">
      <c r="B71" s="511" t="str">
        <f t="shared" ref="B71:B72" si="35">B62</f>
        <v>Raw materials</v>
      </c>
      <c r="C71" s="201"/>
      <c r="D71" s="205"/>
      <c r="E71" s="523"/>
      <c r="F71" s="523"/>
      <c r="G71" s="523"/>
      <c r="H71" s="523"/>
      <c r="I71" s="523">
        <v>0</v>
      </c>
      <c r="J71" s="523">
        <f t="shared" ref="I71:R73" si="36">J53/J$56</f>
        <v>1.3570248639675563E-2</v>
      </c>
      <c r="K71" s="523">
        <f t="shared" si="36"/>
        <v>2.2420776156564545E-3</v>
      </c>
      <c r="L71" s="523">
        <f t="shared" si="36"/>
        <v>4.4184641106794159E-4</v>
      </c>
      <c r="M71" s="523">
        <f t="shared" si="36"/>
        <v>-5.1642410133131826E-4</v>
      </c>
      <c r="N71" s="523">
        <f t="shared" si="36"/>
        <v>1.591616748216769E-3</v>
      </c>
      <c r="O71" s="524">
        <f t="shared" si="36"/>
        <v>9.2263231806504614E-4</v>
      </c>
      <c r="P71" s="523">
        <f t="shared" si="36"/>
        <v>9.5367604026226919E-4</v>
      </c>
      <c r="Q71" s="523">
        <f t="shared" si="36"/>
        <v>9.576984845986121E-4</v>
      </c>
      <c r="R71" s="523">
        <f t="shared" si="36"/>
        <v>9.4094101719663283E-4</v>
      </c>
      <c r="S71" s="523">
        <f t="shared" si="34"/>
        <v>9.3564528723291695E-4</v>
      </c>
      <c r="T71" s="523">
        <f t="shared" si="34"/>
        <v>9.251628334376688E-4</v>
      </c>
      <c r="U71" s="523">
        <f t="shared" si="34"/>
        <v>9.2011785051902188E-4</v>
      </c>
    </row>
    <row r="72" spans="2:21" s="484" customFormat="1" ht="13" outlineLevel="1">
      <c r="B72" s="511" t="str">
        <f t="shared" si="35"/>
        <v>Beverages</v>
      </c>
      <c r="C72" s="470"/>
      <c r="D72" s="205"/>
      <c r="E72" s="523"/>
      <c r="F72" s="523"/>
      <c r="G72" s="523"/>
      <c r="H72" s="523"/>
      <c r="I72" s="523">
        <f t="shared" si="36"/>
        <v>8.2557887268612171E-3</v>
      </c>
      <c r="J72" s="523">
        <f t="shared" si="36"/>
        <v>5.9177068559504728E-3</v>
      </c>
      <c r="K72" s="523">
        <f t="shared" si="36"/>
        <v>3.3287472754400041E-3</v>
      </c>
      <c r="L72" s="523">
        <f t="shared" si="36"/>
        <v>3.4692231552773071E-3</v>
      </c>
      <c r="M72" s="523">
        <f t="shared" si="36"/>
        <v>3.0788555953918913E-3</v>
      </c>
      <c r="N72" s="523">
        <f t="shared" si="36"/>
        <v>4.9009475866471182E-3</v>
      </c>
      <c r="O72" s="524">
        <f t="shared" si="36"/>
        <v>3.3995791437572112E-3</v>
      </c>
      <c r="P72" s="523">
        <f t="shared" si="36"/>
        <v>3.6525151627466992E-3</v>
      </c>
      <c r="Q72" s="523">
        <f t="shared" si="36"/>
        <v>3.5763770342339377E-3</v>
      </c>
      <c r="R72" s="523">
        <f t="shared" si="36"/>
        <v>3.5854793911344073E-3</v>
      </c>
      <c r="S72" s="523">
        <f t="shared" si="34"/>
        <v>3.2520141546722543E-3</v>
      </c>
      <c r="T72" s="523">
        <f t="shared" si="34"/>
        <v>3.1415334506936583E-3</v>
      </c>
      <c r="U72" s="523">
        <f t="shared" si="34"/>
        <v>3.0756256291373505E-3</v>
      </c>
    </row>
    <row r="73" spans="2:21" s="484" customFormat="1" ht="13" outlineLevel="1">
      <c r="B73" s="511" t="str">
        <f>B64</f>
        <v>Others</v>
      </c>
      <c r="C73" s="470"/>
      <c r="D73" s="205"/>
      <c r="E73" s="523"/>
      <c r="F73" s="523"/>
      <c r="G73" s="523"/>
      <c r="H73" s="523"/>
      <c r="I73" s="523">
        <v>0</v>
      </c>
      <c r="J73" s="523">
        <f t="shared" si="36"/>
        <v>-8.3870352261596354E-3</v>
      </c>
      <c r="K73" s="523">
        <f t="shared" si="36"/>
        <v>-1.4912004466543506E-2</v>
      </c>
      <c r="L73" s="523">
        <f t="shared" si="36"/>
        <v>-9.2434937674959437E-3</v>
      </c>
      <c r="M73" s="523">
        <f t="shared" si="36"/>
        <v>-1.1006708013593118E-2</v>
      </c>
      <c r="N73" s="523">
        <f t="shared" si="36"/>
        <v>-1.6278361975137254E-2</v>
      </c>
      <c r="O73" s="524">
        <f t="shared" si="36"/>
        <v>-2.0820997610574758E-2</v>
      </c>
      <c r="P73" s="523">
        <f t="shared" si="36"/>
        <v>-1.2294895129856574E-2</v>
      </c>
      <c r="Q73" s="523">
        <f t="shared" si="36"/>
        <v>-7.7895097636122949E-3</v>
      </c>
      <c r="R73" s="523">
        <f t="shared" si="36"/>
        <v>-3.2979109804228148E-3</v>
      </c>
      <c r="S73" s="523">
        <f t="shared" si="34"/>
        <v>-2.3036945631492571E-3</v>
      </c>
      <c r="T73" s="523">
        <f t="shared" si="34"/>
        <v>-1.3256471944788184E-3</v>
      </c>
      <c r="U73" s="523">
        <f t="shared" si="34"/>
        <v>-7.7567000079095162E-4</v>
      </c>
    </row>
    <row r="74" spans="2:21" s="484" customFormat="1" ht="13" outlineLevel="1">
      <c r="B74" s="475" t="s">
        <v>768</v>
      </c>
      <c r="C74" s="475"/>
      <c r="D74" s="477"/>
      <c r="E74" s="530"/>
      <c r="F74" s="530"/>
      <c r="G74" s="530"/>
      <c r="H74" s="530"/>
      <c r="I74" s="530">
        <f t="shared" ref="I74:U74" si="37">SUM(I70:I73)</f>
        <v>1.0088332374234501</v>
      </c>
      <c r="J74" s="530">
        <f t="shared" si="37"/>
        <v>0.99999999999999978</v>
      </c>
      <c r="K74" s="530">
        <f t="shared" si="37"/>
        <v>0.99999999999999989</v>
      </c>
      <c r="L74" s="530">
        <f t="shared" si="37"/>
        <v>1.0000000000000002</v>
      </c>
      <c r="M74" s="530">
        <f t="shared" si="37"/>
        <v>0.99999999999999978</v>
      </c>
      <c r="N74" s="530">
        <f t="shared" si="37"/>
        <v>1</v>
      </c>
      <c r="O74" s="531">
        <f t="shared" si="37"/>
        <v>0.99999999999999989</v>
      </c>
      <c r="P74" s="530">
        <f t="shared" si="37"/>
        <v>1.0000000000000002</v>
      </c>
      <c r="Q74" s="530">
        <f t="shared" si="37"/>
        <v>1</v>
      </c>
      <c r="R74" s="530">
        <f t="shared" si="37"/>
        <v>1.0000000000000002</v>
      </c>
      <c r="S74" s="530">
        <f t="shared" si="37"/>
        <v>0.99999999999999989</v>
      </c>
      <c r="T74" s="530">
        <f t="shared" si="37"/>
        <v>0.99999999999999989</v>
      </c>
      <c r="U74" s="530">
        <f t="shared" si="37"/>
        <v>1</v>
      </c>
    </row>
    <row r="75" spans="2:21" s="484" customFormat="1" ht="13" outlineLevel="1">
      <c r="B75" s="479" t="s">
        <v>769</v>
      </c>
      <c r="C75" s="479"/>
      <c r="D75" s="480"/>
      <c r="E75" s="480"/>
      <c r="F75" s="480"/>
      <c r="G75" s="480"/>
      <c r="H75" s="480"/>
      <c r="I75" s="480"/>
      <c r="J75" s="480"/>
      <c r="K75" s="480"/>
      <c r="L75" s="480"/>
      <c r="M75" s="481"/>
      <c r="N75" s="481"/>
      <c r="O75" s="510"/>
      <c r="P75" s="481"/>
      <c r="Q75" s="481"/>
      <c r="R75" s="481"/>
      <c r="S75" s="481"/>
      <c r="T75" s="481"/>
    </row>
    <row r="76" spans="2:21" s="484" customFormat="1" ht="13">
      <c r="B76" s="479"/>
      <c r="C76" s="479"/>
      <c r="D76" s="480"/>
      <c r="E76" s="480"/>
      <c r="F76" s="480"/>
      <c r="G76" s="480"/>
      <c r="H76" s="480"/>
      <c r="I76" s="480"/>
      <c r="J76" s="480"/>
      <c r="K76" s="480"/>
      <c r="L76" s="480"/>
      <c r="M76" s="481"/>
      <c r="N76" s="481"/>
      <c r="O76" s="510"/>
      <c r="P76" s="481"/>
      <c r="Q76" s="481"/>
      <c r="R76" s="481"/>
      <c r="S76" s="481"/>
      <c r="T76" s="481"/>
    </row>
    <row r="77" spans="2:21" s="484" customFormat="1" ht="13">
      <c r="B77" s="479"/>
      <c r="C77" s="479"/>
      <c r="D77" s="480"/>
      <c r="E77" s="480"/>
      <c r="F77" s="480"/>
      <c r="G77" s="480"/>
      <c r="H77" s="480"/>
      <c r="I77" s="480"/>
      <c r="J77" s="480"/>
      <c r="K77" s="480"/>
      <c r="L77" s="480"/>
      <c r="M77" s="481"/>
      <c r="N77" s="481"/>
      <c r="O77" s="510"/>
      <c r="P77" s="481"/>
      <c r="Q77" s="481"/>
      <c r="R77" s="481"/>
      <c r="S77" s="481"/>
      <c r="T77" s="481"/>
    </row>
    <row r="78" spans="2:21">
      <c r="B78" s="169" t="s">
        <v>777</v>
      </c>
      <c r="O78" s="40"/>
    </row>
    <row r="79" spans="2:21">
      <c r="B79" s="532"/>
      <c r="C79" s="532"/>
      <c r="D79" s="533">
        <f>D4</f>
        <v>2014</v>
      </c>
      <c r="E79" s="533">
        <f>D79+1</f>
        <v>2015</v>
      </c>
      <c r="F79" s="533">
        <f t="shared" ref="F79:M79" si="38">E79+1</f>
        <v>2016</v>
      </c>
      <c r="G79" s="533">
        <f t="shared" si="38"/>
        <v>2017</v>
      </c>
      <c r="H79" s="533">
        <f t="shared" si="38"/>
        <v>2018</v>
      </c>
      <c r="I79" s="533">
        <f t="shared" si="38"/>
        <v>2019</v>
      </c>
      <c r="J79" s="533">
        <f t="shared" si="38"/>
        <v>2020</v>
      </c>
      <c r="K79" s="533">
        <f t="shared" si="38"/>
        <v>2021</v>
      </c>
      <c r="L79" s="533">
        <f t="shared" si="38"/>
        <v>2022</v>
      </c>
      <c r="M79" s="533">
        <f t="shared" si="38"/>
        <v>2023</v>
      </c>
      <c r="N79" s="533">
        <f>N4</f>
        <v>2024</v>
      </c>
      <c r="O79" s="574">
        <f>O4</f>
        <v>2025</v>
      </c>
      <c r="P79" s="534" t="s">
        <v>645</v>
      </c>
      <c r="Q79" s="534" t="s">
        <v>646</v>
      </c>
      <c r="R79" s="534" t="s">
        <v>647</v>
      </c>
      <c r="S79" s="534" t="s">
        <v>648</v>
      </c>
      <c r="T79" s="534" t="s">
        <v>759</v>
      </c>
      <c r="U79" s="534" t="s">
        <v>803</v>
      </c>
    </row>
    <row r="80" spans="2:21">
      <c r="B80" s="535"/>
      <c r="C80" s="535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536"/>
      <c r="P80" s="174" t="str" cm="1">
        <f t="array" ref="P80:T80">Q79:U79</f>
        <v>2027F</v>
      </c>
      <c r="Q80" s="174" t="str">
        <v>2028F</v>
      </c>
      <c r="R80" s="174" t="str">
        <v>2029F</v>
      </c>
      <c r="S80" s="174" t="str">
        <v>2030F</v>
      </c>
      <c r="T80" s="174" t="str">
        <v>2031F</v>
      </c>
      <c r="U80" s="174"/>
    </row>
    <row r="81" spans="1:21">
      <c r="A81" t="s">
        <v>778</v>
      </c>
      <c r="B81" t="s">
        <v>779</v>
      </c>
      <c r="C81" t="s">
        <v>780</v>
      </c>
      <c r="D81" s="117"/>
      <c r="E81" s="117"/>
      <c r="F81" s="117"/>
      <c r="G81" s="117"/>
      <c r="H81" s="537">
        <f t="shared" ref="H81:M81" si="39">H6</f>
        <v>30790775</v>
      </c>
      <c r="I81" s="537">
        <f t="shared" si="39"/>
        <v>32713860</v>
      </c>
      <c r="J81" s="537">
        <f t="shared" si="39"/>
        <v>24825638</v>
      </c>
      <c r="K81" s="537">
        <f t="shared" si="39"/>
        <v>23238177</v>
      </c>
      <c r="L81" s="537">
        <f t="shared" si="39"/>
        <v>30600241</v>
      </c>
      <c r="M81" s="537">
        <f t="shared" si="39"/>
        <v>26923336</v>
      </c>
      <c r="N81" s="537">
        <f>N6</f>
        <v>28082589</v>
      </c>
      <c r="O81" s="538">
        <f>O6</f>
        <v>24383477</v>
      </c>
      <c r="P81" s="117">
        <f>P84*P87</f>
        <v>25412093.977244996</v>
      </c>
      <c r="Q81" s="117">
        <f>Q84*Q87</f>
        <v>26049937.536073841</v>
      </c>
      <c r="R81" s="117">
        <f>R84*R87</f>
        <v>27227394.712704375</v>
      </c>
      <c r="S81" s="117">
        <f t="shared" ref="S81:U81" si="40">S84*S87</f>
        <v>27910802.319993254</v>
      </c>
      <c r="T81" s="117">
        <f t="shared" si="40"/>
        <v>29032118.803198975</v>
      </c>
      <c r="U81" s="117">
        <f t="shared" si="40"/>
        <v>29760824.985159267</v>
      </c>
    </row>
    <row r="82" spans="1:21" ht="14.5">
      <c r="B82" s="112" t="s">
        <v>769</v>
      </c>
      <c r="C82" s="112"/>
      <c r="D82" s="112"/>
      <c r="E82" s="541"/>
      <c r="F82" s="541"/>
      <c r="G82" s="541"/>
      <c r="H82" s="539"/>
      <c r="I82" s="539">
        <f t="shared" ref="I82:U82" si="41">IFERROR(I81/H81-1,0)</f>
        <v>6.2456531217548017E-2</v>
      </c>
      <c r="J82" s="539">
        <f t="shared" si="41"/>
        <v>-0.24112782777697284</v>
      </c>
      <c r="K82" s="539">
        <f t="shared" si="41"/>
        <v>-6.3944419071928826E-2</v>
      </c>
      <c r="L82" s="539">
        <f t="shared" si="41"/>
        <v>0.31680901647319404</v>
      </c>
      <c r="M82" s="539">
        <f t="shared" si="41"/>
        <v>-0.12015934776461401</v>
      </c>
      <c r="N82" s="539">
        <f>IFERROR(N81/M81-1,0)</f>
        <v>4.305755423473534E-2</v>
      </c>
      <c r="O82" s="540">
        <f>IFERROR(O81/N81-1,0)</f>
        <v>-0.13172261289726528</v>
      </c>
      <c r="P82" s="541">
        <f>IFERROR(P81/O81-1,0)</f>
        <v>4.2184999999999917E-2</v>
      </c>
      <c r="Q82" s="541">
        <f t="shared" si="41"/>
        <v>2.50999999999999E-2</v>
      </c>
      <c r="R82" s="541">
        <f t="shared" si="41"/>
        <v>4.5199999999999907E-2</v>
      </c>
      <c r="S82" s="541">
        <f t="shared" si="41"/>
        <v>2.50999999999999E-2</v>
      </c>
      <c r="T82" s="541">
        <f t="shared" si="41"/>
        <v>4.0174999999999628E-2</v>
      </c>
      <c r="U82" s="541">
        <f t="shared" si="41"/>
        <v>2.50999999999999E-2</v>
      </c>
    </row>
    <row r="83" spans="1:21">
      <c r="E83" s="542"/>
      <c r="F83" s="542"/>
      <c r="G83" s="542"/>
      <c r="H83" s="542" t="str">
        <f>H86</f>
        <v>WC</v>
      </c>
      <c r="I83" s="542"/>
      <c r="J83" s="542" t="s">
        <v>781</v>
      </c>
      <c r="K83" s="542"/>
      <c r="L83" s="542" t="str">
        <f>L86</f>
        <v>WC</v>
      </c>
      <c r="M83" s="542"/>
      <c r="N83" s="1139" t="str">
        <f>N86</f>
        <v>Euro</v>
      </c>
      <c r="O83" s="40"/>
      <c r="P83" s="542" t="str">
        <f>P86</f>
        <v>WC</v>
      </c>
      <c r="Q83" s="542"/>
      <c r="R83" s="542" t="str">
        <f>R86</f>
        <v>Euro</v>
      </c>
      <c r="S83" s="542"/>
      <c r="T83" s="542" t="str">
        <f>T86</f>
        <v>WC</v>
      </c>
    </row>
    <row r="84" spans="1:21">
      <c r="A84" t="s">
        <v>782</v>
      </c>
      <c r="B84" t="s">
        <v>783</v>
      </c>
      <c r="C84" t="s">
        <v>784</v>
      </c>
      <c r="D84" s="159"/>
      <c r="E84" s="159"/>
      <c r="F84" s="159"/>
      <c r="G84" s="159"/>
      <c r="H84" s="543">
        <v>1790</v>
      </c>
      <c r="I84" s="544">
        <f t="shared" ref="I84:N84" si="42">H101*H96/100</f>
        <v>1792.0078000000001</v>
      </c>
      <c r="J84" s="544">
        <f t="shared" si="42"/>
        <v>1858.4841000000004</v>
      </c>
      <c r="K84" s="544">
        <f t="shared" si="42"/>
        <v>1514.4415999999997</v>
      </c>
      <c r="L84" s="544">
        <f t="shared" si="42"/>
        <v>1404.0364000000002</v>
      </c>
      <c r="M84" s="544">
        <f t="shared" si="42"/>
        <v>1663.914</v>
      </c>
      <c r="N84" s="544">
        <f t="shared" si="42"/>
        <v>1438.8624000000002</v>
      </c>
      <c r="O84" s="545">
        <f>N101*N96/100</f>
        <v>1472.2752000000003</v>
      </c>
      <c r="P84" s="546">
        <f>O84*(1+P85)</f>
        <v>1526.7493824000001</v>
      </c>
      <c r="Q84" s="546">
        <f t="shared" ref="Q84:U84" si="43">P84*(1+Q85)</f>
        <v>1557.284370048</v>
      </c>
      <c r="R84" s="546">
        <f t="shared" si="43"/>
        <v>1619.5757448499201</v>
      </c>
      <c r="S84" s="546">
        <f t="shared" si="43"/>
        <v>1651.9672597469184</v>
      </c>
      <c r="T84" s="546">
        <f t="shared" si="43"/>
        <v>1709.7861138380604</v>
      </c>
      <c r="U84" s="546">
        <f t="shared" si="43"/>
        <v>1743.9818361148216</v>
      </c>
    </row>
    <row r="85" spans="1:21" ht="14.5">
      <c r="B85" s="112" t="s">
        <v>769</v>
      </c>
      <c r="C85" s="112"/>
      <c r="E85" s="541"/>
      <c r="F85" s="541"/>
      <c r="G85" s="541"/>
      <c r="H85" s="539"/>
      <c r="I85" s="539">
        <f t="shared" ref="I85:O85" si="44">IFERROR(I84/H84-1,0)</f>
        <v>1.1216759776537799E-3</v>
      </c>
      <c r="J85" s="539">
        <f t="shared" si="44"/>
        <v>3.7095988086659037E-2</v>
      </c>
      <c r="K85" s="539">
        <f t="shared" si="44"/>
        <v>-0.18511995878791787</v>
      </c>
      <c r="L85" s="539">
        <f t="shared" si="44"/>
        <v>-7.2901589602398342E-2</v>
      </c>
      <c r="M85" s="539">
        <f t="shared" si="44"/>
        <v>0.1850932069852318</v>
      </c>
      <c r="N85" s="539">
        <f t="shared" si="44"/>
        <v>-0.13525434607798226</v>
      </c>
      <c r="O85" s="540">
        <f t="shared" si="44"/>
        <v>2.322167845931622E-2</v>
      </c>
      <c r="P85" s="547">
        <v>3.6999999999999998E-2</v>
      </c>
      <c r="Q85" s="547">
        <v>0.02</v>
      </c>
      <c r="R85" s="547">
        <v>0.04</v>
      </c>
      <c r="S85" s="547">
        <v>0.02</v>
      </c>
      <c r="T85" s="547">
        <v>3.5000000000000003E-2</v>
      </c>
      <c r="U85" s="547">
        <v>0.02</v>
      </c>
    </row>
    <row r="86" spans="1:21">
      <c r="E86" s="542"/>
      <c r="G86" s="542"/>
      <c r="H86" s="542" t="s">
        <v>785</v>
      </c>
      <c r="J86" s="542" t="s">
        <v>781</v>
      </c>
      <c r="L86" s="542" t="s">
        <v>785</v>
      </c>
      <c r="N86" s="1139" t="s">
        <v>781</v>
      </c>
      <c r="O86" s="40"/>
      <c r="P86" s="542" t="s">
        <v>785</v>
      </c>
      <c r="R86" s="542" t="s">
        <v>781</v>
      </c>
      <c r="T86" s="542" t="s">
        <v>785</v>
      </c>
    </row>
    <row r="87" spans="1:21">
      <c r="A87" t="s">
        <v>786</v>
      </c>
      <c r="B87" t="s">
        <v>787</v>
      </c>
      <c r="C87" t="s">
        <v>788</v>
      </c>
      <c r="D87" s="117"/>
      <c r="E87" s="117"/>
      <c r="F87" s="592"/>
      <c r="G87" s="592"/>
      <c r="H87" s="548">
        <f>IFERROR(H81/H84,0)</f>
        <v>17201.550279329607</v>
      </c>
      <c r="I87" s="548">
        <f t="shared" ref="I87:J87" si="45">IFERROR(I81/I84,0)</f>
        <v>18255.422772155343</v>
      </c>
      <c r="J87" s="548">
        <f t="shared" si="45"/>
        <v>13358.00397754277</v>
      </c>
      <c r="K87" s="549">
        <f t="shared" ref="K87:M87" si="46">IFERROR(K81/K84,0)</f>
        <v>15344.386340153364</v>
      </c>
      <c r="L87" s="549">
        <f>IFERROR(L81/L84,0)</f>
        <v>21794.478405260714</v>
      </c>
      <c r="M87" s="549">
        <f t="shared" si="46"/>
        <v>16180.725686543896</v>
      </c>
      <c r="N87" s="549">
        <f>IFERROR(N81/N84,0)</f>
        <v>19517.21651771566</v>
      </c>
      <c r="O87" s="550">
        <f>IFERROR(O81/O84,0)</f>
        <v>16561.76576227053</v>
      </c>
      <c r="P87" s="549">
        <f>O87*(1+P88)</f>
        <v>16644.57459108188</v>
      </c>
      <c r="Q87" s="549">
        <f t="shared" ref="Q87:U87" si="47">P87*(1+Q88)</f>
        <v>16727.797464037289</v>
      </c>
      <c r="R87" s="549">
        <f t="shared" si="47"/>
        <v>16811.436451357473</v>
      </c>
      <c r="S87" s="549">
        <f t="shared" si="47"/>
        <v>16895.49363361426</v>
      </c>
      <c r="T87" s="549">
        <f t="shared" si="47"/>
        <v>16979.971101782328</v>
      </c>
      <c r="U87" s="549">
        <f t="shared" si="47"/>
        <v>17064.870957291238</v>
      </c>
    </row>
    <row r="88" spans="1:21" ht="14.5">
      <c r="B88" s="112" t="s">
        <v>769</v>
      </c>
      <c r="C88" s="112"/>
      <c r="E88" s="541"/>
      <c r="F88" s="541"/>
      <c r="G88" s="541"/>
      <c r="H88" s="539"/>
      <c r="I88" s="539">
        <f t="shared" ref="I88:L88" si="48">IFERROR(I87/H87-1,0)</f>
        <v>6.126613448859497E-2</v>
      </c>
      <c r="J88" s="539">
        <f t="shared" si="48"/>
        <v>-0.26827200091375125</v>
      </c>
      <c r="K88" s="539">
        <f t="shared" si="48"/>
        <v>0.14870353130228597</v>
      </c>
      <c r="L88" s="539">
        <f t="shared" si="48"/>
        <v>0.42035516586470956</v>
      </c>
      <c r="M88" s="539">
        <f>IFERROR(M87/L87-1,0)</f>
        <v>-0.25757683273400933</v>
      </c>
      <c r="N88" s="539">
        <f t="shared" ref="N88:O88" si="49">IFERROR(N87/M87-1,0)</f>
        <v>0.20620155707518317</v>
      </c>
      <c r="O88" s="540">
        <f t="shared" si="49"/>
        <v>-0.15142788177619926</v>
      </c>
      <c r="P88" s="551">
        <v>5.0000000000000001E-3</v>
      </c>
      <c r="Q88" s="551">
        <v>5.0000000000000001E-3</v>
      </c>
      <c r="R88" s="551">
        <v>5.0000000000000001E-3</v>
      </c>
      <c r="S88" s="551">
        <v>5.0000000000000001E-3</v>
      </c>
      <c r="T88" s="551">
        <v>5.0000000000000001E-3</v>
      </c>
      <c r="U88" s="551">
        <v>5.0000000000000001E-3</v>
      </c>
    </row>
    <row r="89" spans="1:21" ht="14.5">
      <c r="B89" s="112"/>
      <c r="C89" s="112"/>
      <c r="O89" s="40"/>
    </row>
    <row r="90" spans="1:21">
      <c r="B90" t="s">
        <v>789</v>
      </c>
      <c r="D90" s="117"/>
      <c r="E90" s="117"/>
      <c r="F90" s="117"/>
      <c r="G90" s="117"/>
      <c r="H90" s="537">
        <f t="shared" ref="H90:O90" si="50">H29</f>
        <v>22632123</v>
      </c>
      <c r="I90" s="537">
        <f t="shared" si="50"/>
        <v>23157713</v>
      </c>
      <c r="J90" s="537">
        <f t="shared" si="50"/>
        <v>16418911</v>
      </c>
      <c r="K90" s="537">
        <f t="shared" si="50"/>
        <v>15558536</v>
      </c>
      <c r="L90" s="537">
        <f t="shared" si="50"/>
        <v>19772096</v>
      </c>
      <c r="M90" s="537">
        <f t="shared" si="50"/>
        <v>17755201</v>
      </c>
      <c r="N90" s="537">
        <f t="shared" si="50"/>
        <v>18673205</v>
      </c>
      <c r="O90" s="538">
        <f t="shared" si="50"/>
        <v>14929466</v>
      </c>
      <c r="P90" s="596">
        <f>P81*(1-P94)</f>
        <v>16009619.205664348</v>
      </c>
      <c r="Q90" s="596">
        <f t="shared" ref="Q90:U90" si="51">Q81*(1-Q94)</f>
        <v>16541710.33540689</v>
      </c>
      <c r="R90" s="596">
        <f t="shared" si="51"/>
        <v>17207713.458429165</v>
      </c>
      <c r="S90" s="596">
        <f t="shared" si="51"/>
        <v>17639627.066235736</v>
      </c>
      <c r="T90" s="596">
        <f t="shared" si="51"/>
        <v>18290234.846015353</v>
      </c>
      <c r="U90" s="596">
        <f t="shared" si="51"/>
        <v>18749319.740650337</v>
      </c>
    </row>
    <row r="91" spans="1:21" ht="14.5">
      <c r="B91" s="112" t="s">
        <v>769</v>
      </c>
      <c r="C91" s="112"/>
      <c r="E91" s="541"/>
      <c r="F91" s="541"/>
      <c r="G91" s="541"/>
      <c r="H91" s="539"/>
      <c r="I91" s="539">
        <f t="shared" ref="I91:U91" si="52">IFERROR(I90/H90-1,0)</f>
        <v>2.3223185911458666E-2</v>
      </c>
      <c r="J91" s="539">
        <f t="shared" si="52"/>
        <v>-0.29099600638456824</v>
      </c>
      <c r="K91" s="539">
        <f t="shared" si="52"/>
        <v>-5.2401465602682218E-2</v>
      </c>
      <c r="L91" s="539">
        <f t="shared" si="52"/>
        <v>0.27081982520720449</v>
      </c>
      <c r="M91" s="539">
        <f t="shared" si="52"/>
        <v>-0.10200714178203463</v>
      </c>
      <c r="N91" s="539">
        <f t="shared" si="52"/>
        <v>5.1703385391131285E-2</v>
      </c>
      <c r="O91" s="553">
        <f>IFERROR(O90/N90-1,0)</f>
        <v>-0.20048722219886728</v>
      </c>
      <c r="P91" s="541">
        <f>IFERROR(P90/O90-1,0)</f>
        <v>7.2350424701348892E-2</v>
      </c>
      <c r="Q91" s="541">
        <f t="shared" si="52"/>
        <v>3.3235714285714257E-2</v>
      </c>
      <c r="R91" s="541">
        <f t="shared" si="52"/>
        <v>4.0262047244094212E-2</v>
      </c>
      <c r="S91" s="541">
        <f t="shared" si="52"/>
        <v>2.50999999999999E-2</v>
      </c>
      <c r="T91" s="541">
        <f t="shared" si="52"/>
        <v>3.6883306962024909E-2</v>
      </c>
      <c r="U91" s="541">
        <f t="shared" si="52"/>
        <v>2.50999999999999E-2</v>
      </c>
    </row>
    <row r="92" spans="1:21">
      <c r="O92" s="40"/>
    </row>
    <row r="93" spans="1:21">
      <c r="B93" t="s">
        <v>774</v>
      </c>
      <c r="D93" s="117"/>
      <c r="E93" s="117"/>
      <c r="F93" s="117"/>
      <c r="G93" s="117"/>
      <c r="H93" s="537">
        <f t="shared" ref="H93:U93" si="53">H81-H90</f>
        <v>8158652</v>
      </c>
      <c r="I93" s="537">
        <f t="shared" si="53"/>
        <v>9556147</v>
      </c>
      <c r="J93" s="537">
        <f t="shared" si="53"/>
        <v>8406727</v>
      </c>
      <c r="K93" s="537">
        <f>K81-K90</f>
        <v>7679641</v>
      </c>
      <c r="L93" s="537">
        <f t="shared" si="53"/>
        <v>10828145</v>
      </c>
      <c r="M93" s="537">
        <f t="shared" si="53"/>
        <v>9168135</v>
      </c>
      <c r="N93" s="537">
        <f>N81-N90</f>
        <v>9409384</v>
      </c>
      <c r="O93" s="538">
        <f>O81-O90</f>
        <v>9454011</v>
      </c>
      <c r="P93" s="117">
        <f t="shared" si="53"/>
        <v>9402474.7715806477</v>
      </c>
      <c r="Q93" s="117">
        <f t="shared" si="53"/>
        <v>9508227.200666951</v>
      </c>
      <c r="R93" s="117">
        <f t="shared" si="53"/>
        <v>10019681.25427521</v>
      </c>
      <c r="S93" s="117">
        <f t="shared" si="53"/>
        <v>10271175.253757518</v>
      </c>
      <c r="T93" s="117">
        <f t="shared" si="53"/>
        <v>10741883.957183622</v>
      </c>
      <c r="U93" s="117">
        <f t="shared" si="53"/>
        <v>11011505.24450893</v>
      </c>
    </row>
    <row r="94" spans="1:21" ht="14.5">
      <c r="A94" t="s">
        <v>790</v>
      </c>
      <c r="B94" t="s">
        <v>791</v>
      </c>
      <c r="D94" s="541"/>
      <c r="E94" s="541"/>
      <c r="F94" s="541"/>
      <c r="G94" s="541"/>
      <c r="H94" s="539">
        <f>H93/H81</f>
        <v>0.26497066085540233</v>
      </c>
      <c r="I94" s="539">
        <f t="shared" ref="I94:O94" si="54">I93/I81</f>
        <v>0.29211309824031773</v>
      </c>
      <c r="J94" s="539">
        <f t="shared" si="54"/>
        <v>0.33863085411943894</v>
      </c>
      <c r="K94" s="539">
        <f t="shared" si="54"/>
        <v>0.33047519175019624</v>
      </c>
      <c r="L94" s="539">
        <f t="shared" si="54"/>
        <v>0.35385816079030225</v>
      </c>
      <c r="M94" s="554">
        <f t="shared" si="54"/>
        <v>0.3405274517244074</v>
      </c>
      <c r="N94" s="554">
        <f t="shared" si="54"/>
        <v>0.33506112986947179</v>
      </c>
      <c r="O94" s="555">
        <f t="shared" si="54"/>
        <v>0.38772202176088338</v>
      </c>
      <c r="P94" s="556">
        <v>0.37</v>
      </c>
      <c r="Q94" s="556">
        <v>0.36499999999999999</v>
      </c>
      <c r="R94" s="556">
        <v>0.36799999999999999</v>
      </c>
      <c r="S94" s="556">
        <v>0.36799999999999999</v>
      </c>
      <c r="T94" s="556">
        <v>0.37</v>
      </c>
      <c r="U94" s="556">
        <v>0.37</v>
      </c>
    </row>
    <row r="95" spans="1:21">
      <c r="O95" s="40"/>
    </row>
    <row r="96" spans="1:21" ht="14.5">
      <c r="B96" t="s">
        <v>792</v>
      </c>
      <c r="G96" s="112"/>
      <c r="H96" s="557">
        <v>41.8</v>
      </c>
      <c r="I96" s="557">
        <v>40.700000000000003</v>
      </c>
      <c r="J96" s="557">
        <v>38.799999999999997</v>
      </c>
      <c r="K96" s="557">
        <v>38.6</v>
      </c>
      <c r="L96" s="557">
        <v>34.6</v>
      </c>
      <c r="M96" s="557">
        <v>34.200000000000003</v>
      </c>
      <c r="N96" s="557">
        <v>35.200000000000003</v>
      </c>
      <c r="O96" s="558">
        <v>34.200000000000003</v>
      </c>
      <c r="P96" s="593">
        <f>O96</f>
        <v>34.200000000000003</v>
      </c>
      <c r="Q96" s="559">
        <f t="shared" ref="Q96:U96" si="55">P96</f>
        <v>34.200000000000003</v>
      </c>
      <c r="R96" s="559">
        <f t="shared" si="55"/>
        <v>34.200000000000003</v>
      </c>
      <c r="S96" s="559">
        <f t="shared" si="55"/>
        <v>34.200000000000003</v>
      </c>
      <c r="T96" s="559">
        <f t="shared" si="55"/>
        <v>34.200000000000003</v>
      </c>
      <c r="U96" s="560">
        <f t="shared" si="55"/>
        <v>34.200000000000003</v>
      </c>
    </row>
    <row r="97" spans="2:22">
      <c r="O97" s="40"/>
    </row>
    <row r="98" spans="2:22">
      <c r="H98" s="546"/>
      <c r="I98" s="546"/>
      <c r="J98" s="546"/>
      <c r="K98" s="546"/>
      <c r="L98" s="546"/>
      <c r="M98" s="546"/>
      <c r="O98" s="40"/>
    </row>
    <row r="99" spans="2:22">
      <c r="B99" s="561" t="s">
        <v>793</v>
      </c>
      <c r="O99" s="40"/>
    </row>
    <row r="100" spans="2:22">
      <c r="O100" s="40"/>
    </row>
    <row r="101" spans="2:22" ht="15" customHeight="1">
      <c r="B101" s="562" t="s">
        <v>794</v>
      </c>
      <c r="H101" s="563">
        <v>4287.1000000000004</v>
      </c>
      <c r="I101" s="563">
        <v>4566.3</v>
      </c>
      <c r="J101" s="563">
        <v>3903.2</v>
      </c>
      <c r="K101" s="563">
        <v>3637.4</v>
      </c>
      <c r="L101" s="563">
        <v>4809</v>
      </c>
      <c r="M101" s="563">
        <v>4207.2</v>
      </c>
      <c r="N101" s="563">
        <v>4182.6000000000004</v>
      </c>
      <c r="O101" s="564">
        <v>4150</v>
      </c>
      <c r="P101" s="565">
        <v>4175.3999999999996</v>
      </c>
      <c r="Q101" s="565">
        <v>4221.8999999999996</v>
      </c>
      <c r="R101" s="565">
        <v>4283</v>
      </c>
      <c r="S101" s="565">
        <v>4319.5</v>
      </c>
      <c r="T101" s="565">
        <v>4392.2</v>
      </c>
      <c r="U101" s="566">
        <v>4452.2</v>
      </c>
    </row>
    <row r="102" spans="2:22" s="112" customFormat="1" ht="15" customHeight="1">
      <c r="B102" s="112" t="s">
        <v>769</v>
      </c>
      <c r="J102" s="541">
        <f>J101/I101-1</f>
        <v>-0.14521603924402693</v>
      </c>
      <c r="K102" s="541">
        <f>K101/J101-1</f>
        <v>-6.8097970895675264E-2</v>
      </c>
      <c r="L102" s="541">
        <f>L101/K101-1</f>
        <v>0.32209820201242634</v>
      </c>
      <c r="M102" s="541">
        <f t="shared" ref="M102" si="56">M101/L101-1</f>
        <v>-0.12514036182158461</v>
      </c>
      <c r="N102" s="541">
        <f>N101/M101-1</f>
        <v>-5.847119224187014E-3</v>
      </c>
      <c r="O102" s="553">
        <f>O101/N101-1</f>
        <v>-7.7941949983264536E-3</v>
      </c>
      <c r="P102" s="541">
        <f>P101/O101-1</f>
        <v>6.1204819277107525E-3</v>
      </c>
      <c r="Q102" s="541">
        <f>Q101/P101-1</f>
        <v>1.1136657565742114E-2</v>
      </c>
      <c r="R102" s="541">
        <f t="shared" ref="R102:U102" si="57">R101/Q101-1</f>
        <v>1.447215708567251E-2</v>
      </c>
      <c r="S102" s="541">
        <f t="shared" si="57"/>
        <v>8.5220639738501358E-3</v>
      </c>
      <c r="T102" s="541">
        <f t="shared" si="57"/>
        <v>1.6830651695798116E-2</v>
      </c>
      <c r="U102" s="541">
        <f t="shared" si="57"/>
        <v>1.3660580119302379E-2</v>
      </c>
    </row>
    <row r="103" spans="2:22" ht="14.5">
      <c r="B103" s="112" t="s">
        <v>795</v>
      </c>
      <c r="O103" s="40"/>
    </row>
    <row r="104" spans="2:22">
      <c r="O104" s="40"/>
    </row>
    <row r="105" spans="2:22">
      <c r="B105" s="348" t="s">
        <v>796</v>
      </c>
      <c r="C105" s="348"/>
      <c r="D105" s="348"/>
      <c r="E105" s="348"/>
      <c r="F105" s="348"/>
      <c r="G105" s="348"/>
      <c r="H105" s="348"/>
      <c r="I105" s="348"/>
      <c r="J105" s="567">
        <v>3644.1</v>
      </c>
      <c r="K105" s="567">
        <v>3757.1</v>
      </c>
      <c r="L105" s="567">
        <v>3937.4</v>
      </c>
      <c r="M105" s="567">
        <v>4114.6000000000004</v>
      </c>
      <c r="N105" s="567">
        <v>4287.3999999999996</v>
      </c>
      <c r="O105" s="597">
        <v>4467.3</v>
      </c>
      <c r="P105" s="567">
        <v>4645</v>
      </c>
      <c r="Q105" s="567">
        <v>4816.3</v>
      </c>
      <c r="R105" s="567">
        <f ca="1">Q105*(1+R106)</f>
        <v>4975.2431180931753</v>
      </c>
      <c r="S105" s="567">
        <f ca="1">R105*(1+S106)</f>
        <v>5157.1005083972232</v>
      </c>
      <c r="T105" s="567">
        <f ca="1">S105*(1+T106)</f>
        <v>5340.0605280021418</v>
      </c>
      <c r="U105" s="567">
        <f ca="1">T105*(1+U106)</f>
        <v>5527.0175599734921</v>
      </c>
    </row>
    <row r="106" spans="2:22" s="112" customFormat="1" ht="14.5">
      <c r="B106" s="568" t="s">
        <v>769</v>
      </c>
      <c r="C106" s="568"/>
      <c r="D106" s="568"/>
      <c r="E106" s="568"/>
      <c r="F106" s="568"/>
      <c r="G106" s="568"/>
      <c r="H106" s="568"/>
      <c r="I106" s="568"/>
      <c r="J106" s="568"/>
      <c r="K106" s="569">
        <f t="shared" ref="K106:P106" si="58">K105/J105-1</f>
        <v>3.1009028292308116E-2</v>
      </c>
      <c r="L106" s="569">
        <f t="shared" si="58"/>
        <v>4.7989140560538823E-2</v>
      </c>
      <c r="M106" s="569">
        <f t="shared" si="58"/>
        <v>4.5004317569970143E-2</v>
      </c>
      <c r="N106" s="569">
        <f t="shared" si="58"/>
        <v>4.1996791911728781E-2</v>
      </c>
      <c r="O106" s="570">
        <f t="shared" si="58"/>
        <v>4.1960162336147855E-2</v>
      </c>
      <c r="P106" s="569">
        <f t="shared" si="58"/>
        <v>3.9777941933606398E-2</v>
      </c>
      <c r="Q106" s="569">
        <f t="shared" ref="Q106:R106" si="59">Q105/P105-1</f>
        <v>3.6878363832077543E-2</v>
      </c>
      <c r="R106" s="569">
        <f t="shared" ca="1" si="59"/>
        <v>3.3001083423618738E-2</v>
      </c>
      <c r="S106" s="569">
        <f ca="1">AVERAGE(P106:R106)</f>
        <v>3.6552463063100893E-2</v>
      </c>
      <c r="T106" s="569">
        <f ca="1">AVERAGE(Q106:S106)</f>
        <v>3.547730343959906E-2</v>
      </c>
      <c r="U106" s="569">
        <f ca="1">AVERAGE(R106:T106)</f>
        <v>3.5010283308772899E-2</v>
      </c>
      <c r="V106" s="541"/>
    </row>
    <row r="107" spans="2:22">
      <c r="B107" s="348" t="s">
        <v>797</v>
      </c>
      <c r="C107" s="348"/>
      <c r="D107" s="348"/>
      <c r="E107" s="348"/>
      <c r="F107" s="348"/>
      <c r="G107" s="348"/>
      <c r="H107" s="348"/>
      <c r="I107" s="348"/>
      <c r="J107" s="348">
        <v>61.2</v>
      </c>
      <c r="K107" s="348">
        <v>62.7</v>
      </c>
      <c r="L107" s="348">
        <v>65.3</v>
      </c>
      <c r="M107" s="348">
        <v>68</v>
      </c>
      <c r="N107" s="348">
        <v>70.599999999999994</v>
      </c>
      <c r="O107" s="571">
        <v>71.8</v>
      </c>
      <c r="P107" s="348">
        <v>73</v>
      </c>
      <c r="Q107" s="348">
        <v>75.400000000000006</v>
      </c>
      <c r="R107" s="348">
        <v>77.599999999999994</v>
      </c>
      <c r="S107" s="348"/>
      <c r="T107" s="348"/>
      <c r="U107" s="348"/>
    </row>
    <row r="108" spans="2:22">
      <c r="B108" s="348"/>
      <c r="C108" s="348"/>
      <c r="D108" s="348"/>
      <c r="E108" s="348"/>
      <c r="F108" s="348"/>
      <c r="G108" s="348"/>
      <c r="H108" s="348"/>
      <c r="I108" s="348"/>
      <c r="J108" s="348"/>
      <c r="K108" s="348"/>
      <c r="L108" s="348"/>
      <c r="M108" s="348"/>
      <c r="N108" s="348"/>
      <c r="O108" s="571"/>
      <c r="P108" s="348"/>
      <c r="Q108" s="348"/>
      <c r="R108" s="348"/>
      <c r="S108" s="348"/>
      <c r="T108" s="348"/>
      <c r="U108" s="348"/>
    </row>
    <row r="109" spans="2:22">
      <c r="B109" s="348" t="s">
        <v>798</v>
      </c>
      <c r="C109" s="348"/>
      <c r="D109" s="348"/>
      <c r="E109" s="348"/>
      <c r="F109" s="348"/>
      <c r="G109" s="348"/>
      <c r="H109" s="348"/>
      <c r="I109" s="348"/>
      <c r="J109" s="572">
        <f t="shared" ref="J109:Q109" si="60">J105/J101</f>
        <v>0.93361856937897114</v>
      </c>
      <c r="K109" s="572">
        <f t="shared" si="60"/>
        <v>1.032908121185462</v>
      </c>
      <c r="L109" s="572">
        <f t="shared" si="60"/>
        <v>0.81875649823248076</v>
      </c>
      <c r="M109" s="572">
        <f t="shared" si="60"/>
        <v>0.97799011218862919</v>
      </c>
      <c r="N109" s="572">
        <f t="shared" si="60"/>
        <v>1.0250561851479938</v>
      </c>
      <c r="O109" s="573">
        <f t="shared" si="60"/>
        <v>1.0764578313253013</v>
      </c>
      <c r="P109" s="572">
        <f t="shared" si="60"/>
        <v>1.112468266513388</v>
      </c>
      <c r="Q109" s="572">
        <f t="shared" si="60"/>
        <v>1.1407896918449041</v>
      </c>
      <c r="R109" s="572">
        <f t="shared" ref="R109:U109" ca="1" si="61">R105/R101</f>
        <v>1.1616257572013018</v>
      </c>
      <c r="S109" s="572">
        <f t="shared" ca="1" si="61"/>
        <v>1.1939114500282957</v>
      </c>
      <c r="T109" s="572">
        <f t="shared" ca="1" si="61"/>
        <v>1.2158054114116257</v>
      </c>
      <c r="U109" s="572">
        <f t="shared" ca="1" si="61"/>
        <v>1.241412685857215</v>
      </c>
    </row>
    <row r="110" spans="2:22">
      <c r="B110" s="348"/>
      <c r="C110" s="348"/>
      <c r="D110" s="348"/>
      <c r="E110" s="348"/>
      <c r="F110" s="348"/>
      <c r="G110" s="348"/>
      <c r="H110" s="348"/>
      <c r="I110" s="348"/>
      <c r="J110" s="348"/>
      <c r="K110" s="572">
        <f t="shared" ref="K110:P110" si="62">K109-J109</f>
        <v>9.9289551806490906E-2</v>
      </c>
      <c r="L110" s="572">
        <f t="shared" si="62"/>
        <v>-0.21415162295298129</v>
      </c>
      <c r="M110" s="572">
        <f t="shared" si="62"/>
        <v>0.15923361395614843</v>
      </c>
      <c r="N110" s="572">
        <f t="shared" si="62"/>
        <v>4.7066072959364602E-2</v>
      </c>
      <c r="O110" s="573">
        <f t="shared" si="62"/>
        <v>5.140164617730747E-2</v>
      </c>
      <c r="P110" s="572">
        <f t="shared" si="62"/>
        <v>3.6010435188086776E-2</v>
      </c>
      <c r="Q110" s="572">
        <f t="shared" ref="Q110:U110" si="63">Q109-P109</f>
        <v>2.8321425331516048E-2</v>
      </c>
      <c r="R110" s="572">
        <f t="shared" ca="1" si="63"/>
        <v>2.0836065356397704E-2</v>
      </c>
      <c r="S110" s="572">
        <f t="shared" ca="1" si="63"/>
        <v>3.2285692826993895E-2</v>
      </c>
      <c r="T110" s="572">
        <f t="shared" ca="1" si="63"/>
        <v>2.1893961383329996E-2</v>
      </c>
      <c r="U110" s="572">
        <f t="shared" ca="1" si="63"/>
        <v>2.5607274445589301E-2</v>
      </c>
    </row>
    <row r="111" spans="2:22"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571"/>
      <c r="P111" s="348"/>
      <c r="Q111" s="348"/>
      <c r="R111" s="348"/>
      <c r="S111" s="348"/>
      <c r="T111" s="348"/>
      <c r="U111" s="348"/>
    </row>
    <row r="112" spans="2:22">
      <c r="O112" s="40"/>
    </row>
    <row r="113" spans="2:21">
      <c r="B113" s="169" t="s">
        <v>799</v>
      </c>
      <c r="O113" s="40"/>
    </row>
    <row r="114" spans="2:21">
      <c r="O114" s="40"/>
    </row>
    <row r="115" spans="2:21">
      <c r="B115" s="532"/>
      <c r="C115" s="532"/>
      <c r="D115" s="533">
        <f>D4</f>
        <v>2014</v>
      </c>
      <c r="E115" s="533">
        <f>D115+1</f>
        <v>2015</v>
      </c>
      <c r="F115" s="533">
        <f t="shared" ref="F115:U115" si="64">E115+1</f>
        <v>2016</v>
      </c>
      <c r="G115" s="533">
        <f t="shared" si="64"/>
        <v>2017</v>
      </c>
      <c r="H115" s="533">
        <f t="shared" si="64"/>
        <v>2018</v>
      </c>
      <c r="I115" s="533">
        <f t="shared" si="64"/>
        <v>2019</v>
      </c>
      <c r="J115" s="533">
        <f t="shared" si="64"/>
        <v>2020</v>
      </c>
      <c r="K115" s="533">
        <f t="shared" si="64"/>
        <v>2021</v>
      </c>
      <c r="L115" s="533">
        <f t="shared" si="64"/>
        <v>2022</v>
      </c>
      <c r="M115" s="533">
        <f t="shared" si="64"/>
        <v>2023</v>
      </c>
      <c r="N115" s="533">
        <f t="shared" si="64"/>
        <v>2024</v>
      </c>
      <c r="O115" s="574">
        <f t="shared" si="64"/>
        <v>2025</v>
      </c>
      <c r="P115" s="533">
        <f t="shared" si="64"/>
        <v>2026</v>
      </c>
      <c r="Q115" s="533">
        <f t="shared" si="64"/>
        <v>2027</v>
      </c>
      <c r="R115" s="533">
        <f t="shared" si="64"/>
        <v>2028</v>
      </c>
      <c r="S115" s="533">
        <f t="shared" si="64"/>
        <v>2029</v>
      </c>
      <c r="T115" s="533">
        <f t="shared" si="64"/>
        <v>2030</v>
      </c>
      <c r="U115" s="533">
        <f t="shared" si="64"/>
        <v>2031</v>
      </c>
    </row>
    <row r="116" spans="2:21">
      <c r="B116" s="535"/>
      <c r="C116" s="535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536"/>
      <c r="P116" s="174"/>
      <c r="Q116" s="174"/>
      <c r="R116" s="174"/>
      <c r="S116" s="174"/>
      <c r="T116" s="174"/>
      <c r="U116" s="174"/>
    </row>
    <row r="117" spans="2:21">
      <c r="B117" t="s">
        <v>764</v>
      </c>
      <c r="C117" t="s">
        <v>780</v>
      </c>
      <c r="D117" s="117"/>
      <c r="E117" s="117"/>
      <c r="F117" s="117"/>
      <c r="G117" s="117"/>
      <c r="H117" s="537">
        <f t="shared" ref="H117:O117" si="65">H7</f>
        <v>4816209</v>
      </c>
      <c r="I117" s="537">
        <f t="shared" si="65"/>
        <v>4991065</v>
      </c>
      <c r="J117" s="537">
        <f t="shared" si="65"/>
        <v>2960705</v>
      </c>
      <c r="K117" s="537">
        <f t="shared" si="65"/>
        <v>3045470</v>
      </c>
      <c r="L117" s="537">
        <f t="shared" si="65"/>
        <v>4234477</v>
      </c>
      <c r="M117" s="537">
        <f t="shared" si="65"/>
        <v>3419080</v>
      </c>
      <c r="N117" s="537">
        <f t="shared" si="65"/>
        <v>3714839</v>
      </c>
      <c r="O117" s="538">
        <f t="shared" si="65"/>
        <v>1467426</v>
      </c>
      <c r="P117" s="117">
        <f>O117*(1+P118)</f>
        <v>1521720.7619999999</v>
      </c>
      <c r="Q117" s="117">
        <f t="shared" ref="Q117:U117" si="66">P117*(1+Q118)</f>
        <v>1552155.1772399999</v>
      </c>
      <c r="R117" s="117">
        <f t="shared" si="66"/>
        <v>1614241.3843296</v>
      </c>
      <c r="S117" s="117">
        <f t="shared" si="66"/>
        <v>1646526.212016192</v>
      </c>
      <c r="T117" s="117">
        <f t="shared" si="66"/>
        <v>1704154.6294367586</v>
      </c>
      <c r="U117" s="117">
        <f t="shared" si="66"/>
        <v>1738237.7220254939</v>
      </c>
    </row>
    <row r="118" spans="2:21" ht="14.5">
      <c r="B118" s="112" t="s">
        <v>769</v>
      </c>
      <c r="C118" s="112"/>
      <c r="D118" s="112"/>
      <c r="E118" s="541"/>
      <c r="F118" s="541"/>
      <c r="G118" s="541"/>
      <c r="H118" s="539">
        <f t="shared" ref="H118:I118" si="67">IFERROR(H117/G117-1,0)</f>
        <v>0</v>
      </c>
      <c r="I118" s="539">
        <f t="shared" si="67"/>
        <v>3.6305733409825125E-2</v>
      </c>
      <c r="J118" s="539">
        <f>IFERROR(J117/I117-1,0)</f>
        <v>-0.40679894972315522</v>
      </c>
      <c r="K118" s="539">
        <f t="shared" ref="K118:O118" si="68">IFERROR(K117/J117-1,0)</f>
        <v>2.8630005353454724E-2</v>
      </c>
      <c r="L118" s="539">
        <f t="shared" si="68"/>
        <v>0.39041822772839652</v>
      </c>
      <c r="M118" s="539">
        <f t="shared" si="68"/>
        <v>-0.19256144265277619</v>
      </c>
      <c r="N118" s="539">
        <f t="shared" si="68"/>
        <v>8.6502509446985787E-2</v>
      </c>
      <c r="O118" s="540">
        <f t="shared" si="68"/>
        <v>-0.60498261162866007</v>
      </c>
      <c r="P118" s="575">
        <f>P85</f>
        <v>3.6999999999999998E-2</v>
      </c>
      <c r="Q118" s="575">
        <f>Q85</f>
        <v>0.02</v>
      </c>
      <c r="R118" s="575">
        <f t="shared" ref="R118:U118" si="69">R85</f>
        <v>0.04</v>
      </c>
      <c r="S118" s="575">
        <f t="shared" si="69"/>
        <v>0.02</v>
      </c>
      <c r="T118" s="575">
        <f t="shared" si="69"/>
        <v>3.5000000000000003E-2</v>
      </c>
      <c r="U118" s="575">
        <f t="shared" si="69"/>
        <v>0.02</v>
      </c>
    </row>
    <row r="119" spans="2:21">
      <c r="O119" s="40"/>
    </row>
    <row r="120" spans="2:21">
      <c r="B120" t="s">
        <v>789</v>
      </c>
      <c r="D120" s="117"/>
      <c r="E120" s="117"/>
      <c r="F120" s="117"/>
      <c r="G120" s="117"/>
      <c r="H120" s="537">
        <f t="shared" ref="H120:O120" si="70">H30</f>
        <v>4851969</v>
      </c>
      <c r="I120" s="537">
        <f t="shared" si="70"/>
        <v>4932930</v>
      </c>
      <c r="J120" s="537">
        <f t="shared" si="70"/>
        <v>2845343</v>
      </c>
      <c r="K120" s="537">
        <f t="shared" si="70"/>
        <v>3028411</v>
      </c>
      <c r="L120" s="537">
        <f t="shared" si="70"/>
        <v>4229718</v>
      </c>
      <c r="M120" s="537">
        <f t="shared" si="70"/>
        <v>3423775</v>
      </c>
      <c r="N120" s="537">
        <f t="shared" si="70"/>
        <v>3700008</v>
      </c>
      <c r="O120" s="538">
        <f t="shared" si="70"/>
        <v>1458845</v>
      </c>
      <c r="P120" s="596">
        <f>P117-P123</f>
        <v>1512822.2649999999</v>
      </c>
      <c r="Q120" s="552">
        <f t="shared" ref="Q120:U120" si="71">Q117-Q123</f>
        <v>1543078.7102999999</v>
      </c>
      <c r="R120" s="552">
        <f t="shared" si="71"/>
        <v>1604801.8587120001</v>
      </c>
      <c r="S120" s="552">
        <f t="shared" si="71"/>
        <v>1636897.8958862401</v>
      </c>
      <c r="T120" s="552">
        <f t="shared" si="71"/>
        <v>1694189.3222422583</v>
      </c>
      <c r="U120" s="552">
        <f t="shared" si="71"/>
        <v>1728073.1086871035</v>
      </c>
    </row>
    <row r="121" spans="2:21" ht="14.5">
      <c r="B121" s="112" t="s">
        <v>769</v>
      </c>
      <c r="C121" s="112"/>
      <c r="E121" s="541"/>
      <c r="F121" s="541"/>
      <c r="G121" s="541"/>
      <c r="H121" s="539">
        <f t="shared" ref="H121:U121" si="72">IFERROR(H120/G120-1,0)</f>
        <v>0</v>
      </c>
      <c r="I121" s="539">
        <f t="shared" si="72"/>
        <v>1.6686215431302109E-2</v>
      </c>
      <c r="J121" s="539">
        <f t="shared" si="72"/>
        <v>-0.42319412600624784</v>
      </c>
      <c r="K121" s="539">
        <f t="shared" si="72"/>
        <v>6.4339518996479494E-2</v>
      </c>
      <c r="L121" s="539">
        <f t="shared" si="72"/>
        <v>0.39667898445752581</v>
      </c>
      <c r="M121" s="539">
        <f t="shared" si="72"/>
        <v>-0.19054296291147543</v>
      </c>
      <c r="N121" s="539">
        <f t="shared" si="72"/>
        <v>8.0680827449233661E-2</v>
      </c>
      <c r="O121" s="540">
        <f t="shared" si="72"/>
        <v>-0.60571842006828092</v>
      </c>
      <c r="P121" s="575">
        <f>IFERROR(P120/O120-1,0)</f>
        <v>3.6999999999999922E-2</v>
      </c>
      <c r="Q121" s="575">
        <f t="shared" si="72"/>
        <v>2.0000000000000018E-2</v>
      </c>
      <c r="R121" s="575">
        <f t="shared" si="72"/>
        <v>4.0000000000000036E-2</v>
      </c>
      <c r="S121" s="575">
        <f t="shared" si="72"/>
        <v>2.0000000000000018E-2</v>
      </c>
      <c r="T121" s="575">
        <f t="shared" si="72"/>
        <v>3.499999999999992E-2</v>
      </c>
      <c r="U121" s="575">
        <f t="shared" si="72"/>
        <v>2.0000000000000018E-2</v>
      </c>
    </row>
    <row r="122" spans="2:21">
      <c r="O122" s="40"/>
    </row>
    <row r="123" spans="2:21">
      <c r="B123" t="s">
        <v>800</v>
      </c>
      <c r="D123" s="117"/>
      <c r="E123" s="117"/>
      <c r="F123" s="117"/>
      <c r="G123" s="117"/>
      <c r="H123" s="537">
        <f t="shared" ref="H123:O123" si="73">H117-H120</f>
        <v>-35760</v>
      </c>
      <c r="I123" s="537">
        <f t="shared" si="73"/>
        <v>58135</v>
      </c>
      <c r="J123" s="537">
        <f>J117-J120</f>
        <v>115362</v>
      </c>
      <c r="K123" s="537">
        <f t="shared" si="73"/>
        <v>17059</v>
      </c>
      <c r="L123" s="537">
        <f t="shared" si="73"/>
        <v>4759</v>
      </c>
      <c r="M123" s="537">
        <f t="shared" si="73"/>
        <v>-4695</v>
      </c>
      <c r="N123" s="537">
        <f t="shared" si="73"/>
        <v>14831</v>
      </c>
      <c r="O123" s="538">
        <f t="shared" si="73"/>
        <v>8581</v>
      </c>
      <c r="P123" s="117">
        <f t="shared" ref="P123:U123" si="74">P124*P117</f>
        <v>8898.4969999999994</v>
      </c>
      <c r="Q123" s="117">
        <f t="shared" si="74"/>
        <v>9076.4669399999984</v>
      </c>
      <c r="R123" s="117">
        <f t="shared" si="74"/>
        <v>9439.5256176000003</v>
      </c>
      <c r="S123" s="117">
        <f t="shared" si="74"/>
        <v>9628.3161299519998</v>
      </c>
      <c r="T123" s="117">
        <f t="shared" si="74"/>
        <v>9965.3071945003194</v>
      </c>
      <c r="U123" s="117">
        <f t="shared" si="74"/>
        <v>10164.613338390325</v>
      </c>
    </row>
    <row r="124" spans="2:21" ht="14.5">
      <c r="B124" t="s">
        <v>801</v>
      </c>
      <c r="D124" s="541"/>
      <c r="E124" s="541"/>
      <c r="F124" s="541"/>
      <c r="G124" s="541"/>
      <c r="H124" s="539">
        <f t="shared" ref="H124:O124" si="75">H123/H117</f>
        <v>-7.4249269498063725E-3</v>
      </c>
      <c r="I124" s="539">
        <f t="shared" si="75"/>
        <v>1.1647814644770204E-2</v>
      </c>
      <c r="J124" s="539">
        <f t="shared" si="75"/>
        <v>3.8964368283905357E-2</v>
      </c>
      <c r="K124" s="539">
        <f t="shared" si="75"/>
        <v>5.6014342613783753E-3</v>
      </c>
      <c r="L124" s="539">
        <f t="shared" si="75"/>
        <v>1.1238696065653444E-3</v>
      </c>
      <c r="M124" s="539">
        <f t="shared" si="75"/>
        <v>-1.3731764100284288E-3</v>
      </c>
      <c r="N124" s="539">
        <f t="shared" si="75"/>
        <v>3.9923668293565346E-3</v>
      </c>
      <c r="O124" s="540">
        <f t="shared" si="75"/>
        <v>5.8476543280547022E-3</v>
      </c>
      <c r="P124" s="575">
        <f>O124</f>
        <v>5.8476543280547022E-3</v>
      </c>
      <c r="Q124" s="575">
        <f t="shared" ref="Q124:U124" si="76">P124</f>
        <v>5.8476543280547022E-3</v>
      </c>
      <c r="R124" s="575">
        <f t="shared" si="76"/>
        <v>5.8476543280547022E-3</v>
      </c>
      <c r="S124" s="575">
        <f t="shared" si="76"/>
        <v>5.8476543280547022E-3</v>
      </c>
      <c r="T124" s="575">
        <f t="shared" si="76"/>
        <v>5.8476543280547022E-3</v>
      </c>
      <c r="U124" s="575">
        <f t="shared" si="76"/>
        <v>5.8476543280547022E-3</v>
      </c>
    </row>
    <row r="129" spans="2:20">
      <c r="B129" s="107"/>
    </row>
    <row r="130" spans="2:20" s="112" customFormat="1" ht="14.5">
      <c r="C130" s="576"/>
      <c r="D130" s="541"/>
      <c r="F130" s="576"/>
      <c r="N130" s="541"/>
      <c r="O130" s="541"/>
      <c r="P130" s="541"/>
      <c r="Q130" s="541"/>
      <c r="R130" s="541"/>
      <c r="S130" s="541"/>
      <c r="T130" s="541"/>
    </row>
    <row r="131" spans="2:20" s="112" customFormat="1" ht="14.5">
      <c r="C131" s="576"/>
      <c r="N131" s="541"/>
      <c r="O131" s="541"/>
      <c r="P131" s="541"/>
      <c r="Q131" s="541"/>
      <c r="R131" s="541"/>
      <c r="S131" s="541"/>
      <c r="T131" s="541"/>
    </row>
  </sheetData>
  <mergeCells count="1">
    <mergeCell ref="M3:Q3"/>
  </mergeCells>
  <phoneticPr fontId="73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51DF-86FF-44F2-9065-DB486CA1BB3C}">
  <sheetPr>
    <tabColor theme="5" tint="0.59999389629810485"/>
  </sheetPr>
  <dimension ref="B1:AL95"/>
  <sheetViews>
    <sheetView zoomScale="10" zoomScaleNormal="1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0" sqref="A1:XFD1048576"/>
    </sheetView>
  </sheetViews>
  <sheetFormatPr defaultRowHeight="14"/>
  <cols>
    <col min="2" max="2" width="44.75" bestFit="1" customWidth="1"/>
    <col min="3" max="3" width="11.5" bestFit="1" customWidth="1"/>
    <col min="4" max="7" width="13.25" customWidth="1"/>
    <col min="8" max="12" width="13.25" bestFit="1" customWidth="1"/>
    <col min="13" max="19" width="12" bestFit="1" customWidth="1"/>
    <col min="20" max="20" width="12" style="169" bestFit="1" customWidth="1"/>
    <col min="24" max="32" width="9.08203125" bestFit="1" customWidth="1"/>
  </cols>
  <sheetData>
    <row r="1" spans="2:32">
      <c r="N1" s="39"/>
      <c r="U1" s="169" t="s">
        <v>804</v>
      </c>
    </row>
    <row r="2" spans="2:32">
      <c r="B2" s="41" t="s">
        <v>805</v>
      </c>
      <c r="C2" s="606">
        <v>2014</v>
      </c>
      <c r="D2" s="606">
        <f>C2+1</f>
        <v>2015</v>
      </c>
      <c r="E2" s="606">
        <f t="shared" ref="E2:Q2" si="0">D2+1</f>
        <v>2016</v>
      </c>
      <c r="F2" s="606">
        <f t="shared" si="0"/>
        <v>2017</v>
      </c>
      <c r="G2" s="606">
        <f t="shared" si="0"/>
        <v>2018</v>
      </c>
      <c r="H2" s="606">
        <f t="shared" si="0"/>
        <v>2019</v>
      </c>
      <c r="I2" s="606">
        <f t="shared" si="0"/>
        <v>2020</v>
      </c>
      <c r="J2" s="606">
        <f t="shared" si="0"/>
        <v>2021</v>
      </c>
      <c r="K2" s="606">
        <f t="shared" si="0"/>
        <v>2022</v>
      </c>
      <c r="L2" s="607">
        <f t="shared" si="0"/>
        <v>2023</v>
      </c>
      <c r="M2" s="606">
        <f t="shared" si="0"/>
        <v>2024</v>
      </c>
      <c r="N2" s="606">
        <f t="shared" si="0"/>
        <v>2025</v>
      </c>
      <c r="O2" s="606">
        <f t="shared" si="0"/>
        <v>2026</v>
      </c>
      <c r="P2" s="606">
        <f t="shared" si="0"/>
        <v>2027</v>
      </c>
      <c r="Q2" s="606">
        <f t="shared" si="0"/>
        <v>2028</v>
      </c>
      <c r="R2" s="608">
        <f>Q2+1</f>
        <v>2029</v>
      </c>
      <c r="S2" s="606">
        <f t="shared" ref="S2" si="1">R2+1</f>
        <v>2030</v>
      </c>
      <c r="T2" s="608">
        <f>S2+1</f>
        <v>2031</v>
      </c>
      <c r="X2" s="607">
        <v>2023</v>
      </c>
      <c r="Y2" s="606">
        <v>2024</v>
      </c>
      <c r="Z2" s="607">
        <v>2025</v>
      </c>
      <c r="AA2" s="606">
        <v>2026</v>
      </c>
      <c r="AB2" s="607">
        <v>2027</v>
      </c>
      <c r="AC2" s="606">
        <v>2028</v>
      </c>
      <c r="AD2" s="607">
        <v>2029</v>
      </c>
      <c r="AE2" s="606">
        <v>2030</v>
      </c>
      <c r="AF2" s="607">
        <v>2031</v>
      </c>
    </row>
    <row r="3" spans="2:32" s="107" customFormat="1">
      <c r="B3" s="609" t="s">
        <v>425</v>
      </c>
      <c r="C3" s="117">
        <f>'1BS'!D7</f>
        <v>5719665</v>
      </c>
      <c r="D3" s="117">
        <f>'1BS'!E7</f>
        <v>942767</v>
      </c>
      <c r="E3" s="117">
        <f>'1BS'!F7</f>
        <v>3174321</v>
      </c>
      <c r="F3" s="117">
        <f>'1BS'!G7</f>
        <v>6558801</v>
      </c>
      <c r="G3" s="117">
        <f>'1BS'!H7</f>
        <v>7544188</v>
      </c>
      <c r="H3" s="117">
        <f>'1BS'!I7</f>
        <v>12393227</v>
      </c>
      <c r="I3" s="117">
        <f>'1BS'!J7</f>
        <v>14547419</v>
      </c>
      <c r="J3" s="117">
        <f>'1BS'!K7</f>
        <v>16991239</v>
      </c>
      <c r="K3" s="117">
        <f>'1BS'!L7</f>
        <v>19411470</v>
      </c>
      <c r="L3" s="117">
        <f>'1BS'!M7</f>
        <v>17741052</v>
      </c>
      <c r="M3" s="117">
        <f>'1BS'!N7</f>
        <v>16566239</v>
      </c>
      <c r="N3" s="117">
        <f>'1BS'!O7</f>
        <v>14985489</v>
      </c>
      <c r="O3" s="610">
        <f>SUM(O4:O6)</f>
        <v>14838768.970646594</v>
      </c>
      <c r="P3" s="610">
        <f t="shared" ref="P3:T3" si="2">SUM(P4:P6)</f>
        <v>14108561.572038809</v>
      </c>
      <c r="Q3" s="610">
        <f t="shared" si="2"/>
        <v>13884886.791609878</v>
      </c>
      <c r="R3" s="610">
        <f t="shared" si="2"/>
        <v>13930853.435541186</v>
      </c>
      <c r="S3" s="610">
        <f t="shared" si="2"/>
        <v>13869148.309500905</v>
      </c>
      <c r="T3" s="611">
        <f t="shared" si="2"/>
        <v>14213259.25771231</v>
      </c>
    </row>
    <row r="4" spans="2:32">
      <c r="B4" s="47" t="s">
        <v>426</v>
      </c>
      <c r="C4" s="117">
        <f>'1BS'!D8</f>
        <v>0</v>
      </c>
      <c r="D4" s="117">
        <f>'1BS'!E8</f>
        <v>0</v>
      </c>
      <c r="E4" s="117">
        <f>'1BS'!F8</f>
        <v>0</v>
      </c>
      <c r="F4" s="117">
        <f>'1BS'!G8</f>
        <v>0</v>
      </c>
      <c r="G4" s="117">
        <f>'1BS'!H8</f>
        <v>0</v>
      </c>
      <c r="H4" s="117">
        <f>'1BS'!I8</f>
        <v>0</v>
      </c>
      <c r="I4" s="117">
        <f>'1BS'!J8</f>
        <v>0</v>
      </c>
      <c r="J4" s="117">
        <f>'1BS'!K8</f>
        <v>0</v>
      </c>
      <c r="K4" s="117">
        <f>'1BS'!L8</f>
        <v>0</v>
      </c>
      <c r="L4" s="117">
        <f>'1BS'!M8</f>
        <v>0</v>
      </c>
      <c r="M4" s="117">
        <f>'1BS'!N8</f>
        <v>0</v>
      </c>
      <c r="N4" s="117">
        <f>'1BS'!O8</f>
        <v>0</v>
      </c>
      <c r="O4" s="612">
        <v>0</v>
      </c>
      <c r="P4" s="612">
        <v>0</v>
      </c>
      <c r="Q4" s="612">
        <v>0</v>
      </c>
      <c r="R4" s="612">
        <v>0</v>
      </c>
      <c r="S4" s="612">
        <v>0</v>
      </c>
      <c r="T4" s="613">
        <v>0</v>
      </c>
    </row>
    <row r="5" spans="2:32">
      <c r="B5" s="47" t="s">
        <v>427</v>
      </c>
      <c r="C5" s="117">
        <f>'1BS'!D9</f>
        <v>0</v>
      </c>
      <c r="D5" s="117">
        <f>'1BS'!E9</f>
        <v>0</v>
      </c>
      <c r="E5" s="117">
        <f>'1BS'!F9</f>
        <v>0</v>
      </c>
      <c r="F5" s="117">
        <f>'1BS'!G9</f>
        <v>0</v>
      </c>
      <c r="G5" s="117">
        <f>'1BS'!H9</f>
        <v>0</v>
      </c>
      <c r="H5" s="117">
        <f>'1BS'!I9</f>
        <v>0</v>
      </c>
      <c r="I5" s="117">
        <f>'1BS'!J9</f>
        <v>0</v>
      </c>
      <c r="J5" s="117">
        <f>'1BS'!K9</f>
        <v>0</v>
      </c>
      <c r="K5" s="117">
        <f>'1BS'!L9</f>
        <v>0</v>
      </c>
      <c r="L5" s="117">
        <f>'1BS'!M9</f>
        <v>0</v>
      </c>
      <c r="M5" s="117">
        <f>'1BS'!N9</f>
        <v>0</v>
      </c>
      <c r="N5" s="117">
        <f>'1BS'!O9</f>
        <v>0</v>
      </c>
      <c r="O5" s="612">
        <v>0</v>
      </c>
      <c r="P5" s="612">
        <v>0</v>
      </c>
      <c r="Q5" s="612">
        <v>0</v>
      </c>
      <c r="R5" s="612">
        <v>0</v>
      </c>
      <c r="S5" s="612">
        <v>0</v>
      </c>
      <c r="T5" s="613">
        <v>0</v>
      </c>
    </row>
    <row r="6" spans="2:32">
      <c r="B6" s="47" t="s">
        <v>428</v>
      </c>
      <c r="C6" s="117">
        <f>'1BS'!D10</f>
        <v>5719665</v>
      </c>
      <c r="D6" s="117">
        <f>'1BS'!E10</f>
        <v>942767</v>
      </c>
      <c r="E6" s="117">
        <f>'1BS'!F10</f>
        <v>3174321</v>
      </c>
      <c r="F6" s="117">
        <f>'1BS'!G10</f>
        <v>6558801</v>
      </c>
      <c r="G6" s="117">
        <f>'1BS'!H10</f>
        <v>7544188</v>
      </c>
      <c r="H6" s="117">
        <f>'1BS'!I10</f>
        <v>12393227</v>
      </c>
      <c r="I6" s="117">
        <f>'1BS'!J10</f>
        <v>14547419</v>
      </c>
      <c r="J6" s="117">
        <f>'1BS'!K10</f>
        <v>16991239</v>
      </c>
      <c r="K6" s="117">
        <f>'1BS'!L10</f>
        <v>19411470</v>
      </c>
      <c r="L6" s="117">
        <f>'1BS'!M10</f>
        <v>17741052</v>
      </c>
      <c r="M6" s="117">
        <f>'1BS'!N10</f>
        <v>16566239</v>
      </c>
      <c r="N6" s="117">
        <f>'1BS'!O10</f>
        <v>14985489</v>
      </c>
      <c r="O6" s="614">
        <f>O47*O$40</f>
        <v>14838768.970646594</v>
      </c>
      <c r="P6" s="614">
        <f>P47*P$40</f>
        <v>14108561.572038809</v>
      </c>
      <c r="Q6" s="614">
        <f t="shared" ref="Q6:S6" si="3">Q47*Q$40</f>
        <v>13884886.791609878</v>
      </c>
      <c r="R6" s="614">
        <f t="shared" si="3"/>
        <v>13930853.435541186</v>
      </c>
      <c r="S6" s="614">
        <f t="shared" si="3"/>
        <v>13869148.309500905</v>
      </c>
      <c r="T6" s="615">
        <f>T47*T$40</f>
        <v>14213259.25771231</v>
      </c>
    </row>
    <row r="7" spans="2:32" s="107" customFormat="1">
      <c r="B7" s="609" t="s">
        <v>429</v>
      </c>
      <c r="C7" s="117">
        <f>'1BS'!D11</f>
        <v>1031471</v>
      </c>
      <c r="D7" s="117">
        <f>'1BS'!E11</f>
        <v>1085027</v>
      </c>
      <c r="E7" s="117">
        <f>'1BS'!F11</f>
        <v>1090133</v>
      </c>
      <c r="F7" s="117">
        <f>'1BS'!G11</f>
        <v>715326</v>
      </c>
      <c r="G7" s="117">
        <f>'1BS'!H11</f>
        <v>765631</v>
      </c>
      <c r="H7" s="117">
        <f>'1BS'!I11</f>
        <v>568608</v>
      </c>
      <c r="I7" s="117">
        <f>'1BS'!J11</f>
        <v>590846</v>
      </c>
      <c r="J7" s="117">
        <f>'1BS'!K11</f>
        <v>467956</v>
      </c>
      <c r="K7" s="117">
        <f>'1BS'!L11</f>
        <v>897693</v>
      </c>
      <c r="L7" s="117">
        <f>'1BS'!M11</f>
        <v>1229401</v>
      </c>
      <c r="M7" s="117">
        <f>'1BS'!N11</f>
        <v>1818472</v>
      </c>
      <c r="N7" s="117">
        <f>'1BS'!O11</f>
        <v>902823</v>
      </c>
      <c r="O7" s="610">
        <f>SUM(O8:O15)</f>
        <v>1047528.8488705138</v>
      </c>
      <c r="P7" s="610">
        <f t="shared" ref="P7:T7" si="4">SUM(P8:P15)</f>
        <v>1015073.3045363416</v>
      </c>
      <c r="Q7" s="610">
        <f t="shared" si="4"/>
        <v>1093678.0215503676</v>
      </c>
      <c r="R7" s="610">
        <f t="shared" si="4"/>
        <v>1131510.4555225712</v>
      </c>
      <c r="S7" s="610">
        <f t="shared" si="4"/>
        <v>1152919.5142986053</v>
      </c>
      <c r="T7" s="611">
        <f t="shared" si="4"/>
        <v>1196605.3126437648</v>
      </c>
    </row>
    <row r="8" spans="2:32">
      <c r="B8" s="47" t="s">
        <v>430</v>
      </c>
      <c r="C8" s="117">
        <f>'1BS'!D12</f>
        <v>551396</v>
      </c>
      <c r="D8" s="117">
        <f>'1BS'!E12</f>
        <v>621408</v>
      </c>
      <c r="E8" s="117">
        <f>'1BS'!F12</f>
        <v>551219</v>
      </c>
      <c r="F8" s="117">
        <f>'1BS'!G12</f>
        <v>171321</v>
      </c>
      <c r="G8" s="117">
        <f>'1BS'!H12</f>
        <v>244119</v>
      </c>
      <c r="H8" s="117">
        <f>'1BS'!I12</f>
        <v>157655</v>
      </c>
      <c r="I8" s="117">
        <f>'1BS'!J12</f>
        <v>69332</v>
      </c>
      <c r="J8" s="117">
        <f>'1BS'!K12</f>
        <v>100966</v>
      </c>
      <c r="K8" s="117">
        <f>'1BS'!L12</f>
        <v>337852</v>
      </c>
      <c r="L8" s="117">
        <f>'1BS'!M12</f>
        <v>467367</v>
      </c>
      <c r="M8" s="117">
        <f>'1BS'!N12</f>
        <v>433141</v>
      </c>
      <c r="N8" s="117">
        <f>'1BS'!O12</f>
        <v>697568</v>
      </c>
      <c r="O8" s="614">
        <f t="shared" ref="O8:T8" si="5">O49*O$40</f>
        <v>503153.9451324761</v>
      </c>
      <c r="P8" s="614">
        <f>P49*P$40</f>
        <v>387817.98028001218</v>
      </c>
      <c r="Q8" s="614">
        <f t="shared" si="5"/>
        <v>472563.17559469811</v>
      </c>
      <c r="R8" s="614">
        <f t="shared" si="5"/>
        <v>484230.25807423308</v>
      </c>
      <c r="S8" s="614">
        <f t="shared" si="5"/>
        <v>479745.04462794651</v>
      </c>
      <c r="T8" s="615">
        <f t="shared" si="5"/>
        <v>507907.95167771145</v>
      </c>
    </row>
    <row r="9" spans="2:32">
      <c r="B9" s="47" t="s">
        <v>431</v>
      </c>
      <c r="C9" s="117">
        <f>'1BS'!D13</f>
        <v>133998</v>
      </c>
      <c r="D9" s="117">
        <f>'1BS'!E13</f>
        <v>71472</v>
      </c>
      <c r="E9" s="117">
        <f>'1BS'!F13</f>
        <v>166785</v>
      </c>
      <c r="F9" s="117">
        <f>'1BS'!G13</f>
        <v>108550</v>
      </c>
      <c r="G9" s="117">
        <f>'1BS'!H13</f>
        <v>74758</v>
      </c>
      <c r="H9" s="117">
        <f>'1BS'!I13</f>
        <v>54679</v>
      </c>
      <c r="I9" s="117">
        <f>'1BS'!J13</f>
        <v>164204</v>
      </c>
      <c r="J9" s="117">
        <f>'1BS'!K13</f>
        <v>29859</v>
      </c>
      <c r="K9" s="117">
        <f>'1BS'!L13</f>
        <v>68060</v>
      </c>
      <c r="L9" s="117">
        <f>'1BS'!M13</f>
        <v>33282</v>
      </c>
      <c r="M9" s="117">
        <f>'1BS'!N13</f>
        <v>48391</v>
      </c>
      <c r="N9" s="117">
        <f>'1BS'!O13</f>
        <v>31631</v>
      </c>
      <c r="O9" s="614">
        <f>O50*O$40</f>
        <v>34511.464437290582</v>
      </c>
      <c r="P9" s="614">
        <f t="shared" ref="O9:T13" si="6">P50*P$40</f>
        <v>37098.2061955881</v>
      </c>
      <c r="Q9" s="614">
        <f t="shared" si="6"/>
        <v>37066.296377198465</v>
      </c>
      <c r="R9" s="614">
        <f t="shared" si="6"/>
        <v>38552.43078398615</v>
      </c>
      <c r="S9" s="614">
        <f t="shared" si="6"/>
        <v>40308.370689155818</v>
      </c>
      <c r="T9" s="615">
        <f t="shared" si="6"/>
        <v>40956.534019055274</v>
      </c>
    </row>
    <row r="10" spans="2:32">
      <c r="B10" s="47" t="s">
        <v>432</v>
      </c>
      <c r="C10" s="117">
        <f>'1BS'!D14</f>
        <v>0</v>
      </c>
      <c r="D10" s="117">
        <f>'1BS'!E14</f>
        <v>0</v>
      </c>
      <c r="E10" s="117">
        <f>'1BS'!F14</f>
        <v>0</v>
      </c>
      <c r="F10" s="117">
        <f>'1BS'!G14</f>
        <v>0</v>
      </c>
      <c r="G10" s="117">
        <f>'1BS'!H14</f>
        <v>0</v>
      </c>
      <c r="H10" s="117">
        <f>'1BS'!I14</f>
        <v>0</v>
      </c>
      <c r="I10" s="117">
        <f>'1BS'!J14</f>
        <v>0</v>
      </c>
      <c r="J10" s="117">
        <f>'1BS'!K14</f>
        <v>0</v>
      </c>
      <c r="K10" s="117">
        <f>'1BS'!L14</f>
        <v>0</v>
      </c>
      <c r="L10" s="117">
        <f>'1BS'!M14</f>
        <v>0</v>
      </c>
      <c r="M10" s="117">
        <f>'1BS'!N14</f>
        <v>0</v>
      </c>
      <c r="N10" s="117">
        <f>'1BS'!O14</f>
        <v>0</v>
      </c>
      <c r="O10" s="614">
        <f>O51*O$40</f>
        <v>0</v>
      </c>
      <c r="P10" s="614">
        <f t="shared" si="6"/>
        <v>0</v>
      </c>
      <c r="Q10" s="614">
        <f t="shared" si="6"/>
        <v>0</v>
      </c>
      <c r="R10" s="614">
        <f t="shared" si="6"/>
        <v>0</v>
      </c>
      <c r="S10" s="614">
        <f t="shared" si="6"/>
        <v>0</v>
      </c>
      <c r="T10" s="615">
        <f t="shared" si="6"/>
        <v>0</v>
      </c>
    </row>
    <row r="11" spans="2:32">
      <c r="B11" s="47" t="s">
        <v>433</v>
      </c>
      <c r="C11" s="117">
        <f>'1BS'!D15</f>
        <v>0</v>
      </c>
      <c r="D11" s="117">
        <f>'1BS'!E15</f>
        <v>0</v>
      </c>
      <c r="E11" s="117">
        <f>'1BS'!F15</f>
        <v>0</v>
      </c>
      <c r="F11" s="117">
        <f>'1BS'!G15</f>
        <v>0</v>
      </c>
      <c r="G11" s="117">
        <f>'1BS'!H15</f>
        <v>0</v>
      </c>
      <c r="H11" s="117">
        <f>'1BS'!I15</f>
        <v>0</v>
      </c>
      <c r="I11" s="117">
        <f>'1BS'!J15</f>
        <v>0</v>
      </c>
      <c r="J11" s="117">
        <f>'1BS'!K15</f>
        <v>0</v>
      </c>
      <c r="K11" s="117">
        <f>'1BS'!L15</f>
        <v>0</v>
      </c>
      <c r="L11" s="117">
        <f>'1BS'!M15</f>
        <v>0</v>
      </c>
      <c r="M11" s="117">
        <f>'1BS'!N15</f>
        <v>0</v>
      </c>
      <c r="N11" s="117">
        <f>'1BS'!O15</f>
        <v>0</v>
      </c>
      <c r="O11" s="614">
        <f t="shared" si="6"/>
        <v>0</v>
      </c>
      <c r="P11" s="614">
        <f t="shared" si="6"/>
        <v>0</v>
      </c>
      <c r="Q11" s="614">
        <f t="shared" si="6"/>
        <v>0</v>
      </c>
      <c r="R11" s="614">
        <f t="shared" si="6"/>
        <v>0</v>
      </c>
      <c r="S11" s="614">
        <f t="shared" si="6"/>
        <v>0</v>
      </c>
      <c r="T11" s="615">
        <f t="shared" si="6"/>
        <v>0</v>
      </c>
    </row>
    <row r="12" spans="2:32">
      <c r="B12" s="47" t="s">
        <v>434</v>
      </c>
      <c r="C12" s="117">
        <f>'1BS'!D16</f>
        <v>0</v>
      </c>
      <c r="D12" s="117">
        <f>'1BS'!E16</f>
        <v>0</v>
      </c>
      <c r="E12" s="117">
        <f>'1BS'!F16</f>
        <v>0</v>
      </c>
      <c r="F12" s="117">
        <f>'1BS'!G16</f>
        <v>0</v>
      </c>
      <c r="G12" s="117">
        <f>'1BS'!H16</f>
        <v>502625</v>
      </c>
      <c r="H12" s="117">
        <f>'1BS'!I16</f>
        <v>0</v>
      </c>
      <c r="I12" s="117">
        <f>'1BS'!J16</f>
        <v>0</v>
      </c>
      <c r="J12" s="117">
        <f>'1BS'!K16</f>
        <v>0</v>
      </c>
      <c r="K12" s="117">
        <f>'1BS'!L16</f>
        <v>0</v>
      </c>
      <c r="L12" s="117">
        <f>'1BS'!M16</f>
        <v>0</v>
      </c>
      <c r="M12" s="117">
        <f>'1BS'!N16</f>
        <v>0</v>
      </c>
      <c r="N12" s="117">
        <f>'1BS'!O16</f>
        <v>0</v>
      </c>
      <c r="O12" s="614">
        <f t="shared" si="6"/>
        <v>0</v>
      </c>
      <c r="P12" s="614">
        <f t="shared" si="6"/>
        <v>0</v>
      </c>
      <c r="Q12" s="614">
        <f t="shared" si="6"/>
        <v>0</v>
      </c>
      <c r="R12" s="614">
        <f t="shared" si="6"/>
        <v>0</v>
      </c>
      <c r="S12" s="614">
        <f t="shared" si="6"/>
        <v>0</v>
      </c>
      <c r="T12" s="615">
        <f t="shared" si="6"/>
        <v>0</v>
      </c>
    </row>
    <row r="13" spans="2:32">
      <c r="B13" s="47" t="s">
        <v>435</v>
      </c>
      <c r="C13" s="117">
        <f>'1BS'!D17</f>
        <v>391899</v>
      </c>
      <c r="D13" s="117">
        <f>'1BS'!E17</f>
        <v>440463</v>
      </c>
      <c r="E13" s="117">
        <f>'1BS'!F17</f>
        <v>421976</v>
      </c>
      <c r="F13" s="117">
        <f>'1BS'!G17</f>
        <v>488911</v>
      </c>
      <c r="G13" s="117">
        <f>'1BS'!H17</f>
        <v>-55871</v>
      </c>
      <c r="H13" s="117">
        <f>'1BS'!I17</f>
        <v>702587</v>
      </c>
      <c r="I13" s="117">
        <f>'1BS'!J17</f>
        <v>699600</v>
      </c>
      <c r="J13" s="117">
        <f>'1BS'!K17</f>
        <v>679386</v>
      </c>
      <c r="K13" s="117">
        <f>'1BS'!L17</f>
        <v>787397</v>
      </c>
      <c r="L13" s="117">
        <f>'1BS'!M17</f>
        <v>1024557</v>
      </c>
      <c r="M13" s="117">
        <f>'1BS'!N17</f>
        <v>1646478</v>
      </c>
      <c r="N13" s="117">
        <f>'1BS'!O17</f>
        <v>746762</v>
      </c>
      <c r="O13" s="614">
        <f>O54*O$40</f>
        <v>843903.66465600149</v>
      </c>
      <c r="P13" s="614">
        <f t="shared" si="6"/>
        <v>832227.03957693756</v>
      </c>
      <c r="Q13" s="614">
        <f t="shared" si="6"/>
        <v>887637.3759962382</v>
      </c>
      <c r="R13" s="614">
        <f t="shared" si="6"/>
        <v>900667.55832473154</v>
      </c>
      <c r="S13" s="614">
        <f t="shared" si="6"/>
        <v>941211.15890521556</v>
      </c>
      <c r="T13" s="615">
        <f t="shared" si="6"/>
        <v>962196.72565716901</v>
      </c>
    </row>
    <row r="14" spans="2:32">
      <c r="B14" s="47" t="s">
        <v>436</v>
      </c>
      <c r="C14" s="117">
        <f>'1BS'!D18</f>
        <v>-45822</v>
      </c>
      <c r="D14" s="117">
        <f>'1BS'!E18</f>
        <v>-48316</v>
      </c>
      <c r="E14" s="117">
        <f>'1BS'!F18</f>
        <v>-49846</v>
      </c>
      <c r="F14" s="117">
        <f>'1BS'!G18</f>
        <v>-53456</v>
      </c>
      <c r="G14" s="117">
        <f>'1BS'!H18</f>
        <v>0</v>
      </c>
      <c r="H14" s="117">
        <f>'1BS'!I18</f>
        <v>-346313</v>
      </c>
      <c r="I14" s="117">
        <f>'1BS'!J18</f>
        <v>-342290</v>
      </c>
      <c r="J14" s="117">
        <f>'1BS'!K18</f>
        <v>-342255</v>
      </c>
      <c r="K14" s="117">
        <f>'1BS'!L18</f>
        <v>-295616</v>
      </c>
      <c r="L14" s="117">
        <f>'1BS'!M18</f>
        <v>-295804</v>
      </c>
      <c r="M14" s="117">
        <f>'1BS'!N18</f>
        <v>-309538</v>
      </c>
      <c r="N14" s="117">
        <f>'1BS'!O18</f>
        <v>-573138</v>
      </c>
      <c r="O14" s="614">
        <f>(O8+O13)*O55</f>
        <v>-334040.22535525437</v>
      </c>
      <c r="P14" s="614">
        <f t="shared" ref="P14:T14" si="7">(P8+P13)*P55</f>
        <v>-242069.92151619619</v>
      </c>
      <c r="Q14" s="614">
        <f t="shared" si="7"/>
        <v>-303588.82641776733</v>
      </c>
      <c r="R14" s="614">
        <f t="shared" si="7"/>
        <v>-291939.7916603795</v>
      </c>
      <c r="S14" s="614">
        <f t="shared" si="7"/>
        <v>-308345.05992371269</v>
      </c>
      <c r="T14" s="615">
        <f t="shared" si="7"/>
        <v>-314455.89871017105</v>
      </c>
      <c r="U14" s="169" t="s">
        <v>806</v>
      </c>
    </row>
    <row r="15" spans="2:32">
      <c r="B15" s="47" t="s">
        <v>437</v>
      </c>
      <c r="C15" s="117">
        <f>'1BS'!D19</f>
        <v>0</v>
      </c>
      <c r="D15" s="117">
        <f>'1BS'!E19</f>
        <v>0</v>
      </c>
      <c r="E15" s="117">
        <f>'1BS'!F19</f>
        <v>0</v>
      </c>
      <c r="F15" s="117">
        <f>'1BS'!G19</f>
        <v>0</v>
      </c>
      <c r="G15" s="117">
        <f>'1BS'!H19</f>
        <v>0</v>
      </c>
      <c r="H15" s="117">
        <f>'1BS'!I19</f>
        <v>0</v>
      </c>
      <c r="I15" s="117">
        <f>'1BS'!J19</f>
        <v>0</v>
      </c>
      <c r="J15" s="117">
        <f>'1BS'!K19</f>
        <v>0</v>
      </c>
      <c r="K15" s="117">
        <f>'1BS'!L19</f>
        <v>0</v>
      </c>
      <c r="L15" s="117">
        <f>'1BS'!M19</f>
        <v>0</v>
      </c>
      <c r="M15" s="117">
        <f>'1BS'!N19</f>
        <v>0</v>
      </c>
      <c r="N15" s="117">
        <f>'1BS'!O19</f>
        <v>0</v>
      </c>
      <c r="O15" s="614">
        <f t="shared" ref="O15:T15" si="8">O56*O$40</f>
        <v>0</v>
      </c>
      <c r="P15" s="614">
        <f t="shared" si="8"/>
        <v>0</v>
      </c>
      <c r="Q15" s="614">
        <f t="shared" si="8"/>
        <v>0</v>
      </c>
      <c r="R15" s="614">
        <f t="shared" si="8"/>
        <v>0</v>
      </c>
      <c r="S15" s="614">
        <f t="shared" si="8"/>
        <v>0</v>
      </c>
      <c r="T15" s="615">
        <f t="shared" si="8"/>
        <v>0</v>
      </c>
      <c r="U15" s="169"/>
    </row>
    <row r="16" spans="2:32" s="107" customFormat="1">
      <c r="B16" s="609" t="s">
        <v>438</v>
      </c>
      <c r="C16" s="117">
        <f>'1BS'!D20</f>
        <v>1868972</v>
      </c>
      <c r="D16" s="117">
        <f>'1BS'!E20</f>
        <v>1924904</v>
      </c>
      <c r="E16" s="117">
        <f>'1BS'!F20</f>
        <v>2126217</v>
      </c>
      <c r="F16" s="117">
        <f>'1BS'!G20</f>
        <v>2003535</v>
      </c>
      <c r="G16" s="117">
        <f>'1BS'!H20</f>
        <v>1813754</v>
      </c>
      <c r="H16" s="117">
        <f>'1BS'!I20</f>
        <v>1967138</v>
      </c>
      <c r="I16" s="117">
        <f>'1BS'!J20</f>
        <v>1446833</v>
      </c>
      <c r="J16" s="117">
        <f>'1BS'!K20</f>
        <v>1668002</v>
      </c>
      <c r="K16" s="117">
        <f>'1BS'!L20</f>
        <v>2193521</v>
      </c>
      <c r="L16" s="117">
        <f>'1BS'!M20</f>
        <v>2317505</v>
      </c>
      <c r="M16" s="117">
        <f>'1BS'!N20</f>
        <v>1978544</v>
      </c>
      <c r="N16" s="117">
        <f>'1BS'!O20</f>
        <v>2027352</v>
      </c>
      <c r="O16" s="610">
        <f t="shared" ref="O16:Q16" si="9">SUM(O17:O18)</f>
        <v>1949658.9677773281</v>
      </c>
      <c r="P16" s="610">
        <f t="shared" si="9"/>
        <v>1963349.404005107</v>
      </c>
      <c r="Q16" s="610">
        <f t="shared" si="9"/>
        <v>2137713.6540525821</v>
      </c>
      <c r="R16" s="610">
        <f t="shared" ref="R16:T16" si="10">SUM(R17:R18)</f>
        <v>2145593.4027623693</v>
      </c>
      <c r="S16" s="610">
        <f t="shared" si="10"/>
        <v>2232284.9133062782</v>
      </c>
      <c r="T16" s="611">
        <f t="shared" si="10"/>
        <v>2302870.0039284835</v>
      </c>
      <c r="U16" s="169"/>
    </row>
    <row r="17" spans="2:38">
      <c r="B17" s="47" t="s">
        <v>439</v>
      </c>
      <c r="C17" s="117">
        <f>'1BS'!D21</f>
        <v>1909069</v>
      </c>
      <c r="D17" s="117">
        <f>'1BS'!E21</f>
        <v>1960526</v>
      </c>
      <c r="E17" s="117">
        <f>'1BS'!F21</f>
        <v>2171045</v>
      </c>
      <c r="F17" s="117">
        <f>'1BS'!G21</f>
        <v>2116546</v>
      </c>
      <c r="G17" s="117">
        <f>'1BS'!H21</f>
        <v>2034064</v>
      </c>
      <c r="H17" s="117">
        <f>'1BS'!I21</f>
        <v>2169541</v>
      </c>
      <c r="I17" s="117">
        <f>'1BS'!J21</f>
        <v>1525039</v>
      </c>
      <c r="J17" s="117">
        <f>'1BS'!K21</f>
        <v>1755712</v>
      </c>
      <c r="K17" s="117">
        <f>'1BS'!L21</f>
        <v>2272495</v>
      </c>
      <c r="L17" s="117">
        <f>'1BS'!M21</f>
        <v>2393085</v>
      </c>
      <c r="M17" s="117">
        <f>'1BS'!N21</f>
        <v>2042853</v>
      </c>
      <c r="N17" s="117">
        <f>'1BS'!O21</f>
        <v>2109850</v>
      </c>
      <c r="O17" s="614">
        <f t="shared" ref="O17:T17" si="11">O58*O$40</f>
        <v>2018394.7385969558</v>
      </c>
      <c r="P17" s="614">
        <f t="shared" si="11"/>
        <v>2034303.2035063345</v>
      </c>
      <c r="Q17" s="614">
        <f t="shared" si="11"/>
        <v>2217571.8955678297</v>
      </c>
      <c r="R17" s="614">
        <f t="shared" si="11"/>
        <v>2223370.5469774199</v>
      </c>
      <c r="S17" s="614">
        <f t="shared" si="11"/>
        <v>2313945.5009287684</v>
      </c>
      <c r="T17" s="615">
        <f t="shared" si="11"/>
        <v>2387452.5399909806</v>
      </c>
      <c r="U17" s="169"/>
      <c r="X17" s="2">
        <f t="shared" ref="X17:AD17" si="12">L17</f>
        <v>2393085</v>
      </c>
      <c r="Y17" s="2">
        <f t="shared" si="12"/>
        <v>2042853</v>
      </c>
      <c r="Z17" s="2">
        <f>N17</f>
        <v>2109850</v>
      </c>
      <c r="AA17" s="2">
        <f t="shared" si="12"/>
        <v>2018394.7385969558</v>
      </c>
      <c r="AB17" s="2">
        <f t="shared" si="12"/>
        <v>2034303.2035063345</v>
      </c>
      <c r="AC17" s="2">
        <f t="shared" si="12"/>
        <v>2217571.8955678297</v>
      </c>
      <c r="AD17" s="2">
        <f t="shared" si="12"/>
        <v>2223370.5469774199</v>
      </c>
      <c r="AE17" s="2">
        <f>S17</f>
        <v>2313945.5009287684</v>
      </c>
      <c r="AF17" s="2">
        <f>T17</f>
        <v>2387452.5399909806</v>
      </c>
      <c r="AG17" s="39"/>
      <c r="AH17" s="39"/>
      <c r="AI17" s="39"/>
      <c r="AJ17" s="39"/>
      <c r="AK17" s="39"/>
      <c r="AL17" s="39"/>
    </row>
    <row r="18" spans="2:38">
      <c r="B18" s="47" t="s">
        <v>440</v>
      </c>
      <c r="C18" s="117">
        <f>'1BS'!D22</f>
        <v>-40097</v>
      </c>
      <c r="D18" s="117">
        <f>'1BS'!E22</f>
        <v>-35622</v>
      </c>
      <c r="E18" s="117">
        <f>'1BS'!F22</f>
        <v>-44828</v>
      </c>
      <c r="F18" s="117">
        <f>'1BS'!G22</f>
        <v>-113011</v>
      </c>
      <c r="G18" s="117">
        <f>'1BS'!H22</f>
        <v>-220310</v>
      </c>
      <c r="H18" s="117">
        <f>'1BS'!I22</f>
        <v>-202403</v>
      </c>
      <c r="I18" s="117">
        <f>'1BS'!J22</f>
        <v>-78206</v>
      </c>
      <c r="J18" s="117">
        <f>'1BS'!K22</f>
        <v>-87710</v>
      </c>
      <c r="K18" s="117">
        <f>'1BS'!L22</f>
        <v>-78973</v>
      </c>
      <c r="L18" s="117">
        <f>'1BS'!M22</f>
        <v>-75580</v>
      </c>
      <c r="M18" s="117">
        <f>'1BS'!N22</f>
        <v>-64309</v>
      </c>
      <c r="N18" s="117">
        <f>'1BS'!O22</f>
        <v>-82498</v>
      </c>
      <c r="O18" s="614">
        <f t="shared" ref="O18:T18" si="13">O59*O17</f>
        <v>-68735.770819627694</v>
      </c>
      <c r="P18" s="614">
        <f t="shared" si="13"/>
        <v>-70953.799501227433</v>
      </c>
      <c r="Q18" s="614">
        <f t="shared" si="13"/>
        <v>-79858.24151524753</v>
      </c>
      <c r="R18" s="614">
        <f t="shared" si="13"/>
        <v>-77777.144215050474</v>
      </c>
      <c r="S18" s="614">
        <f t="shared" si="13"/>
        <v>-81660.587622490159</v>
      </c>
      <c r="T18" s="615">
        <f t="shared" si="13"/>
        <v>-84582.536062497384</v>
      </c>
      <c r="U18" s="169"/>
    </row>
    <row r="19" spans="2:38" s="107" customFormat="1">
      <c r="B19" s="609" t="s">
        <v>441</v>
      </c>
      <c r="C19" s="117">
        <f>'1BS'!D23</f>
        <v>109981</v>
      </c>
      <c r="D19" s="117">
        <f>'1BS'!E23</f>
        <v>305623</v>
      </c>
      <c r="E19" s="117">
        <f>'1BS'!F23</f>
        <v>878849</v>
      </c>
      <c r="F19" s="117">
        <f>'1BS'!G23</f>
        <v>140066</v>
      </c>
      <c r="G19" s="117">
        <f>'1BS'!H23</f>
        <v>99203</v>
      </c>
      <c r="H19" s="117">
        <f>'1BS'!I23</f>
        <v>119745</v>
      </c>
      <c r="I19" s="117">
        <f>'1BS'!J23</f>
        <v>202146</v>
      </c>
      <c r="J19" s="117">
        <f>'1BS'!K23</f>
        <v>143382</v>
      </c>
      <c r="K19" s="117">
        <f>'1BS'!L23</f>
        <v>288077</v>
      </c>
      <c r="L19" s="117">
        <f>'1BS'!M23</f>
        <v>225539</v>
      </c>
      <c r="M19" s="117">
        <f>'1BS'!N23</f>
        <v>225976</v>
      </c>
      <c r="N19" s="117">
        <f>'1BS'!O23</f>
        <v>208433</v>
      </c>
      <c r="O19" s="610">
        <f t="shared" ref="O19:T24" si="14">O60*O$40</f>
        <v>203009.21834043265</v>
      </c>
      <c r="P19" s="610">
        <f t="shared" si="14"/>
        <v>209203.64554081328</v>
      </c>
      <c r="Q19" s="610">
        <f t="shared" si="14"/>
        <v>223235.91467280057</v>
      </c>
      <c r="R19" s="610">
        <f t="shared" si="14"/>
        <v>225332.748145347</v>
      </c>
      <c r="S19" s="610">
        <f t="shared" si="14"/>
        <v>235102.57687114735</v>
      </c>
      <c r="T19" s="611">
        <f t="shared" si="14"/>
        <v>241614.3417678765</v>
      </c>
      <c r="U19" s="169"/>
    </row>
    <row r="20" spans="2:38">
      <c r="B20" s="47" t="s">
        <v>442</v>
      </c>
      <c r="C20" s="117">
        <f>'1BS'!D24</f>
        <v>31533</v>
      </c>
      <c r="D20" s="117">
        <f>'1BS'!E24</f>
        <v>128076</v>
      </c>
      <c r="E20" s="117">
        <f>'1BS'!F24</f>
        <v>67695</v>
      </c>
      <c r="F20" s="117">
        <f>'1BS'!G24</f>
        <v>24913</v>
      </c>
      <c r="G20" s="117">
        <f>'1BS'!H24</f>
        <v>86457</v>
      </c>
      <c r="H20" s="117">
        <f>'1BS'!I24</f>
        <v>97130</v>
      </c>
      <c r="I20" s="117">
        <f>'1BS'!J24</f>
        <v>143822</v>
      </c>
      <c r="J20" s="117">
        <f>'1BS'!K24</f>
        <v>88942</v>
      </c>
      <c r="K20" s="117">
        <f>'1BS'!L24</f>
        <v>181977</v>
      </c>
      <c r="L20" s="117">
        <f>'1BS'!M24</f>
        <v>172232</v>
      </c>
      <c r="M20" s="117">
        <f>'1BS'!N24</f>
        <v>145660</v>
      </c>
      <c r="N20" s="117">
        <f>'1BS'!O24</f>
        <v>139821</v>
      </c>
      <c r="O20" s="614">
        <f t="shared" si="14"/>
        <v>140696.45062870756</v>
      </c>
      <c r="P20" s="614">
        <f t="shared" si="14"/>
        <v>140163.33422946473</v>
      </c>
      <c r="Q20" s="614">
        <f t="shared" si="14"/>
        <v>151303.7184707752</v>
      </c>
      <c r="R20" s="614">
        <f t="shared" si="14"/>
        <v>153278.96940573922</v>
      </c>
      <c r="S20" s="614">
        <f t="shared" si="14"/>
        <v>158933.38910121459</v>
      </c>
      <c r="T20" s="615">
        <f t="shared" si="14"/>
        <v>163815.80835101212</v>
      </c>
      <c r="U20" s="169"/>
    </row>
    <row r="21" spans="2:38">
      <c r="B21" s="47" t="s">
        <v>443</v>
      </c>
      <c r="C21" s="117">
        <f>'1BS'!D25</f>
        <v>32289</v>
      </c>
      <c r="D21" s="117">
        <f>'1BS'!E25</f>
        <v>70980</v>
      </c>
      <c r="E21" s="117">
        <f>'1BS'!F25</f>
        <v>133497</v>
      </c>
      <c r="F21" s="117">
        <f>'1BS'!G25</f>
        <v>112192</v>
      </c>
      <c r="G21" s="117">
        <f>'1BS'!H25</f>
        <v>7565</v>
      </c>
      <c r="H21" s="117">
        <f>'1BS'!I25</f>
        <v>18204</v>
      </c>
      <c r="I21" s="117">
        <f>'1BS'!J25</f>
        <v>22192</v>
      </c>
      <c r="J21" s="117">
        <f>'1BS'!K25</f>
        <v>25340</v>
      </c>
      <c r="K21" s="117">
        <f>'1BS'!L25</f>
        <v>83098</v>
      </c>
      <c r="L21" s="117">
        <f>'1BS'!M25</f>
        <v>39069</v>
      </c>
      <c r="M21" s="117">
        <f>'1BS'!N25</f>
        <v>72112</v>
      </c>
      <c r="N21" s="117">
        <f>'1BS'!O25</f>
        <v>58809</v>
      </c>
      <c r="O21" s="614">
        <f t="shared" si="14"/>
        <v>52376.790759789954</v>
      </c>
      <c r="P21" s="614">
        <f t="shared" si="14"/>
        <v>59770.973404696138</v>
      </c>
      <c r="Q21" s="614">
        <f t="shared" si="14"/>
        <v>61492.928274483173</v>
      </c>
      <c r="R21" s="614">
        <f t="shared" si="14"/>
        <v>61537.84635650432</v>
      </c>
      <c r="S21" s="614">
        <f t="shared" si="14"/>
        <v>65373.227281349638</v>
      </c>
      <c r="T21" s="615">
        <f t="shared" si="14"/>
        <v>66575.143569582142</v>
      </c>
      <c r="U21" s="169"/>
    </row>
    <row r="22" spans="2:38">
      <c r="B22" s="47" t="s">
        <v>444</v>
      </c>
      <c r="C22" s="117">
        <f>'1BS'!D26</f>
        <v>11025</v>
      </c>
      <c r="D22" s="117">
        <f>'1BS'!E26</f>
        <v>106510</v>
      </c>
      <c r="E22" s="117">
        <f>'1BS'!F26</f>
        <v>677657</v>
      </c>
      <c r="F22" s="117">
        <f>'1BS'!G26</f>
        <v>2961</v>
      </c>
      <c r="G22" s="117">
        <f>'1BS'!H26</f>
        <v>5182</v>
      </c>
      <c r="H22" s="117">
        <f>'1BS'!I26</f>
        <v>4411</v>
      </c>
      <c r="I22" s="117">
        <f>'1BS'!J26</f>
        <v>36132</v>
      </c>
      <c r="J22" s="117">
        <f>'1BS'!K26</f>
        <v>29100</v>
      </c>
      <c r="K22" s="117">
        <f>'1BS'!L26</f>
        <v>23002</v>
      </c>
      <c r="L22" s="117">
        <f>'1BS'!M26</f>
        <v>14238</v>
      </c>
      <c r="M22" s="117">
        <f>'1BS'!N26</f>
        <v>8203</v>
      </c>
      <c r="N22" s="117">
        <f>'1BS'!O26</f>
        <v>9803</v>
      </c>
      <c r="O22" s="614">
        <f t="shared" si="14"/>
        <v>9935.9769519351157</v>
      </c>
      <c r="P22" s="614">
        <f t="shared" si="14"/>
        <v>9269.3379066524303</v>
      </c>
      <c r="Q22" s="614">
        <f t="shared" si="14"/>
        <v>10439.267927542183</v>
      </c>
      <c r="R22" s="614">
        <f t="shared" si="14"/>
        <v>10515.932383103445</v>
      </c>
      <c r="S22" s="614">
        <f t="shared" si="14"/>
        <v>10795.960488583123</v>
      </c>
      <c r="T22" s="615">
        <f t="shared" si="14"/>
        <v>11223.389847282255</v>
      </c>
      <c r="U22" s="169"/>
    </row>
    <row r="23" spans="2:38">
      <c r="B23" s="47" t="s">
        <v>445</v>
      </c>
      <c r="C23" s="117">
        <f>'1BS'!D27</f>
        <v>0</v>
      </c>
      <c r="D23" s="117">
        <f>'1BS'!E27</f>
        <v>0</v>
      </c>
      <c r="E23" s="117">
        <f>'1BS'!F27</f>
        <v>0</v>
      </c>
      <c r="F23" s="117">
        <f>'1BS'!G27</f>
        <v>0</v>
      </c>
      <c r="G23" s="117">
        <f>'1BS'!H27</f>
        <v>0</v>
      </c>
      <c r="H23" s="117">
        <f>'1BS'!I27</f>
        <v>0</v>
      </c>
      <c r="I23" s="117">
        <f>'1BS'!J27</f>
        <v>0</v>
      </c>
      <c r="J23" s="117">
        <f>'1BS'!K27</f>
        <v>0</v>
      </c>
      <c r="K23" s="117">
        <f>'1BS'!L27</f>
        <v>0</v>
      </c>
      <c r="L23" s="117">
        <f>'1BS'!M27</f>
        <v>0</v>
      </c>
      <c r="M23" s="117">
        <f>'1BS'!N27</f>
        <v>0</v>
      </c>
      <c r="N23" s="117">
        <f>'1BS'!O27</f>
        <v>0</v>
      </c>
      <c r="O23" s="614">
        <f t="shared" si="14"/>
        <v>0</v>
      </c>
      <c r="P23" s="614">
        <f t="shared" si="14"/>
        <v>0</v>
      </c>
      <c r="Q23" s="614">
        <f t="shared" si="14"/>
        <v>0</v>
      </c>
      <c r="R23" s="614">
        <f t="shared" si="14"/>
        <v>0</v>
      </c>
      <c r="S23" s="614">
        <f t="shared" si="14"/>
        <v>0</v>
      </c>
      <c r="T23" s="615">
        <f t="shared" si="14"/>
        <v>0</v>
      </c>
      <c r="U23" s="169"/>
    </row>
    <row r="24" spans="2:38">
      <c r="B24" s="47" t="s">
        <v>446</v>
      </c>
      <c r="C24" s="117">
        <f>'1BS'!D28</f>
        <v>35134</v>
      </c>
      <c r="D24" s="117">
        <f>'1BS'!E28</f>
        <v>57</v>
      </c>
      <c r="E24" s="117">
        <f>'1BS'!F28</f>
        <v>0</v>
      </c>
      <c r="F24" s="117">
        <f>'1BS'!G28</f>
        <v>0</v>
      </c>
      <c r="G24" s="117">
        <f>'1BS'!H28</f>
        <v>0</v>
      </c>
      <c r="H24" s="117">
        <f>'1BS'!I28</f>
        <v>0</v>
      </c>
      <c r="I24" s="117">
        <f>'1BS'!J28</f>
        <v>0</v>
      </c>
      <c r="J24" s="117">
        <f>'1BS'!K28</f>
        <v>0</v>
      </c>
      <c r="K24" s="117">
        <f>'1BS'!L28</f>
        <v>0</v>
      </c>
      <c r="L24" s="117">
        <f>'1BS'!M28</f>
        <v>0</v>
      </c>
      <c r="M24" s="117">
        <f>'1BS'!N28</f>
        <v>0</v>
      </c>
      <c r="N24" s="117">
        <f>'1BS'!O28</f>
        <v>0</v>
      </c>
      <c r="O24" s="614">
        <f t="shared" si="14"/>
        <v>0</v>
      </c>
      <c r="P24" s="614">
        <f t="shared" si="14"/>
        <v>0</v>
      </c>
      <c r="Q24" s="614">
        <f t="shared" si="14"/>
        <v>0</v>
      </c>
      <c r="R24" s="614">
        <f t="shared" si="14"/>
        <v>0</v>
      </c>
      <c r="S24" s="614">
        <f t="shared" si="14"/>
        <v>0</v>
      </c>
      <c r="T24" s="615">
        <f t="shared" si="14"/>
        <v>0</v>
      </c>
      <c r="U24" s="169"/>
    </row>
    <row r="25" spans="2:38" s="107" customFormat="1">
      <c r="B25" s="609" t="s">
        <v>486</v>
      </c>
      <c r="C25" s="157">
        <f>'1BS'!D70</f>
        <v>7559893</v>
      </c>
      <c r="D25" s="157">
        <f>'1BS'!E70</f>
        <v>6759695</v>
      </c>
      <c r="E25" s="157">
        <f>'1BS'!F70</f>
        <v>6473889</v>
      </c>
      <c r="F25" s="157">
        <f>'1BS'!G70</f>
        <v>7401585</v>
      </c>
      <c r="G25" s="157">
        <f>'1BS'!H70</f>
        <v>5925697</v>
      </c>
      <c r="H25" s="157">
        <f>'1BS'!I70</f>
        <v>6087830</v>
      </c>
      <c r="I25" s="157">
        <f>'1BS'!J70</f>
        <v>5173043</v>
      </c>
      <c r="J25" s="157">
        <f>'1BS'!K70</f>
        <v>7258021</v>
      </c>
      <c r="K25" s="157">
        <f>'1BS'!L70</f>
        <v>9213862</v>
      </c>
      <c r="L25" s="157">
        <f>'1BS'!M70</f>
        <v>8224608</v>
      </c>
      <c r="M25" s="157">
        <f>'1BS'!N70</f>
        <v>8657141</v>
      </c>
      <c r="N25" s="157">
        <f>'1BS'!O70</f>
        <v>8880281</v>
      </c>
      <c r="O25" s="614">
        <f>'1BS'!P70</f>
        <v>8068629.7421865249</v>
      </c>
      <c r="P25" s="614">
        <f>'1BS'!Q70</f>
        <v>7916180.7709285198</v>
      </c>
      <c r="Q25" s="614">
        <f>'1BS'!R70</f>
        <v>8475864.1479703058</v>
      </c>
      <c r="R25" s="614">
        <f>'1BS'!S70</f>
        <v>8574938.2542673126</v>
      </c>
      <c r="S25" s="614">
        <f>'1BS'!T70</f>
        <v>8969367.3624962866</v>
      </c>
      <c r="T25" s="615">
        <f>'1BS'!U70</f>
        <v>9252167.1060122866</v>
      </c>
      <c r="U25" s="169"/>
    </row>
    <row r="26" spans="2:38" s="107" customFormat="1">
      <c r="B26" s="47" t="s">
        <v>487</v>
      </c>
      <c r="C26" s="176">
        <f>'1BS'!D71</f>
        <v>1792271</v>
      </c>
      <c r="D26" s="176">
        <f>'1BS'!E71</f>
        <v>1558016</v>
      </c>
      <c r="E26" s="176">
        <f>'1BS'!F71</f>
        <v>1876186</v>
      </c>
      <c r="F26" s="176">
        <f>'1BS'!G71</f>
        <v>2020400</v>
      </c>
      <c r="G26" s="176">
        <f>'1BS'!H71</f>
        <v>2027262</v>
      </c>
      <c r="H26" s="176">
        <f>'1BS'!I71</f>
        <v>2427068</v>
      </c>
      <c r="I26" s="176">
        <f>'1BS'!J71</f>
        <v>1652907</v>
      </c>
      <c r="J26" s="176">
        <f>'1BS'!K71</f>
        <v>2400248</v>
      </c>
      <c r="K26" s="176">
        <f>'1BS'!L71</f>
        <v>2766280</v>
      </c>
      <c r="L26" s="176">
        <f>'1BS'!M71</f>
        <v>2476373</v>
      </c>
      <c r="M26" s="176">
        <f>'1BS'!N71</f>
        <v>2642248</v>
      </c>
      <c r="N26" s="176">
        <f>'1BS'!O71</f>
        <v>2403618</v>
      </c>
      <c r="O26" s="614">
        <f t="shared" ref="O26:T34" si="15">O67*O$40</f>
        <v>2314532.7209856268</v>
      </c>
      <c r="P26" s="614">
        <f t="shared" si="15"/>
        <v>2413960.9344009906</v>
      </c>
      <c r="Q26" s="614">
        <f t="shared" si="15"/>
        <v>2565343.9327755305</v>
      </c>
      <c r="R26" s="614">
        <f t="shared" si="15"/>
        <v>2586235.7058208715</v>
      </c>
      <c r="S26" s="614">
        <f t="shared" si="15"/>
        <v>2704266.7863548324</v>
      </c>
      <c r="T26" s="615">
        <f t="shared" si="15"/>
        <v>2776276.723488695</v>
      </c>
      <c r="U26" s="169"/>
    </row>
    <row r="27" spans="2:38">
      <c r="B27" s="47" t="s">
        <v>488</v>
      </c>
      <c r="C27" s="176">
        <f>'1BS'!D72</f>
        <v>77000</v>
      </c>
      <c r="D27" s="176">
        <f>'1BS'!E72</f>
        <v>381636</v>
      </c>
      <c r="E27" s="176">
        <f>'1BS'!F72</f>
        <v>490296</v>
      </c>
      <c r="F27" s="176">
        <f>'1BS'!G72</f>
        <v>89251</v>
      </c>
      <c r="G27" s="176">
        <f>'1BS'!H72</f>
        <v>110463</v>
      </c>
      <c r="H27" s="176">
        <f>'1BS'!I72</f>
        <v>42587</v>
      </c>
      <c r="I27" s="176">
        <f>'1BS'!J72</f>
        <v>64715</v>
      </c>
      <c r="J27" s="176">
        <f>'1BS'!K72</f>
        <v>63253</v>
      </c>
      <c r="K27" s="176">
        <f>'1BS'!L72</f>
        <v>36931</v>
      </c>
      <c r="L27" s="176">
        <f>'1BS'!M72</f>
        <v>44801</v>
      </c>
      <c r="M27" s="176">
        <f>'1BS'!N72</f>
        <v>94511</v>
      </c>
      <c r="N27" s="176">
        <f>'1BS'!O72</f>
        <v>84401</v>
      </c>
      <c r="O27" s="614">
        <f>O68*O$40</f>
        <v>84086.111570500085</v>
      </c>
      <c r="P27" s="614">
        <f t="shared" si="15"/>
        <v>86227.221158833883</v>
      </c>
      <c r="Q27" s="614">
        <f t="shared" si="15"/>
        <v>91595.478178528341</v>
      </c>
      <c r="R27" s="614">
        <f t="shared" si="15"/>
        <v>92884.169968015849</v>
      </c>
      <c r="S27" s="614">
        <f t="shared" si="15"/>
        <v>96757.538315794111</v>
      </c>
      <c r="T27" s="615">
        <f t="shared" si="15"/>
        <v>99388.568996221904</v>
      </c>
      <c r="U27" s="169"/>
    </row>
    <row r="28" spans="2:38">
      <c r="B28" s="47" t="s">
        <v>489</v>
      </c>
      <c r="C28" s="176">
        <f>'1BS'!D73</f>
        <v>2359357</v>
      </c>
      <c r="D28" s="176">
        <f>'1BS'!E73</f>
        <v>857038</v>
      </c>
      <c r="E28" s="176">
        <f>'1BS'!F73</f>
        <v>803769</v>
      </c>
      <c r="F28" s="176">
        <f>'1BS'!G73</f>
        <v>1209757</v>
      </c>
      <c r="G28" s="176">
        <f>'1BS'!H73</f>
        <v>1100614</v>
      </c>
      <c r="H28" s="176">
        <f>'1BS'!I73</f>
        <v>855960</v>
      </c>
      <c r="I28" s="176">
        <f>'1BS'!J73</f>
        <v>1257298</v>
      </c>
      <c r="J28" s="176">
        <f>'1BS'!K73</f>
        <v>1416975</v>
      </c>
      <c r="K28" s="176">
        <f>'1BS'!L73</f>
        <v>1621018</v>
      </c>
      <c r="L28" s="176">
        <f>'1BS'!M73</f>
        <v>1358516</v>
      </c>
      <c r="M28" s="176">
        <f>'1BS'!N73</f>
        <v>1320861</v>
      </c>
      <c r="N28" s="176">
        <f>'1BS'!O73</f>
        <v>1625986</v>
      </c>
      <c r="O28" s="614">
        <f>O69*O$40</f>
        <v>1408077.2558608991</v>
      </c>
      <c r="P28" s="614">
        <f t="shared" si="15"/>
        <v>1443931.5444863257</v>
      </c>
      <c r="Q28" s="614">
        <f t="shared" si="15"/>
        <v>1613138.4576579449</v>
      </c>
      <c r="R28" s="614">
        <f t="shared" si="15"/>
        <v>1582496.5465976014</v>
      </c>
      <c r="S28" s="614">
        <f t="shared" si="15"/>
        <v>1657829.3385222007</v>
      </c>
      <c r="T28" s="615">
        <f t="shared" si="15"/>
        <v>1715650.4842617211</v>
      </c>
      <c r="U28" s="169"/>
    </row>
    <row r="29" spans="2:38">
      <c r="B29" s="47" t="s">
        <v>490</v>
      </c>
      <c r="C29" s="176">
        <f>'1BS'!D74</f>
        <v>263921</v>
      </c>
      <c r="D29" s="176">
        <f>'1BS'!E74</f>
        <v>217026</v>
      </c>
      <c r="E29" s="176">
        <f>'1BS'!F74</f>
        <v>265149</v>
      </c>
      <c r="F29" s="176">
        <f>'1BS'!G74</f>
        <v>222226</v>
      </c>
      <c r="G29" s="176">
        <f>'1BS'!H74</f>
        <v>308694</v>
      </c>
      <c r="H29" s="176">
        <f>'1BS'!I74</f>
        <v>389619</v>
      </c>
      <c r="I29" s="176">
        <f>'1BS'!J74</f>
        <v>360588</v>
      </c>
      <c r="J29" s="176">
        <f>'1BS'!K74</f>
        <v>218498</v>
      </c>
      <c r="K29" s="176">
        <f>'1BS'!L74</f>
        <v>190034</v>
      </c>
      <c r="L29" s="176">
        <f>'1BS'!M74</f>
        <v>235426</v>
      </c>
      <c r="M29" s="176">
        <f>'1BS'!N74</f>
        <v>128685</v>
      </c>
      <c r="N29" s="176">
        <f>'1BS'!O74</f>
        <v>130883</v>
      </c>
      <c r="O29" s="614">
        <f t="shared" si="15"/>
        <v>151472.25389806769</v>
      </c>
      <c r="P29" s="614">
        <f t="shared" si="15"/>
        <v>135740.90961236149</v>
      </c>
      <c r="Q29" s="614">
        <f t="shared" si="15"/>
        <v>150280.21032559345</v>
      </c>
      <c r="R29" s="614">
        <f t="shared" si="15"/>
        <v>155296.73114618668</v>
      </c>
      <c r="S29" s="614">
        <f t="shared" si="15"/>
        <v>157626.62730679064</v>
      </c>
      <c r="T29" s="615">
        <f t="shared" si="15"/>
        <v>163713.62491678572</v>
      </c>
      <c r="U29" s="169"/>
    </row>
    <row r="30" spans="2:38">
      <c r="B30" s="47" t="s">
        <v>491</v>
      </c>
      <c r="C30" s="176">
        <f>'1BS'!D75</f>
        <v>470125</v>
      </c>
      <c r="D30" s="176">
        <f>'1BS'!E75</f>
        <v>358289</v>
      </c>
      <c r="E30" s="176">
        <f>'1BS'!F75</f>
        <v>375962</v>
      </c>
      <c r="F30" s="176">
        <f>'1BS'!G75</f>
        <v>196526</v>
      </c>
      <c r="G30" s="176">
        <f>'1BS'!H75</f>
        <v>473169</v>
      </c>
      <c r="H30" s="176">
        <f>'1BS'!I75</f>
        <v>433171</v>
      </c>
      <c r="I30" s="176">
        <f>'1BS'!J75</f>
        <v>237321</v>
      </c>
      <c r="J30" s="176">
        <f>'1BS'!K75</f>
        <v>370692</v>
      </c>
      <c r="K30" s="176">
        <f>'1BS'!L75</f>
        <v>514267</v>
      </c>
      <c r="L30" s="176">
        <f>'1BS'!M75</f>
        <v>486177</v>
      </c>
      <c r="M30" s="176">
        <f>'1BS'!N75</f>
        <v>515857</v>
      </c>
      <c r="N30" s="176">
        <f>'1BS'!O75</f>
        <v>580272</v>
      </c>
      <c r="O30" s="614">
        <f>O71*O$40</f>
        <v>491284.75401829981</v>
      </c>
      <c r="P30" s="614">
        <f t="shared" si="15"/>
        <v>524351.02799046878</v>
      </c>
      <c r="Q30" s="614">
        <f t="shared" si="15"/>
        <v>574830.40396815585</v>
      </c>
      <c r="R30" s="614">
        <f t="shared" si="15"/>
        <v>563581.35778908047</v>
      </c>
      <c r="S30" s="614">
        <f t="shared" si="15"/>
        <v>594287.39711180865</v>
      </c>
      <c r="T30" s="615">
        <f t="shared" si="15"/>
        <v>612449.04974960932</v>
      </c>
      <c r="U30" s="169"/>
    </row>
    <row r="31" spans="2:38">
      <c r="B31" s="47" t="s">
        <v>492</v>
      </c>
      <c r="C31" s="176">
        <f>'1BS'!D76</f>
        <v>0</v>
      </c>
      <c r="D31" s="176">
        <f>'1BS'!E76</f>
        <v>0</v>
      </c>
      <c r="E31" s="176">
        <f>'1BS'!F76</f>
        <v>0</v>
      </c>
      <c r="F31" s="176">
        <f>'1BS'!G76</f>
        <v>0</v>
      </c>
      <c r="G31" s="176">
        <f>'1BS'!H76</f>
        <v>0</v>
      </c>
      <c r="H31" s="176">
        <f>'1BS'!I76</f>
        <v>0</v>
      </c>
      <c r="I31" s="176">
        <f>'1BS'!J76</f>
        <v>0</v>
      </c>
      <c r="J31" s="176">
        <f>'1BS'!K76</f>
        <v>0</v>
      </c>
      <c r="K31" s="176">
        <f>'1BS'!L76</f>
        <v>0</v>
      </c>
      <c r="L31" s="176">
        <f>'1BS'!M76</f>
        <v>0</v>
      </c>
      <c r="M31" s="176">
        <f>'1BS'!N76</f>
        <v>0</v>
      </c>
      <c r="N31" s="176">
        <f>'1BS'!O76</f>
        <v>0</v>
      </c>
      <c r="O31" s="614">
        <f t="shared" si="15"/>
        <v>0</v>
      </c>
      <c r="P31" s="614">
        <f t="shared" si="15"/>
        <v>0</v>
      </c>
      <c r="Q31" s="614">
        <f t="shared" si="15"/>
        <v>0</v>
      </c>
      <c r="R31" s="614">
        <f t="shared" si="15"/>
        <v>0</v>
      </c>
      <c r="S31" s="614">
        <f t="shared" si="15"/>
        <v>0</v>
      </c>
      <c r="T31" s="615">
        <f t="shared" si="15"/>
        <v>0</v>
      </c>
      <c r="U31" s="169"/>
    </row>
    <row r="32" spans="2:38">
      <c r="B32" s="47" t="s">
        <v>493</v>
      </c>
      <c r="C32" s="176">
        <f>'1BS'!D77</f>
        <v>0</v>
      </c>
      <c r="D32" s="176">
        <f>'1BS'!E77</f>
        <v>0</v>
      </c>
      <c r="E32" s="176">
        <f>'1BS'!F77</f>
        <v>0</v>
      </c>
      <c r="F32" s="176">
        <f>'1BS'!G77</f>
        <v>0</v>
      </c>
      <c r="G32" s="176">
        <f>'1BS'!H77</f>
        <v>0</v>
      </c>
      <c r="H32" s="176">
        <f>'1BS'!I77</f>
        <v>0</v>
      </c>
      <c r="I32" s="176">
        <f>'1BS'!J77</f>
        <v>0</v>
      </c>
      <c r="J32" s="176">
        <f>'1BS'!K77</f>
        <v>0</v>
      </c>
      <c r="K32" s="176">
        <f>'1BS'!L77</f>
        <v>0</v>
      </c>
      <c r="L32" s="176">
        <f>'1BS'!M77</f>
        <v>0</v>
      </c>
      <c r="M32" s="176">
        <f>'1BS'!N77</f>
        <v>0</v>
      </c>
      <c r="N32" s="176">
        <f>'1BS'!O77</f>
        <v>0</v>
      </c>
      <c r="O32" s="614">
        <f t="shared" si="15"/>
        <v>0</v>
      </c>
      <c r="P32" s="614">
        <f t="shared" si="15"/>
        <v>0</v>
      </c>
      <c r="Q32" s="614">
        <f t="shared" si="15"/>
        <v>0</v>
      </c>
      <c r="R32" s="614">
        <f t="shared" si="15"/>
        <v>0</v>
      </c>
      <c r="S32" s="614">
        <f t="shared" si="15"/>
        <v>0</v>
      </c>
      <c r="T32" s="615">
        <f t="shared" si="15"/>
        <v>0</v>
      </c>
      <c r="U32" s="169"/>
    </row>
    <row r="33" spans="2:21">
      <c r="B33" s="47" t="s">
        <v>494</v>
      </c>
      <c r="C33" s="176">
        <f>'1BS'!D78</f>
        <v>0</v>
      </c>
      <c r="D33" s="176">
        <f>'1BS'!E78</f>
        <v>1721</v>
      </c>
      <c r="E33" s="176">
        <f>'1BS'!F78</f>
        <v>800</v>
      </c>
      <c r="F33" s="176">
        <f>'1BS'!G78</f>
        <v>606</v>
      </c>
      <c r="G33" s="176">
        <f>'1BS'!H78</f>
        <v>1739</v>
      </c>
      <c r="H33" s="176">
        <f>'1BS'!I78</f>
        <v>930</v>
      </c>
      <c r="I33" s="176">
        <f>'1BS'!J78</f>
        <v>782</v>
      </c>
      <c r="J33" s="176">
        <f>'1BS'!K78</f>
        <v>517</v>
      </c>
      <c r="K33" s="176">
        <f>'1BS'!L78</f>
        <v>230</v>
      </c>
      <c r="L33" s="176">
        <f>'1BS'!M78</f>
        <v>0</v>
      </c>
      <c r="M33" s="176">
        <f>'1BS'!N78</f>
        <v>228</v>
      </c>
      <c r="N33" s="176">
        <f>'1BS'!O78</f>
        <v>546</v>
      </c>
      <c r="O33" s="614">
        <f t="shared" si="15"/>
        <v>254.32442664432043</v>
      </c>
      <c r="P33" s="614">
        <f t="shared" si="15"/>
        <v>347.73381989433528</v>
      </c>
      <c r="Q33" s="614">
        <f t="shared" si="15"/>
        <v>415.77850164067161</v>
      </c>
      <c r="R33" s="614">
        <f t="shared" si="15"/>
        <v>359.375257652507</v>
      </c>
      <c r="S33" s="614">
        <f t="shared" si="15"/>
        <v>401.40893858201605</v>
      </c>
      <c r="T33" s="615">
        <f t="shared" si="15"/>
        <v>416.12635266074932</v>
      </c>
      <c r="U33" s="169"/>
    </row>
    <row r="34" spans="2:21">
      <c r="B34" s="47" t="s">
        <v>495</v>
      </c>
      <c r="C34" s="176">
        <f>'1BS'!D79</f>
        <v>1028237</v>
      </c>
      <c r="D34" s="176">
        <f>'1BS'!E79</f>
        <v>1042998</v>
      </c>
      <c r="E34" s="176">
        <f>'1BS'!F79</f>
        <v>1288893</v>
      </c>
      <c r="F34" s="176">
        <f>'1BS'!G79</f>
        <v>2630181</v>
      </c>
      <c r="G34" s="176">
        <f>'1BS'!H79</f>
        <v>1079539</v>
      </c>
      <c r="H34" s="176">
        <f>'1BS'!I79</f>
        <v>1079348</v>
      </c>
      <c r="I34" s="176">
        <f>'1BS'!J79</f>
        <v>966920</v>
      </c>
      <c r="J34" s="176">
        <f>'1BS'!K79</f>
        <v>2227840</v>
      </c>
      <c r="K34" s="176">
        <f>'1BS'!L79</f>
        <v>3204086</v>
      </c>
      <c r="L34" s="176">
        <f>'1BS'!M79</f>
        <v>2898696</v>
      </c>
      <c r="M34" s="176">
        <f>'1BS'!N79</f>
        <v>3509694</v>
      </c>
      <c r="N34" s="176">
        <f>'1BS'!O79</f>
        <v>3555404</v>
      </c>
      <c r="O34" s="614">
        <f t="shared" si="15"/>
        <v>3085056.6887857504</v>
      </c>
      <c r="P34" s="614">
        <f t="shared" si="15"/>
        <v>2742427.1462658006</v>
      </c>
      <c r="Q34" s="614">
        <f t="shared" si="15"/>
        <v>2867876.0592017146</v>
      </c>
      <c r="R34" s="614">
        <f t="shared" si="15"/>
        <v>2938680.8706043013</v>
      </c>
      <c r="S34" s="614">
        <f t="shared" si="15"/>
        <v>3055893.3149122158</v>
      </c>
      <c r="T34" s="615">
        <f t="shared" si="15"/>
        <v>3131713.8572239066</v>
      </c>
      <c r="U34" s="169"/>
    </row>
    <row r="35" spans="2:21">
      <c r="B35" s="47" t="s">
        <v>496</v>
      </c>
      <c r="C35" s="176">
        <f>'1BS'!D80</f>
        <v>437368</v>
      </c>
      <c r="D35" s="176">
        <f>'1BS'!E80</f>
        <v>1051665</v>
      </c>
      <c r="E35" s="176">
        <f>'1BS'!F80</f>
        <v>1042310</v>
      </c>
      <c r="F35" s="176">
        <f>'1BS'!G80</f>
        <v>722904</v>
      </c>
      <c r="G35" s="176">
        <f>'1BS'!H80</f>
        <v>594243</v>
      </c>
      <c r="H35" s="176">
        <f>'1BS'!I80</f>
        <v>560511</v>
      </c>
      <c r="I35" s="176">
        <f>'1BS'!J80</f>
        <v>448792</v>
      </c>
      <c r="J35" s="176">
        <f>'1BS'!K80</f>
        <v>321746</v>
      </c>
      <c r="K35" s="176">
        <f>'1BS'!L80</f>
        <v>658626</v>
      </c>
      <c r="L35" s="176">
        <f>'1BS'!M80</f>
        <v>530129</v>
      </c>
      <c r="M35" s="176">
        <f>'1BS'!N80</f>
        <v>245384</v>
      </c>
      <c r="N35" s="176">
        <f>'1BS'!O80</f>
        <v>267584</v>
      </c>
      <c r="O35" s="614">
        <f>Debt!O24</f>
        <v>291793.6330389636</v>
      </c>
      <c r="P35" s="614">
        <f>Debt!P24</f>
        <v>318193.62997069088</v>
      </c>
      <c r="Q35" s="614">
        <f>Debt!Q24</f>
        <v>346982.16372803884</v>
      </c>
      <c r="R35" s="614">
        <f>Debt!R24</f>
        <v>378375.33691821987</v>
      </c>
      <c r="S35" s="614">
        <f>Debt!S24</f>
        <v>412608.80400812178</v>
      </c>
      <c r="T35" s="615">
        <f>Debt!T24</f>
        <v>449939.54027666652</v>
      </c>
      <c r="U35" s="169" t="s">
        <v>807</v>
      </c>
    </row>
    <row r="36" spans="2:21">
      <c r="B36" s="47" t="s">
        <v>497</v>
      </c>
      <c r="C36" s="176">
        <f>'1BS'!D81</f>
        <v>905144</v>
      </c>
      <c r="D36" s="176">
        <f>'1BS'!E81</f>
        <v>992214</v>
      </c>
      <c r="E36" s="176">
        <f>'1BS'!F81</f>
        <v>0</v>
      </c>
      <c r="F36" s="176">
        <f>'1BS'!G81</f>
        <v>12991</v>
      </c>
      <c r="G36" s="176">
        <f>'1BS'!H81</f>
        <v>7668</v>
      </c>
      <c r="H36" s="176">
        <f>'1BS'!I81</f>
        <v>3711</v>
      </c>
      <c r="I36" s="176">
        <f>'1BS'!J81</f>
        <v>200</v>
      </c>
      <c r="J36" s="176">
        <f>'1BS'!K81</f>
        <v>0</v>
      </c>
      <c r="K36" s="176">
        <f>'1BS'!L81</f>
        <v>0</v>
      </c>
      <c r="L36" s="176">
        <f>'1BS'!M81</f>
        <v>119</v>
      </c>
      <c r="M36" s="176">
        <f>'1BS'!N81</f>
        <v>251</v>
      </c>
      <c r="N36" s="176">
        <f>'1BS'!O81</f>
        <v>269</v>
      </c>
      <c r="O36" s="614">
        <f t="shared" ref="O36:T36" si="16">O77*O$40</f>
        <v>199.65244255140666</v>
      </c>
      <c r="P36" s="614">
        <f t="shared" si="16"/>
        <v>236.909170835754</v>
      </c>
      <c r="Q36" s="614">
        <f t="shared" si="16"/>
        <v>254.28478386583899</v>
      </c>
      <c r="R36" s="614">
        <f t="shared" si="16"/>
        <v>244.60442732235919</v>
      </c>
      <c r="S36" s="614">
        <f t="shared" si="16"/>
        <v>263.10161396726915</v>
      </c>
      <c r="T36" s="615">
        <f t="shared" si="16"/>
        <v>269.326540721323</v>
      </c>
      <c r="U36" s="169"/>
    </row>
    <row r="37" spans="2:21">
      <c r="B37" s="47" t="s">
        <v>498</v>
      </c>
      <c r="C37" s="176">
        <f>'1BS'!D82</f>
        <v>226469</v>
      </c>
      <c r="D37" s="176">
        <f>'1BS'!E82</f>
        <v>299092</v>
      </c>
      <c r="E37" s="176">
        <f>'1BS'!F82</f>
        <v>330525</v>
      </c>
      <c r="F37" s="176">
        <f>'1BS'!G82</f>
        <v>296743</v>
      </c>
      <c r="G37" s="176">
        <f>'1BS'!H82</f>
        <v>222305</v>
      </c>
      <c r="H37" s="176">
        <f>'1BS'!I82</f>
        <v>294925</v>
      </c>
      <c r="I37" s="176">
        <f>'1BS'!J82</f>
        <v>183521</v>
      </c>
      <c r="J37" s="176">
        <f>'1BS'!K82</f>
        <v>238251</v>
      </c>
      <c r="K37" s="176">
        <f>'1BS'!L82</f>
        <v>222390</v>
      </c>
      <c r="L37" s="176">
        <f>'1BS'!M82</f>
        <v>194370</v>
      </c>
      <c r="M37" s="176">
        <f>'1BS'!N82</f>
        <v>199419</v>
      </c>
      <c r="N37" s="176">
        <f>'1BS'!O82</f>
        <v>231318</v>
      </c>
      <c r="O37" s="614">
        <f>Equity!P107</f>
        <v>240364.34715922136</v>
      </c>
      <c r="P37" s="614">
        <f>Equity!Q107</f>
        <v>249255.71405231801</v>
      </c>
      <c r="Q37" s="614">
        <f>Equity!R107</f>
        <v>263639.37884929159</v>
      </c>
      <c r="R37" s="614">
        <f>Equity!S107</f>
        <v>275275.55573806062</v>
      </c>
      <c r="S37" s="614">
        <f>Equity!T107</f>
        <v>287925.04541197157</v>
      </c>
      <c r="T37" s="615">
        <f>Equity!U107</f>
        <v>300841.80420529819</v>
      </c>
      <c r="U37" s="169" t="s">
        <v>808</v>
      </c>
    </row>
    <row r="38" spans="2:21">
      <c r="B38" s="47" t="s">
        <v>500</v>
      </c>
      <c r="C38" s="176">
        <f>'1BS'!D83</f>
        <v>0</v>
      </c>
      <c r="D38" s="176">
        <f>'1BS'!E83</f>
        <v>0</v>
      </c>
      <c r="E38" s="176">
        <f>'1BS'!F83</f>
        <v>0</v>
      </c>
      <c r="F38" s="176">
        <f>'1BS'!G83</f>
        <v>0</v>
      </c>
      <c r="G38" s="176">
        <f>'1BS'!H83</f>
        <v>0</v>
      </c>
      <c r="H38" s="176">
        <f>'1BS'!I83</f>
        <v>0</v>
      </c>
      <c r="I38" s="176">
        <f>'1BS'!J83</f>
        <v>0</v>
      </c>
      <c r="J38" s="176">
        <f>'1BS'!K83</f>
        <v>0</v>
      </c>
      <c r="K38" s="176">
        <f>'1BS'!L83</f>
        <v>0</v>
      </c>
      <c r="L38" s="176">
        <f>'1BS'!M83</f>
        <v>0</v>
      </c>
      <c r="M38" s="176">
        <f>'1BS'!N83</f>
        <v>0</v>
      </c>
      <c r="N38" s="176">
        <f>'1BS'!O83</f>
        <v>0</v>
      </c>
      <c r="O38" s="614">
        <f t="shared" ref="O38:T39" si="17">O79*O$40</f>
        <v>0</v>
      </c>
      <c r="P38" s="614">
        <f t="shared" si="17"/>
        <v>0</v>
      </c>
      <c r="Q38" s="614">
        <f t="shared" si="17"/>
        <v>0</v>
      </c>
      <c r="R38" s="614">
        <f t="shared" si="17"/>
        <v>0</v>
      </c>
      <c r="S38" s="614">
        <f t="shared" si="17"/>
        <v>0</v>
      </c>
      <c r="T38" s="615">
        <f t="shared" si="17"/>
        <v>0</v>
      </c>
    </row>
    <row r="39" spans="2:21">
      <c r="B39" s="47" t="s">
        <v>445</v>
      </c>
      <c r="C39" s="176">
        <f>'1BS'!D84</f>
        <v>0</v>
      </c>
      <c r="D39" s="176">
        <f>'1BS'!E84</f>
        <v>0</v>
      </c>
      <c r="E39" s="176">
        <f>'1BS'!F84</f>
        <v>0</v>
      </c>
      <c r="F39" s="176">
        <f>'1BS'!G84</f>
        <v>0</v>
      </c>
      <c r="G39" s="176">
        <f>'1BS'!H84</f>
        <v>0</v>
      </c>
      <c r="H39" s="176">
        <f>'1BS'!I84</f>
        <v>0</v>
      </c>
      <c r="I39" s="176">
        <f>'1BS'!J84</f>
        <v>0</v>
      </c>
      <c r="J39" s="176">
        <f>'1BS'!K84</f>
        <v>0</v>
      </c>
      <c r="K39" s="176">
        <f>'1BS'!L84</f>
        <v>0</v>
      </c>
      <c r="L39" s="176">
        <f>'1BS'!M84</f>
        <v>0</v>
      </c>
      <c r="M39" s="176">
        <f>'1BS'!N84</f>
        <v>0</v>
      </c>
      <c r="N39" s="176">
        <f>'1BS'!O84</f>
        <v>0</v>
      </c>
      <c r="O39" s="614">
        <f t="shared" si="17"/>
        <v>0</v>
      </c>
      <c r="P39" s="614">
        <f t="shared" si="17"/>
        <v>0</v>
      </c>
      <c r="Q39" s="614">
        <f t="shared" si="17"/>
        <v>0</v>
      </c>
      <c r="R39" s="614">
        <f t="shared" si="17"/>
        <v>0</v>
      </c>
      <c r="S39" s="614">
        <f t="shared" si="17"/>
        <v>0</v>
      </c>
      <c r="T39" s="615">
        <f t="shared" si="17"/>
        <v>0</v>
      </c>
    </row>
    <row r="40" spans="2:21">
      <c r="B40" s="98" t="s">
        <v>809</v>
      </c>
      <c r="C40" s="48">
        <f>'1IS'!D3</f>
        <v>25107165</v>
      </c>
      <c r="D40" s="48">
        <f>'1IS'!E3</f>
        <v>27144302</v>
      </c>
      <c r="E40" s="48">
        <f>'1IS'!F3</f>
        <v>30568678</v>
      </c>
      <c r="F40" s="48">
        <f>'1IS'!G3</f>
        <v>34193391</v>
      </c>
      <c r="G40" s="48">
        <f>'1IS'!H3</f>
        <v>35948553</v>
      </c>
      <c r="H40" s="48">
        <f>'1IS'!I3</f>
        <v>37899060</v>
      </c>
      <c r="I40" s="48">
        <f>'1IS'!J3</f>
        <v>27961324</v>
      </c>
      <c r="J40" s="48">
        <f>'1IS'!K3</f>
        <v>26373746</v>
      </c>
      <c r="K40" s="48">
        <f>'1IS'!L3</f>
        <v>34979084</v>
      </c>
      <c r="L40" s="48">
        <f>'1IS'!M3</f>
        <v>30461367</v>
      </c>
      <c r="M40" s="48">
        <f>'1IS'!N3</f>
        <v>31872417</v>
      </c>
      <c r="N40" s="48">
        <f>'1IS'!O3</f>
        <v>25888192</v>
      </c>
      <c r="O40" s="48">
        <f>'1IS'!P3</f>
        <v>27013433.246165488</v>
      </c>
      <c r="P40" s="48">
        <f>'1IS'!Q3</f>
        <v>27701284.305715155</v>
      </c>
      <c r="Q40" s="48">
        <f>'1IS'!R3</f>
        <v>28968445.042441562</v>
      </c>
      <c r="R40" s="48">
        <f>'1IS'!S3</f>
        <v>29683645.157619204</v>
      </c>
      <c r="S40" s="48">
        <f>'1IS'!T3</f>
        <v>30867609.24153753</v>
      </c>
      <c r="T40" s="48">
        <f>'1IS'!U3</f>
        <v>31633473.305291984</v>
      </c>
    </row>
    <row r="41" spans="2:21">
      <c r="B41" s="47" t="s">
        <v>411</v>
      </c>
      <c r="C41" s="48">
        <f>'1IS'!D4</f>
        <v>-17636086</v>
      </c>
      <c r="D41" s="48">
        <f>'1IS'!E4</f>
        <v>-19586558</v>
      </c>
      <c r="E41" s="48">
        <f>'1IS'!F4</f>
        <v>-22301143</v>
      </c>
      <c r="F41" s="48">
        <f>'1IS'!G4</f>
        <v>-25327872</v>
      </c>
      <c r="G41" s="48">
        <f>'1IS'!H4</f>
        <v>-27864413</v>
      </c>
      <c r="H41" s="48">
        <f>'1IS'!I4</f>
        <v>-28348431</v>
      </c>
      <c r="I41" s="48">
        <f>'1IS'!J4</f>
        <v>-19460229</v>
      </c>
      <c r="J41" s="48">
        <f>'1IS'!K4</f>
        <v>-18765181</v>
      </c>
      <c r="K41" s="48">
        <f>'1IS'!L4</f>
        <v>-24208377</v>
      </c>
      <c r="L41" s="48">
        <f>'1IS'!M4</f>
        <v>-21370005</v>
      </c>
      <c r="M41" s="48">
        <f>'1IS'!N4</f>
        <v>-22554221</v>
      </c>
      <c r="N41" s="48">
        <f>'1IS'!O4</f>
        <v>-16587631</v>
      </c>
      <c r="O41" s="48">
        <f>'1IS'!P4</f>
        <v>-17682699.722071912</v>
      </c>
      <c r="P41" s="48">
        <f>'1IS'!Q4</f>
        <v>-18223910.073673785</v>
      </c>
      <c r="Q41" s="48">
        <f>'1IS'!R4</f>
        <v>-18936439.374622609</v>
      </c>
      <c r="R41" s="48">
        <f>'1IS'!S4</f>
        <v>-19393082.845883727</v>
      </c>
      <c r="S41" s="48">
        <f>'1IS'!T4</f>
        <v>-20096200.323745526</v>
      </c>
      <c r="T41" s="48">
        <f>'1IS'!U4</f>
        <v>-20586395.659035377</v>
      </c>
    </row>
    <row r="43" spans="2:21">
      <c r="B43" s="41" t="s">
        <v>810</v>
      </c>
      <c r="C43" s="606">
        <f>C2</f>
        <v>2014</v>
      </c>
      <c r="D43" s="606">
        <f>C43+1</f>
        <v>2015</v>
      </c>
      <c r="E43" s="606">
        <f t="shared" ref="E43:S43" si="18">D43+1</f>
        <v>2016</v>
      </c>
      <c r="F43" s="606">
        <f t="shared" si="18"/>
        <v>2017</v>
      </c>
      <c r="G43" s="606">
        <f t="shared" si="18"/>
        <v>2018</v>
      </c>
      <c r="H43" s="606">
        <f t="shared" si="18"/>
        <v>2019</v>
      </c>
      <c r="I43" s="606">
        <f t="shared" si="18"/>
        <v>2020</v>
      </c>
      <c r="J43" s="606">
        <f t="shared" si="18"/>
        <v>2021</v>
      </c>
      <c r="K43" s="606">
        <f t="shared" si="18"/>
        <v>2022</v>
      </c>
      <c r="L43" s="607">
        <f t="shared" si="18"/>
        <v>2023</v>
      </c>
      <c r="M43" s="606">
        <f t="shared" si="18"/>
        <v>2024</v>
      </c>
      <c r="N43" s="606">
        <f t="shared" si="18"/>
        <v>2025</v>
      </c>
      <c r="O43" s="606">
        <f t="shared" si="18"/>
        <v>2026</v>
      </c>
      <c r="P43" s="606">
        <f t="shared" si="18"/>
        <v>2027</v>
      </c>
      <c r="Q43" s="606">
        <f t="shared" si="18"/>
        <v>2028</v>
      </c>
      <c r="R43" s="606">
        <f t="shared" si="18"/>
        <v>2029</v>
      </c>
      <c r="S43" s="606">
        <f t="shared" si="18"/>
        <v>2030</v>
      </c>
      <c r="T43" s="606">
        <v>2030</v>
      </c>
    </row>
    <row r="44" spans="2:21">
      <c r="B44" s="609" t="s">
        <v>425</v>
      </c>
      <c r="C44" s="616">
        <f>C3/C$40</f>
        <v>0.22781006935669559</v>
      </c>
      <c r="D44" s="616">
        <f t="shared" ref="D44:N54" si="19">D3/D$40</f>
        <v>3.4731672230879244E-2</v>
      </c>
      <c r="E44" s="616">
        <f t="shared" si="19"/>
        <v>0.10384227279962843</v>
      </c>
      <c r="F44" s="616">
        <f t="shared" si="19"/>
        <v>0.1918148744007285</v>
      </c>
      <c r="G44" s="616">
        <f t="shared" si="19"/>
        <v>0.20986068618672912</v>
      </c>
      <c r="H44" s="616">
        <f t="shared" si="19"/>
        <v>0.3270061843222497</v>
      </c>
      <c r="I44" s="616">
        <f t="shared" si="19"/>
        <v>0.52026931914955099</v>
      </c>
      <c r="J44" s="616">
        <f t="shared" si="19"/>
        <v>0.64424822321410091</v>
      </c>
      <c r="K44" s="616">
        <f t="shared" si="19"/>
        <v>0.55494506374152053</v>
      </c>
      <c r="L44" s="616">
        <f t="shared" si="19"/>
        <v>0.5824115509983514</v>
      </c>
      <c r="M44" s="616">
        <f t="shared" si="19"/>
        <v>0.51976726459119804</v>
      </c>
      <c r="N44" s="616">
        <f t="shared" si="19"/>
        <v>0.57885421276232807</v>
      </c>
      <c r="O44" s="617">
        <f>SUM(O45:O47)</f>
        <v>0.54931073867676306</v>
      </c>
      <c r="P44" s="617">
        <f t="shared" ref="P44" si="20">SUM(P45:P47)</f>
        <v>0.50931073867676302</v>
      </c>
      <c r="Q44" s="617">
        <f>P44</f>
        <v>0.50931073867676302</v>
      </c>
      <c r="R44" s="617">
        <f>Q44</f>
        <v>0.50931073867676302</v>
      </c>
      <c r="S44" s="617">
        <f>R44</f>
        <v>0.50931073867676302</v>
      </c>
      <c r="T44" s="617">
        <f>S44</f>
        <v>0.50931073867676302</v>
      </c>
    </row>
    <row r="45" spans="2:21">
      <c r="B45" s="47" t="s">
        <v>426</v>
      </c>
      <c r="C45" s="616">
        <f t="shared" ref="C45:L54" si="21">C4/C$40</f>
        <v>0</v>
      </c>
      <c r="D45" s="616">
        <f t="shared" si="21"/>
        <v>0</v>
      </c>
      <c r="E45" s="616">
        <f t="shared" si="21"/>
        <v>0</v>
      </c>
      <c r="F45" s="616">
        <f t="shared" si="21"/>
        <v>0</v>
      </c>
      <c r="G45" s="616">
        <f t="shared" si="21"/>
        <v>0</v>
      </c>
      <c r="H45" s="616">
        <f t="shared" si="21"/>
        <v>0</v>
      </c>
      <c r="I45" s="616">
        <f t="shared" si="21"/>
        <v>0</v>
      </c>
      <c r="J45" s="616">
        <f t="shared" si="21"/>
        <v>0</v>
      </c>
      <c r="K45" s="616">
        <f t="shared" si="21"/>
        <v>0</v>
      </c>
      <c r="L45" s="616">
        <f t="shared" si="21"/>
        <v>0</v>
      </c>
      <c r="M45" s="616">
        <f t="shared" si="19"/>
        <v>0</v>
      </c>
      <c r="N45" s="616">
        <f t="shared" si="19"/>
        <v>0</v>
      </c>
      <c r="O45" s="618">
        <f>AVERAGE(L45:N45)</f>
        <v>0</v>
      </c>
      <c r="P45" s="618">
        <f t="shared" ref="P45:T46" si="22">AVERAGE(M45:O45)</f>
        <v>0</v>
      </c>
      <c r="Q45" s="618">
        <f t="shared" si="22"/>
        <v>0</v>
      </c>
      <c r="R45" s="618">
        <f t="shared" si="22"/>
        <v>0</v>
      </c>
      <c r="S45" s="618">
        <f t="shared" si="22"/>
        <v>0</v>
      </c>
      <c r="T45" s="618">
        <f t="shared" si="22"/>
        <v>0</v>
      </c>
    </row>
    <row r="46" spans="2:21">
      <c r="B46" s="47" t="s">
        <v>427</v>
      </c>
      <c r="C46" s="616">
        <f t="shared" si="21"/>
        <v>0</v>
      </c>
      <c r="D46" s="616">
        <f t="shared" si="21"/>
        <v>0</v>
      </c>
      <c r="E46" s="616">
        <f t="shared" si="21"/>
        <v>0</v>
      </c>
      <c r="F46" s="616">
        <f t="shared" si="21"/>
        <v>0</v>
      </c>
      <c r="G46" s="616">
        <f t="shared" si="21"/>
        <v>0</v>
      </c>
      <c r="H46" s="616">
        <f t="shared" si="21"/>
        <v>0</v>
      </c>
      <c r="I46" s="616">
        <f t="shared" si="21"/>
        <v>0</v>
      </c>
      <c r="J46" s="616">
        <f t="shared" si="21"/>
        <v>0</v>
      </c>
      <c r="K46" s="616">
        <f t="shared" si="21"/>
        <v>0</v>
      </c>
      <c r="L46" s="616">
        <f t="shared" si="21"/>
        <v>0</v>
      </c>
      <c r="M46" s="616">
        <f t="shared" si="19"/>
        <v>0</v>
      </c>
      <c r="N46" s="616">
        <f t="shared" si="19"/>
        <v>0</v>
      </c>
      <c r="O46" s="618">
        <f>AVERAGE(L46:N46)</f>
        <v>0</v>
      </c>
      <c r="P46" s="618">
        <f t="shared" si="22"/>
        <v>0</v>
      </c>
      <c r="Q46" s="618">
        <f t="shared" si="22"/>
        <v>0</v>
      </c>
      <c r="R46" s="618">
        <f t="shared" si="22"/>
        <v>0</v>
      </c>
      <c r="S46" s="618">
        <f t="shared" si="22"/>
        <v>0</v>
      </c>
      <c r="T46" s="618">
        <f t="shared" si="22"/>
        <v>0</v>
      </c>
    </row>
    <row r="47" spans="2:21">
      <c r="B47" s="47" t="s">
        <v>428</v>
      </c>
      <c r="C47" s="616">
        <f t="shared" si="21"/>
        <v>0.22781006935669559</v>
      </c>
      <c r="D47" s="616">
        <f t="shared" si="21"/>
        <v>3.4731672230879244E-2</v>
      </c>
      <c r="E47" s="616">
        <f t="shared" si="21"/>
        <v>0.10384227279962843</v>
      </c>
      <c r="F47" s="616">
        <f t="shared" si="21"/>
        <v>0.1918148744007285</v>
      </c>
      <c r="G47" s="616">
        <f t="shared" si="21"/>
        <v>0.20986068618672912</v>
      </c>
      <c r="H47" s="616">
        <f t="shared" si="21"/>
        <v>0.3270061843222497</v>
      </c>
      <c r="I47" s="616">
        <f t="shared" si="21"/>
        <v>0.52026931914955099</v>
      </c>
      <c r="J47" s="616">
        <f t="shared" si="21"/>
        <v>0.64424822321410091</v>
      </c>
      <c r="K47" s="616">
        <f t="shared" si="21"/>
        <v>0.55494506374152053</v>
      </c>
      <c r="L47" s="616">
        <f t="shared" si="21"/>
        <v>0.5824115509983514</v>
      </c>
      <c r="M47" s="616">
        <f t="shared" si="19"/>
        <v>0.51976726459119804</v>
      </c>
      <c r="N47" s="616">
        <f t="shared" si="19"/>
        <v>0.57885421276232807</v>
      </c>
      <c r="O47" s="618">
        <f>AVERAGE(M47:N47)</f>
        <v>0.54931073867676306</v>
      </c>
      <c r="P47" s="618">
        <v>0.50931073867676302</v>
      </c>
      <c r="Q47" s="618">
        <v>0.47931073867676299</v>
      </c>
      <c r="R47" s="618">
        <v>0.46931073867676298</v>
      </c>
      <c r="S47" s="618">
        <v>0.44931073867676302</v>
      </c>
      <c r="T47" s="618">
        <v>0.44931073867676002</v>
      </c>
    </row>
    <row r="48" spans="2:21">
      <c r="B48" s="609" t="s">
        <v>429</v>
      </c>
      <c r="C48" s="616">
        <f t="shared" si="21"/>
        <v>4.1082734749223977E-2</v>
      </c>
      <c r="D48" s="616">
        <f t="shared" si="21"/>
        <v>3.9972551145356403E-2</v>
      </c>
      <c r="E48" s="616">
        <f t="shared" si="21"/>
        <v>3.5661764633720831E-2</v>
      </c>
      <c r="F48" s="616">
        <f t="shared" si="21"/>
        <v>2.0920007611997301E-2</v>
      </c>
      <c r="G48" s="616">
        <f t="shared" si="21"/>
        <v>2.1297964343655221E-2</v>
      </c>
      <c r="H48" s="616">
        <f t="shared" si="21"/>
        <v>1.5003221715789257E-2</v>
      </c>
      <c r="I48" s="616">
        <f t="shared" si="21"/>
        <v>2.113083057154232E-2</v>
      </c>
      <c r="J48" s="616">
        <f t="shared" si="21"/>
        <v>1.7743251186236493E-2</v>
      </c>
      <c r="K48" s="616">
        <f t="shared" si="21"/>
        <v>2.5663708060508387E-2</v>
      </c>
      <c r="L48" s="616">
        <f t="shared" si="21"/>
        <v>4.0359350911598944E-2</v>
      </c>
      <c r="M48" s="616">
        <f t="shared" si="19"/>
        <v>5.7054725407238494E-2</v>
      </c>
      <c r="N48" s="616">
        <f>N7/N$40</f>
        <v>3.4873930168626686E-2</v>
      </c>
      <c r="O48" s="617">
        <f>AVERAGE(L48:N48)</f>
        <v>4.4096002162488046E-2</v>
      </c>
      <c r="P48" s="617">
        <f t="shared" ref="P48:T48" si="23">AVERAGE(M48:O48)</f>
        <v>4.5341552579451078E-2</v>
      </c>
      <c r="Q48" s="617">
        <f t="shared" si="23"/>
        <v>4.143716163685527E-2</v>
      </c>
      <c r="R48" s="617">
        <f t="shared" si="23"/>
        <v>4.3624905459598129E-2</v>
      </c>
      <c r="S48" s="617">
        <f t="shared" si="23"/>
        <v>4.346787322530149E-2</v>
      </c>
      <c r="T48" s="617">
        <f t="shared" si="23"/>
        <v>4.2843313440584958E-2</v>
      </c>
    </row>
    <row r="49" spans="2:21">
      <c r="B49" s="47" t="s">
        <v>430</v>
      </c>
      <c r="C49" s="616">
        <f t="shared" si="21"/>
        <v>2.1961698981147415E-2</v>
      </c>
      <c r="D49" s="616">
        <f t="shared" si="21"/>
        <v>2.2892760329589614E-2</v>
      </c>
      <c r="E49" s="616">
        <f t="shared" si="21"/>
        <v>1.8032150425347147E-2</v>
      </c>
      <c r="F49" s="616">
        <f t="shared" si="21"/>
        <v>5.0103541938850112E-3</v>
      </c>
      <c r="G49" s="616">
        <f t="shared" si="21"/>
        <v>6.790787935191717E-3</v>
      </c>
      <c r="H49" s="616">
        <f t="shared" si="21"/>
        <v>4.1598657064317694E-3</v>
      </c>
      <c r="I49" s="616">
        <f t="shared" si="21"/>
        <v>2.4795678487899929E-3</v>
      </c>
      <c r="J49" s="616">
        <f t="shared" si="21"/>
        <v>3.8282768022411379E-3</v>
      </c>
      <c r="K49" s="616">
        <f t="shared" si="21"/>
        <v>9.6586863166571203E-3</v>
      </c>
      <c r="L49" s="616">
        <f t="shared" si="21"/>
        <v>1.5342942422774395E-2</v>
      </c>
      <c r="M49" s="616">
        <f t="shared" si="19"/>
        <v>1.3589838511462749E-2</v>
      </c>
      <c r="N49" s="616">
        <f>N8/N$40</f>
        <v>2.6945412024138263E-2</v>
      </c>
      <c r="O49" s="618">
        <f>AVERAGE(L49:N49)</f>
        <v>1.8626064319458468E-2</v>
      </c>
      <c r="P49" s="618">
        <v>1.4E-2</v>
      </c>
      <c r="Q49" s="618">
        <f>AVERAGE(O49:P49)</f>
        <v>1.6313032159729235E-2</v>
      </c>
      <c r="R49" s="618">
        <f t="shared" ref="O49:T56" si="24">AVERAGE(O49:Q49)</f>
        <v>1.6313032159729235E-2</v>
      </c>
      <c r="S49" s="618">
        <f t="shared" si="24"/>
        <v>1.5542021439819489E-2</v>
      </c>
      <c r="T49" s="618">
        <f t="shared" si="24"/>
        <v>1.6056028586425988E-2</v>
      </c>
      <c r="U49" t="s">
        <v>811</v>
      </c>
    </row>
    <row r="50" spans="2:21">
      <c r="B50" s="47" t="s">
        <v>431</v>
      </c>
      <c r="C50" s="616">
        <f t="shared" si="21"/>
        <v>5.3370422347564931E-3</v>
      </c>
      <c r="D50" s="616">
        <f t="shared" si="21"/>
        <v>2.6330387865563828E-3</v>
      </c>
      <c r="E50" s="616">
        <f t="shared" si="21"/>
        <v>5.4560750059260005E-3</v>
      </c>
      <c r="F50" s="616">
        <f t="shared" si="21"/>
        <v>3.1745900837971876E-3</v>
      </c>
      <c r="G50" s="616">
        <f t="shared" si="21"/>
        <v>2.0795830085288828E-3</v>
      </c>
      <c r="H50" s="616">
        <f t="shared" si="21"/>
        <v>1.4427534614314971E-3</v>
      </c>
      <c r="I50" s="616">
        <f t="shared" si="21"/>
        <v>5.8725402273511794E-3</v>
      </c>
      <c r="J50" s="616">
        <f t="shared" si="21"/>
        <v>1.132148614762575E-3</v>
      </c>
      <c r="K50" s="616">
        <f t="shared" si="21"/>
        <v>1.9457341993289476E-3</v>
      </c>
      <c r="L50" s="616">
        <f t="shared" si="21"/>
        <v>1.0925970590879917E-3</v>
      </c>
      <c r="M50" s="616">
        <f t="shared" si="19"/>
        <v>1.5182720532302273E-3</v>
      </c>
      <c r="N50" s="616">
        <f t="shared" si="19"/>
        <v>1.2218311730691738E-3</v>
      </c>
      <c r="O50" s="618">
        <f t="shared" si="24"/>
        <v>1.2775667617957976E-3</v>
      </c>
      <c r="P50" s="618">
        <f t="shared" si="24"/>
        <v>1.3392233293650661E-3</v>
      </c>
      <c r="Q50" s="618">
        <f t="shared" si="24"/>
        <v>1.2795404214100126E-3</v>
      </c>
      <c r="R50" s="618">
        <f t="shared" si="24"/>
        <v>1.2987768375236255E-3</v>
      </c>
      <c r="S50" s="618">
        <f t="shared" si="24"/>
        <v>1.3058468627662348E-3</v>
      </c>
      <c r="T50" s="618">
        <f t="shared" si="24"/>
        <v>1.2947213738999576E-3</v>
      </c>
    </row>
    <row r="51" spans="2:21">
      <c r="B51" s="47" t="s">
        <v>432</v>
      </c>
      <c r="C51" s="616">
        <f t="shared" si="21"/>
        <v>0</v>
      </c>
      <c r="D51" s="616">
        <f t="shared" si="21"/>
        <v>0</v>
      </c>
      <c r="E51" s="616">
        <f t="shared" si="21"/>
        <v>0</v>
      </c>
      <c r="F51" s="616">
        <f t="shared" si="21"/>
        <v>0</v>
      </c>
      <c r="G51" s="616">
        <f t="shared" si="21"/>
        <v>0</v>
      </c>
      <c r="H51" s="616">
        <f t="shared" si="21"/>
        <v>0</v>
      </c>
      <c r="I51" s="616">
        <f t="shared" si="21"/>
        <v>0</v>
      </c>
      <c r="J51" s="616">
        <f t="shared" si="21"/>
        <v>0</v>
      </c>
      <c r="K51" s="616">
        <f t="shared" si="21"/>
        <v>0</v>
      </c>
      <c r="L51" s="616">
        <f t="shared" si="21"/>
        <v>0</v>
      </c>
      <c r="M51" s="616">
        <f t="shared" si="19"/>
        <v>0</v>
      </c>
      <c r="N51" s="616">
        <f t="shared" si="19"/>
        <v>0</v>
      </c>
      <c r="O51" s="618">
        <f t="shared" si="24"/>
        <v>0</v>
      </c>
      <c r="P51" s="618">
        <f t="shared" si="24"/>
        <v>0</v>
      </c>
      <c r="Q51" s="618">
        <f t="shared" si="24"/>
        <v>0</v>
      </c>
      <c r="R51" s="618">
        <f t="shared" si="24"/>
        <v>0</v>
      </c>
      <c r="S51" s="618">
        <f t="shared" si="24"/>
        <v>0</v>
      </c>
      <c r="T51" s="618">
        <f t="shared" si="24"/>
        <v>0</v>
      </c>
    </row>
    <row r="52" spans="2:21">
      <c r="B52" s="47" t="s">
        <v>433</v>
      </c>
      <c r="C52" s="616">
        <f t="shared" si="21"/>
        <v>0</v>
      </c>
      <c r="D52" s="616">
        <f t="shared" si="21"/>
        <v>0</v>
      </c>
      <c r="E52" s="616">
        <f t="shared" si="21"/>
        <v>0</v>
      </c>
      <c r="F52" s="616">
        <f t="shared" si="21"/>
        <v>0</v>
      </c>
      <c r="G52" s="616">
        <f t="shared" si="21"/>
        <v>0</v>
      </c>
      <c r="H52" s="616">
        <f t="shared" si="21"/>
        <v>0</v>
      </c>
      <c r="I52" s="616">
        <f t="shared" si="21"/>
        <v>0</v>
      </c>
      <c r="J52" s="616">
        <f t="shared" si="21"/>
        <v>0</v>
      </c>
      <c r="K52" s="616">
        <f t="shared" si="21"/>
        <v>0</v>
      </c>
      <c r="L52" s="616">
        <f t="shared" si="21"/>
        <v>0</v>
      </c>
      <c r="M52" s="616">
        <f t="shared" si="19"/>
        <v>0</v>
      </c>
      <c r="N52" s="616">
        <f t="shared" si="19"/>
        <v>0</v>
      </c>
      <c r="O52" s="618">
        <f t="shared" si="24"/>
        <v>0</v>
      </c>
      <c r="P52" s="618">
        <f t="shared" si="24"/>
        <v>0</v>
      </c>
      <c r="Q52" s="618">
        <f t="shared" si="24"/>
        <v>0</v>
      </c>
      <c r="R52" s="618">
        <f t="shared" si="24"/>
        <v>0</v>
      </c>
      <c r="S52" s="618">
        <f t="shared" si="24"/>
        <v>0</v>
      </c>
      <c r="T52" s="618">
        <f t="shared" si="24"/>
        <v>0</v>
      </c>
    </row>
    <row r="53" spans="2:21">
      <c r="B53" s="47" t="s">
        <v>434</v>
      </c>
      <c r="C53" s="616">
        <f t="shared" si="21"/>
        <v>0</v>
      </c>
      <c r="D53" s="616">
        <f t="shared" si="21"/>
        <v>0</v>
      </c>
      <c r="E53" s="616">
        <f t="shared" si="21"/>
        <v>0</v>
      </c>
      <c r="F53" s="616">
        <f t="shared" si="21"/>
        <v>0</v>
      </c>
      <c r="G53" s="616">
        <f t="shared" si="21"/>
        <v>1.3981786693890016E-2</v>
      </c>
      <c r="H53" s="616">
        <f t="shared" si="21"/>
        <v>0</v>
      </c>
      <c r="I53" s="616">
        <f t="shared" si="21"/>
        <v>0</v>
      </c>
      <c r="J53" s="616">
        <f t="shared" si="21"/>
        <v>0</v>
      </c>
      <c r="K53" s="616">
        <f t="shared" si="21"/>
        <v>0</v>
      </c>
      <c r="L53" s="616">
        <f t="shared" si="21"/>
        <v>0</v>
      </c>
      <c r="M53" s="616">
        <f t="shared" si="19"/>
        <v>0</v>
      </c>
      <c r="N53" s="616">
        <f t="shared" si="19"/>
        <v>0</v>
      </c>
      <c r="O53" s="618">
        <f t="shared" si="24"/>
        <v>0</v>
      </c>
      <c r="P53" s="618">
        <f t="shared" si="24"/>
        <v>0</v>
      </c>
      <c r="Q53" s="618">
        <f t="shared" si="24"/>
        <v>0</v>
      </c>
      <c r="R53" s="618">
        <f t="shared" si="24"/>
        <v>0</v>
      </c>
      <c r="S53" s="618">
        <f t="shared" si="24"/>
        <v>0</v>
      </c>
      <c r="T53" s="618">
        <f t="shared" si="24"/>
        <v>0</v>
      </c>
    </row>
    <row r="54" spans="2:21">
      <c r="B54" s="47" t="s">
        <v>435</v>
      </c>
      <c r="C54" s="616">
        <f t="shared" si="21"/>
        <v>1.5609050245218845E-2</v>
      </c>
      <c r="D54" s="616">
        <f t="shared" si="21"/>
        <v>1.6226720436576338E-2</v>
      </c>
      <c r="E54" s="616">
        <f t="shared" si="21"/>
        <v>1.3804195261568066E-2</v>
      </c>
      <c r="F54" s="616">
        <f t="shared" si="21"/>
        <v>1.4298406379174268E-2</v>
      </c>
      <c r="G54" s="616">
        <f t="shared" si="21"/>
        <v>-1.5541932939553923E-3</v>
      </c>
      <c r="H54" s="616">
        <f t="shared" si="21"/>
        <v>1.853837535812234E-2</v>
      </c>
      <c r="I54" s="616">
        <f t="shared" si="21"/>
        <v>2.5020274433356589E-2</v>
      </c>
      <c r="J54" s="616">
        <f t="shared" si="21"/>
        <v>2.5759935657225182E-2</v>
      </c>
      <c r="K54" s="616">
        <f t="shared" si="21"/>
        <v>2.2510509423288499E-2</v>
      </c>
      <c r="L54" s="616">
        <f t="shared" si="21"/>
        <v>3.3634636291930038E-2</v>
      </c>
      <c r="M54" s="616">
        <f t="shared" si="19"/>
        <v>5.165839791817483E-2</v>
      </c>
      <c r="N54" s="616">
        <f t="shared" si="19"/>
        <v>2.8845660600786645E-2</v>
      </c>
      <c r="O54" s="618">
        <f>AVERAGE(N54,L54)</f>
        <v>3.1240148446358341E-2</v>
      </c>
      <c r="P54" s="618">
        <f>AVERAGE(N54:O54)</f>
        <v>3.0042904523572493E-2</v>
      </c>
      <c r="Q54" s="618">
        <f t="shared" ref="Q54:T54" si="25">AVERAGE(O54:P54)</f>
        <v>3.0641526484965417E-2</v>
      </c>
      <c r="R54" s="618">
        <f t="shared" si="25"/>
        <v>3.0342215504268955E-2</v>
      </c>
      <c r="S54" s="618">
        <f t="shared" si="25"/>
        <v>3.0491870994617185E-2</v>
      </c>
      <c r="T54" s="618">
        <f t="shared" si="25"/>
        <v>3.0417043249443068E-2</v>
      </c>
    </row>
    <row r="55" spans="2:21">
      <c r="B55" s="47" t="s">
        <v>436</v>
      </c>
      <c r="C55" s="616">
        <f>C14/(C8+C13)</f>
        <v>-4.8576532261911706E-2</v>
      </c>
      <c r="D55" s="616">
        <f t="shared" ref="D55:N55" si="26">D14/(D8+D13)</f>
        <v>-4.5500818837693094E-2</v>
      </c>
      <c r="E55" s="616">
        <f t="shared" si="26"/>
        <v>-5.1218923237377915E-2</v>
      </c>
      <c r="F55" s="616">
        <f t="shared" si="26"/>
        <v>-8.096547880139103E-2</v>
      </c>
      <c r="G55" s="616">
        <f t="shared" si="26"/>
        <v>0</v>
      </c>
      <c r="H55" s="616">
        <f t="shared" si="26"/>
        <v>-0.40257625179891238</v>
      </c>
      <c r="I55" s="616">
        <f t="shared" si="26"/>
        <v>-0.44514989621969175</v>
      </c>
      <c r="J55" s="616">
        <f t="shared" si="26"/>
        <v>-0.4385905335028295</v>
      </c>
      <c r="K55" s="616">
        <f t="shared" si="26"/>
        <v>-0.26271163093679711</v>
      </c>
      <c r="L55" s="616">
        <f t="shared" si="26"/>
        <v>-0.19827015317134117</v>
      </c>
      <c r="M55" s="616">
        <f t="shared" si="26"/>
        <v>-0.14884361029592441</v>
      </c>
      <c r="N55" s="616">
        <f t="shared" si="26"/>
        <v>-0.39681928645115727</v>
      </c>
      <c r="O55" s="618">
        <f>AVERAGE(L55:N55)</f>
        <v>-0.24797768330614098</v>
      </c>
      <c r="P55" s="618">
        <f>AVERAGE(M55,O55)</f>
        <v>-0.19841064680103271</v>
      </c>
      <c r="Q55" s="618">
        <f>AVERAGE(O55,P55)</f>
        <v>-0.22319416505358686</v>
      </c>
      <c r="R55" s="618">
        <f>AVERAGE(P55,Q55)</f>
        <v>-0.21080240592730978</v>
      </c>
      <c r="S55" s="618">
        <f>AVERAGE(Q55,R55)</f>
        <v>-0.21699828549044831</v>
      </c>
      <c r="T55" s="618">
        <f>AVERAGE(R55,S55)</f>
        <v>-0.21390034570887906</v>
      </c>
      <c r="U55" s="169" t="s">
        <v>812</v>
      </c>
    </row>
    <row r="56" spans="2:21">
      <c r="B56" s="47" t="s">
        <v>437</v>
      </c>
      <c r="C56" s="616">
        <f t="shared" ref="C56:N58" si="27">C15/C$40</f>
        <v>0</v>
      </c>
      <c r="D56" s="616">
        <f t="shared" si="27"/>
        <v>0</v>
      </c>
      <c r="E56" s="616">
        <f t="shared" si="27"/>
        <v>0</v>
      </c>
      <c r="F56" s="616">
        <f t="shared" si="27"/>
        <v>0</v>
      </c>
      <c r="G56" s="616">
        <f t="shared" si="27"/>
        <v>0</v>
      </c>
      <c r="H56" s="616">
        <f t="shared" si="27"/>
        <v>0</v>
      </c>
      <c r="I56" s="616">
        <f t="shared" si="27"/>
        <v>0</v>
      </c>
      <c r="J56" s="616">
        <f t="shared" si="27"/>
        <v>0</v>
      </c>
      <c r="K56" s="616">
        <f t="shared" si="27"/>
        <v>0</v>
      </c>
      <c r="L56" s="616">
        <f t="shared" si="27"/>
        <v>0</v>
      </c>
      <c r="M56" s="616">
        <f t="shared" si="27"/>
        <v>0</v>
      </c>
      <c r="N56" s="616">
        <f t="shared" si="27"/>
        <v>0</v>
      </c>
      <c r="O56" s="618">
        <f t="shared" si="24"/>
        <v>0</v>
      </c>
      <c r="P56" s="618">
        <f t="shared" si="24"/>
        <v>0</v>
      </c>
      <c r="Q56" s="618">
        <f t="shared" si="24"/>
        <v>0</v>
      </c>
      <c r="R56" s="618">
        <f t="shared" si="24"/>
        <v>0</v>
      </c>
      <c r="S56" s="618">
        <f t="shared" si="24"/>
        <v>0</v>
      </c>
      <c r="T56" s="618">
        <f t="shared" si="24"/>
        <v>0</v>
      </c>
    </row>
    <row r="57" spans="2:21">
      <c r="B57" s="609" t="s">
        <v>438</v>
      </c>
      <c r="C57" s="616">
        <f t="shared" si="27"/>
        <v>7.4439786411568176E-2</v>
      </c>
      <c r="D57" s="616">
        <f t="shared" si="27"/>
        <v>7.0913740939074432E-2</v>
      </c>
      <c r="E57" s="616">
        <f t="shared" si="27"/>
        <v>6.9555412242557568E-2</v>
      </c>
      <c r="F57" s="616">
        <f t="shared" si="27"/>
        <v>5.8594217812442173E-2</v>
      </c>
      <c r="G57" s="616">
        <f t="shared" si="27"/>
        <v>5.045415875292672E-2</v>
      </c>
      <c r="H57" s="616">
        <f t="shared" si="27"/>
        <v>5.190466465395184E-2</v>
      </c>
      <c r="I57" s="616">
        <f t="shared" si="27"/>
        <v>5.174408050205348E-2</v>
      </c>
      <c r="J57" s="616">
        <f t="shared" si="27"/>
        <v>6.3244788965511389E-2</v>
      </c>
      <c r="K57" s="616">
        <f t="shared" si="27"/>
        <v>6.2709503770882052E-2</v>
      </c>
      <c r="L57" s="616">
        <f t="shared" si="27"/>
        <v>7.6080137834917252E-2</v>
      </c>
      <c r="M57" s="616">
        <f t="shared" si="27"/>
        <v>6.2076999055327368E-2</v>
      </c>
      <c r="N57" s="616">
        <f t="shared" si="27"/>
        <v>7.8311841939367563E-2</v>
      </c>
      <c r="O57" s="617">
        <f>AVERAGE(M57:N57)</f>
        <v>7.0194420497347462E-2</v>
      </c>
      <c r="P57" s="617">
        <f t="shared" ref="P57:T90" si="28">O57</f>
        <v>7.0194420497347462E-2</v>
      </c>
      <c r="Q57" s="617">
        <f t="shared" si="28"/>
        <v>7.0194420497347462E-2</v>
      </c>
      <c r="R57" s="617">
        <f t="shared" si="28"/>
        <v>7.0194420497347462E-2</v>
      </c>
      <c r="S57" s="617">
        <f t="shared" si="28"/>
        <v>7.0194420497347462E-2</v>
      </c>
      <c r="T57" s="617">
        <f t="shared" si="28"/>
        <v>7.0194420497347462E-2</v>
      </c>
    </row>
    <row r="58" spans="2:21">
      <c r="B58" s="47" t="s">
        <v>439</v>
      </c>
      <c r="C58" s="616">
        <f t="shared" si="27"/>
        <v>7.6036820564966218E-2</v>
      </c>
      <c r="D58" s="616">
        <f t="shared" si="27"/>
        <v>7.2226060555913352E-2</v>
      </c>
      <c r="E58" s="616">
        <f t="shared" si="27"/>
        <v>7.102188063219482E-2</v>
      </c>
      <c r="F58" s="616">
        <f t="shared" si="27"/>
        <v>6.1899271704289285E-2</v>
      </c>
      <c r="G58" s="616">
        <f t="shared" si="27"/>
        <v>5.6582639084249091E-2</v>
      </c>
      <c r="H58" s="616">
        <f t="shared" si="27"/>
        <v>5.7245245660446462E-2</v>
      </c>
      <c r="I58" s="616">
        <f t="shared" si="27"/>
        <v>5.4541015296700544E-2</v>
      </c>
      <c r="J58" s="616">
        <f t="shared" si="27"/>
        <v>6.6570444714224519E-2</v>
      </c>
      <c r="K58" s="616">
        <f t="shared" si="27"/>
        <v>6.4967253001822461E-2</v>
      </c>
      <c r="L58" s="616">
        <f t="shared" si="27"/>
        <v>7.8561313417089912E-2</v>
      </c>
      <c r="M58" s="616">
        <f t="shared" si="27"/>
        <v>6.4094699815203854E-2</v>
      </c>
      <c r="N58" s="616">
        <f t="shared" si="27"/>
        <v>8.1498545746261461E-2</v>
      </c>
      <c r="O58" s="618">
        <f>AVERAGE(L58:N58)</f>
        <v>7.4718186326185085E-2</v>
      </c>
      <c r="P58" s="618">
        <f>AVERAGE(M58:O58)</f>
        <v>7.3437143962550133E-2</v>
      </c>
      <c r="Q58" s="618">
        <f t="shared" ref="P58:T59" si="29">AVERAGE(N58:P58)</f>
        <v>7.6551292011665564E-2</v>
      </c>
      <c r="R58" s="618">
        <f t="shared" si="29"/>
        <v>7.4902207433466927E-2</v>
      </c>
      <c r="S58" s="618">
        <f t="shared" si="29"/>
        <v>7.496354780256087E-2</v>
      </c>
      <c r="T58" s="618">
        <f t="shared" si="29"/>
        <v>7.5472349082564449E-2</v>
      </c>
    </row>
    <row r="59" spans="2:21">
      <c r="B59" s="47" t="s">
        <v>440</v>
      </c>
      <c r="C59" s="616">
        <f>C18/C17</f>
        <v>-2.1003431515571203E-2</v>
      </c>
      <c r="D59" s="616">
        <f t="shared" ref="D59:N59" si="30">D18/D17</f>
        <v>-1.8169613664904216E-2</v>
      </c>
      <c r="E59" s="616">
        <f t="shared" si="30"/>
        <v>-2.0648121066122536E-2</v>
      </c>
      <c r="F59" s="616">
        <f t="shared" si="30"/>
        <v>-5.3394067504320721E-2</v>
      </c>
      <c r="G59" s="616">
        <f t="shared" si="30"/>
        <v>-0.10831025965751323</v>
      </c>
      <c r="H59" s="616">
        <f t="shared" si="30"/>
        <v>-9.3293005294668316E-2</v>
      </c>
      <c r="I59" s="616">
        <f t="shared" si="30"/>
        <v>-5.1281311494328997E-2</v>
      </c>
      <c r="J59" s="616">
        <f t="shared" si="30"/>
        <v>-4.995694054605767E-2</v>
      </c>
      <c r="K59" s="616">
        <f t="shared" si="30"/>
        <v>-3.4751671620839648E-2</v>
      </c>
      <c r="L59" s="616">
        <f t="shared" si="30"/>
        <v>-3.1582664217944617E-2</v>
      </c>
      <c r="M59" s="616">
        <f t="shared" si="30"/>
        <v>-3.1479993910477164E-2</v>
      </c>
      <c r="N59" s="616">
        <f t="shared" si="30"/>
        <v>-3.9101357916439559E-2</v>
      </c>
      <c r="O59" s="618">
        <f>AVERAGE(L59:N59)</f>
        <v>-3.4054672014953775E-2</v>
      </c>
      <c r="P59" s="618">
        <f t="shared" si="29"/>
        <v>-3.4878674613956828E-2</v>
      </c>
      <c r="Q59" s="618">
        <f t="shared" si="29"/>
        <v>-3.6011568181783388E-2</v>
      </c>
      <c r="R59" s="618">
        <f t="shared" si="29"/>
        <v>-3.4981638270231326E-2</v>
      </c>
      <c r="S59" s="618">
        <f t="shared" si="29"/>
        <v>-3.5290627021990512E-2</v>
      </c>
      <c r="T59" s="618">
        <f t="shared" si="29"/>
        <v>-3.5427944491335073E-2</v>
      </c>
    </row>
    <row r="60" spans="2:21">
      <c r="B60" s="609" t="s">
        <v>441</v>
      </c>
      <c r="C60" s="616">
        <f t="shared" ref="C60:N75" si="31">C19/C$40</f>
        <v>4.3804627085535144E-3</v>
      </c>
      <c r="D60" s="616">
        <f t="shared" si="31"/>
        <v>1.1259195392093708E-2</v>
      </c>
      <c r="E60" s="616">
        <f t="shared" si="31"/>
        <v>2.8749983888737354E-2</v>
      </c>
      <c r="F60" s="616">
        <f t="shared" si="31"/>
        <v>4.0962886658418877E-3</v>
      </c>
      <c r="G60" s="616">
        <f t="shared" si="31"/>
        <v>2.7595825623356802E-3</v>
      </c>
      <c r="H60" s="616">
        <f t="shared" si="31"/>
        <v>3.159577044918792E-3</v>
      </c>
      <c r="I60" s="616">
        <f t="shared" si="31"/>
        <v>7.2294859857136955E-3</v>
      </c>
      <c r="J60" s="616">
        <f t="shared" si="31"/>
        <v>5.4365428407477647E-3</v>
      </c>
      <c r="K60" s="616">
        <f t="shared" si="31"/>
        <v>8.2356930787552927E-3</v>
      </c>
      <c r="L60" s="616">
        <f t="shared" si="31"/>
        <v>7.4040997569150462E-3</v>
      </c>
      <c r="M60" s="616">
        <f t="shared" si="31"/>
        <v>7.0900176789228126E-3</v>
      </c>
      <c r="N60" s="616">
        <f t="shared" si="31"/>
        <v>8.0512768137689962E-3</v>
      </c>
      <c r="O60" s="618">
        <f>SUM(O61:O65)</f>
        <v>7.5151209581717816E-3</v>
      </c>
      <c r="P60" s="618">
        <f t="shared" ref="P60:T60" si="32">SUM(P61:P65)</f>
        <v>7.5521280252573595E-3</v>
      </c>
      <c r="Q60" s="618">
        <f t="shared" si="32"/>
        <v>7.7061752657327119E-3</v>
      </c>
      <c r="R60" s="618">
        <f t="shared" si="32"/>
        <v>7.5911414163872841E-3</v>
      </c>
      <c r="S60" s="618">
        <f t="shared" si="32"/>
        <v>7.6164815691257852E-3</v>
      </c>
      <c r="T60" s="618">
        <f t="shared" si="32"/>
        <v>7.6379327504152595E-3</v>
      </c>
    </row>
    <row r="61" spans="2:21">
      <c r="B61" s="47" t="s">
        <v>442</v>
      </c>
      <c r="C61" s="616">
        <f t="shared" si="31"/>
        <v>1.255936303441667E-3</v>
      </c>
      <c r="D61" s="616">
        <f t="shared" si="31"/>
        <v>4.7183383090860101E-3</v>
      </c>
      <c r="E61" s="616">
        <f t="shared" si="31"/>
        <v>2.2145216747678784E-3</v>
      </c>
      <c r="F61" s="616">
        <f t="shared" si="31"/>
        <v>7.2859108943011826E-4</v>
      </c>
      <c r="G61" s="616">
        <f t="shared" si="31"/>
        <v>2.4050203077714979E-3</v>
      </c>
      <c r="H61" s="616">
        <f t="shared" si="31"/>
        <v>2.5628603981206924E-3</v>
      </c>
      <c r="I61" s="616">
        <f t="shared" si="31"/>
        <v>5.1436047878133384E-3</v>
      </c>
      <c r="J61" s="616">
        <f t="shared" si="31"/>
        <v>3.372368870163533E-3</v>
      </c>
      <c r="K61" s="616">
        <f t="shared" si="31"/>
        <v>5.2024518423638534E-3</v>
      </c>
      <c r="L61" s="616">
        <f t="shared" si="31"/>
        <v>5.6541126338814666E-3</v>
      </c>
      <c r="M61" s="616">
        <f t="shared" si="31"/>
        <v>4.570095829255748E-3</v>
      </c>
      <c r="N61" s="616">
        <f t="shared" si="31"/>
        <v>5.4009565442036276E-3</v>
      </c>
      <c r="O61" s="618">
        <f>AVERAGE(L61:N61)</f>
        <v>5.2083883357802807E-3</v>
      </c>
      <c r="P61" s="618">
        <f t="shared" ref="O61:T65" si="33">AVERAGE(M61:O61)</f>
        <v>5.0598135697465518E-3</v>
      </c>
      <c r="Q61" s="618">
        <f t="shared" si="33"/>
        <v>5.2230528165768198E-3</v>
      </c>
      <c r="R61" s="618">
        <f t="shared" si="33"/>
        <v>5.1637515740345502E-3</v>
      </c>
      <c r="S61" s="618">
        <f t="shared" si="33"/>
        <v>5.1488726534526406E-3</v>
      </c>
      <c r="T61" s="618">
        <f t="shared" si="33"/>
        <v>5.1785590146880035E-3</v>
      </c>
    </row>
    <row r="62" spans="2:21">
      <c r="B62" s="47" t="s">
        <v>443</v>
      </c>
      <c r="C62" s="616">
        <f t="shared" si="31"/>
        <v>1.2860472299441215E-3</v>
      </c>
      <c r="D62" s="616">
        <f t="shared" si="31"/>
        <v>2.6149134356079594E-3</v>
      </c>
      <c r="E62" s="616">
        <f t="shared" si="31"/>
        <v>4.367117217172427E-3</v>
      </c>
      <c r="F62" s="616">
        <f t="shared" si="31"/>
        <v>3.2811018948076839E-3</v>
      </c>
      <c r="G62" s="616">
        <f t="shared" si="31"/>
        <v>2.104396246491479E-4</v>
      </c>
      <c r="H62" s="616">
        <f t="shared" si="31"/>
        <v>4.8032853585286813E-4</v>
      </c>
      <c r="I62" s="616">
        <f t="shared" si="31"/>
        <v>7.9366771044175161E-4</v>
      </c>
      <c r="J62" s="616">
        <f t="shared" si="31"/>
        <v>9.608039752866354E-4</v>
      </c>
      <c r="K62" s="616">
        <f t="shared" si="31"/>
        <v>2.3756482588280473E-3</v>
      </c>
      <c r="L62" s="616">
        <f t="shared" si="31"/>
        <v>1.2825754011630535E-3</v>
      </c>
      <c r="M62" s="616">
        <f t="shared" si="31"/>
        <v>2.2625205989241417E-3</v>
      </c>
      <c r="N62" s="616">
        <f t="shared" si="31"/>
        <v>2.2716534240784371E-3</v>
      </c>
      <c r="O62" s="618">
        <f>AVERAGE(L62:N62)</f>
        <v>1.9389164747218776E-3</v>
      </c>
      <c r="P62" s="618">
        <f t="shared" si="33"/>
        <v>2.1576968325748192E-3</v>
      </c>
      <c r="Q62" s="618">
        <f t="shared" si="33"/>
        <v>2.1227555771250444E-3</v>
      </c>
      <c r="R62" s="618">
        <f t="shared" si="33"/>
        <v>2.0731229614739137E-3</v>
      </c>
      <c r="S62" s="618">
        <f t="shared" si="33"/>
        <v>2.1178584570579256E-3</v>
      </c>
      <c r="T62" s="618">
        <f t="shared" si="33"/>
        <v>2.1045789985522944E-3</v>
      </c>
    </row>
    <row r="63" spans="2:21">
      <c r="B63" s="47" t="s">
        <v>444</v>
      </c>
      <c r="C63" s="616">
        <f t="shared" si="31"/>
        <v>4.3911767816079596E-4</v>
      </c>
      <c r="D63" s="616">
        <f t="shared" si="31"/>
        <v>3.9238437591801031E-3</v>
      </c>
      <c r="E63" s="616">
        <f t="shared" si="31"/>
        <v>2.2168344996797047E-2</v>
      </c>
      <c r="F63" s="616">
        <f t="shared" si="31"/>
        <v>8.6595681604085422E-5</v>
      </c>
      <c r="G63" s="616">
        <f t="shared" si="31"/>
        <v>1.4415044744638261E-4</v>
      </c>
      <c r="H63" s="616">
        <f t="shared" si="31"/>
        <v>1.1638811094523188E-4</v>
      </c>
      <c r="I63" s="616">
        <f t="shared" si="31"/>
        <v>1.2922134874586053E-3</v>
      </c>
      <c r="J63" s="616">
        <f t="shared" si="31"/>
        <v>1.1033699952975964E-3</v>
      </c>
      <c r="K63" s="616">
        <f t="shared" si="31"/>
        <v>6.5759297756339192E-4</v>
      </c>
      <c r="L63" s="616">
        <f t="shared" si="31"/>
        <v>4.6741172187052537E-4</v>
      </c>
      <c r="M63" s="616">
        <f t="shared" si="31"/>
        <v>2.573698756514136E-4</v>
      </c>
      <c r="N63" s="616">
        <f t="shared" si="31"/>
        <v>3.786668454869309E-4</v>
      </c>
      <c r="O63" s="618">
        <f t="shared" si="33"/>
        <v>3.6781614766962325E-4</v>
      </c>
      <c r="P63" s="618">
        <f t="shared" si="33"/>
        <v>3.3461762293598925E-4</v>
      </c>
      <c r="Q63" s="618">
        <f t="shared" si="33"/>
        <v>3.6036687203084774E-4</v>
      </c>
      <c r="R63" s="618">
        <f t="shared" si="33"/>
        <v>3.5426688087882003E-4</v>
      </c>
      <c r="S63" s="618">
        <f t="shared" si="33"/>
        <v>3.4975045861521901E-4</v>
      </c>
      <c r="T63" s="618">
        <f t="shared" si="33"/>
        <v>3.5479473717496226E-4</v>
      </c>
    </row>
    <row r="64" spans="2:21">
      <c r="B64" s="47" t="s">
        <v>445</v>
      </c>
      <c r="C64" s="616">
        <f t="shared" si="31"/>
        <v>0</v>
      </c>
      <c r="D64" s="616">
        <f t="shared" si="31"/>
        <v>0</v>
      </c>
      <c r="E64" s="616">
        <f t="shared" si="31"/>
        <v>0</v>
      </c>
      <c r="F64" s="616">
        <f t="shared" si="31"/>
        <v>0</v>
      </c>
      <c r="G64" s="616">
        <f t="shared" si="31"/>
        <v>0</v>
      </c>
      <c r="H64" s="616">
        <f t="shared" si="31"/>
        <v>0</v>
      </c>
      <c r="I64" s="616">
        <f t="shared" si="31"/>
        <v>0</v>
      </c>
      <c r="J64" s="616">
        <f t="shared" si="31"/>
        <v>0</v>
      </c>
      <c r="K64" s="616">
        <f t="shared" si="31"/>
        <v>0</v>
      </c>
      <c r="L64" s="616">
        <f t="shared" si="31"/>
        <v>0</v>
      </c>
      <c r="M64" s="616">
        <f t="shared" si="31"/>
        <v>0</v>
      </c>
      <c r="N64" s="616">
        <f t="shared" si="31"/>
        <v>0</v>
      </c>
      <c r="O64" s="618">
        <f t="shared" si="33"/>
        <v>0</v>
      </c>
      <c r="P64" s="618">
        <f t="shared" si="33"/>
        <v>0</v>
      </c>
      <c r="Q64" s="618">
        <f t="shared" si="33"/>
        <v>0</v>
      </c>
      <c r="R64" s="618">
        <f t="shared" si="33"/>
        <v>0</v>
      </c>
      <c r="S64" s="618">
        <f t="shared" si="33"/>
        <v>0</v>
      </c>
      <c r="T64" s="618">
        <f t="shared" si="33"/>
        <v>0</v>
      </c>
    </row>
    <row r="65" spans="2:20">
      <c r="B65" s="47" t="s">
        <v>446</v>
      </c>
      <c r="C65" s="616">
        <f t="shared" si="31"/>
        <v>1.3993614970069302E-3</v>
      </c>
      <c r="D65" s="616">
        <f t="shared" si="31"/>
        <v>2.0998882196344558E-6</v>
      </c>
      <c r="E65" s="616">
        <f t="shared" si="31"/>
        <v>0</v>
      </c>
      <c r="F65" s="616">
        <f t="shared" si="31"/>
        <v>0</v>
      </c>
      <c r="G65" s="616">
        <f t="shared" si="31"/>
        <v>0</v>
      </c>
      <c r="H65" s="616">
        <f t="shared" si="31"/>
        <v>0</v>
      </c>
      <c r="I65" s="616">
        <f t="shared" si="31"/>
        <v>0</v>
      </c>
      <c r="J65" s="616">
        <f t="shared" si="31"/>
        <v>0</v>
      </c>
      <c r="K65" s="616">
        <f t="shared" si="31"/>
        <v>0</v>
      </c>
      <c r="L65" s="616">
        <f t="shared" si="31"/>
        <v>0</v>
      </c>
      <c r="M65" s="616">
        <f t="shared" si="31"/>
        <v>0</v>
      </c>
      <c r="N65" s="616">
        <f t="shared" si="31"/>
        <v>0</v>
      </c>
      <c r="O65" s="618">
        <f t="shared" si="33"/>
        <v>0</v>
      </c>
      <c r="P65" s="618">
        <f t="shared" si="33"/>
        <v>0</v>
      </c>
      <c r="Q65" s="618">
        <f t="shared" si="33"/>
        <v>0</v>
      </c>
      <c r="R65" s="618">
        <f t="shared" si="33"/>
        <v>0</v>
      </c>
      <c r="S65" s="618">
        <f t="shared" si="33"/>
        <v>0</v>
      </c>
      <c r="T65" s="618">
        <f t="shared" si="33"/>
        <v>0</v>
      </c>
    </row>
    <row r="66" spans="2:20">
      <c r="B66" s="609" t="s">
        <v>486</v>
      </c>
      <c r="C66" s="616">
        <f t="shared" si="31"/>
        <v>0.3011050032928847</v>
      </c>
      <c r="D66" s="616">
        <f t="shared" si="31"/>
        <v>0.2490281385758234</v>
      </c>
      <c r="E66" s="616">
        <f t="shared" si="31"/>
        <v>0.21178177872134346</v>
      </c>
      <c r="F66" s="616">
        <f t="shared" si="31"/>
        <v>0.2164624444530816</v>
      </c>
      <c r="G66" s="616">
        <f t="shared" si="31"/>
        <v>0.16483826205744637</v>
      </c>
      <c r="H66" s="616">
        <f t="shared" si="31"/>
        <v>0.16063274392557494</v>
      </c>
      <c r="I66" s="616">
        <f t="shared" si="31"/>
        <v>0.18500708335556643</v>
      </c>
      <c r="J66" s="616">
        <f t="shared" si="31"/>
        <v>0.27519871466116341</v>
      </c>
      <c r="K66" s="616">
        <f t="shared" si="31"/>
        <v>0.2634106141830358</v>
      </c>
      <c r="L66" s="616">
        <f t="shared" si="31"/>
        <v>0.27000127735567481</v>
      </c>
      <c r="M66" s="616">
        <f t="shared" si="31"/>
        <v>0.2716185910845732</v>
      </c>
      <c r="N66" s="616">
        <f t="shared" si="31"/>
        <v>0.34302437960905113</v>
      </c>
      <c r="O66" s="617">
        <f>SUM(O67:O80)</f>
        <v>0.29514247414568623</v>
      </c>
      <c r="P66" s="617">
        <f t="shared" ref="P66:T66" si="34">SUM(P67:P80)</f>
        <v>0.28170898091686758</v>
      </c>
      <c r="Q66" s="617">
        <f t="shared" si="34"/>
        <v>0.28877813237602673</v>
      </c>
      <c r="R66" s="617">
        <f t="shared" si="34"/>
        <v>0.28347501616963677</v>
      </c>
      <c r="S66" s="617">
        <f t="shared" si="34"/>
        <v>0.28465404315417697</v>
      </c>
      <c r="T66" s="617">
        <f t="shared" si="34"/>
        <v>0.28563573056661357</v>
      </c>
    </row>
    <row r="67" spans="2:20">
      <c r="B67" s="47" t="s">
        <v>487</v>
      </c>
      <c r="C67" s="616">
        <f t="shared" si="31"/>
        <v>7.138484173740843E-2</v>
      </c>
      <c r="D67" s="616">
        <f t="shared" si="31"/>
        <v>5.7397534112315726E-2</v>
      </c>
      <c r="E67" s="616">
        <f t="shared" si="31"/>
        <v>6.1376092220932814E-2</v>
      </c>
      <c r="F67" s="616">
        <f t="shared" si="31"/>
        <v>5.9087441780781555E-2</v>
      </c>
      <c r="G67" s="616">
        <f t="shared" si="31"/>
        <v>5.6393424236018626E-2</v>
      </c>
      <c r="H67" s="616">
        <f t="shared" si="31"/>
        <v>6.4040321844394024E-2</v>
      </c>
      <c r="I67" s="616">
        <f t="shared" si="31"/>
        <v>5.9114046244734333E-2</v>
      </c>
      <c r="J67" s="616">
        <f t="shared" si="31"/>
        <v>9.1008990531720443E-2</v>
      </c>
      <c r="K67" s="616">
        <f t="shared" si="31"/>
        <v>7.908383192653072E-2</v>
      </c>
      <c r="L67" s="616">
        <f t="shared" si="31"/>
        <v>8.1295530827621754E-2</v>
      </c>
      <c r="M67" s="616">
        <f t="shared" si="31"/>
        <v>8.290077279046644E-2</v>
      </c>
      <c r="N67" s="616">
        <f t="shared" si="31"/>
        <v>9.2846113007814535E-2</v>
      </c>
      <c r="O67" s="617">
        <f>AVERAGE(L67:N67)</f>
        <v>8.5680805541967567E-2</v>
      </c>
      <c r="P67" s="617">
        <f t="shared" ref="P67:T80" si="35">AVERAGE(M67:O67)</f>
        <v>8.7142563780082838E-2</v>
      </c>
      <c r="Q67" s="617">
        <f t="shared" si="35"/>
        <v>8.8556494109954975E-2</v>
      </c>
      <c r="R67" s="617">
        <f t="shared" si="35"/>
        <v>8.7126621144001784E-2</v>
      </c>
      <c r="S67" s="617">
        <f t="shared" si="35"/>
        <v>8.760855967801319E-2</v>
      </c>
      <c r="T67" s="617">
        <f t="shared" si="35"/>
        <v>8.7763891643989969E-2</v>
      </c>
    </row>
    <row r="68" spans="2:20">
      <c r="B68" s="47" t="s">
        <v>488</v>
      </c>
      <c r="C68" s="616">
        <f t="shared" si="31"/>
        <v>3.0668536252500033E-3</v>
      </c>
      <c r="D68" s="616">
        <f t="shared" si="31"/>
        <v>1.4059525273480969E-2</v>
      </c>
      <c r="E68" s="616">
        <f t="shared" si="31"/>
        <v>1.6039162701115176E-2</v>
      </c>
      <c r="F68" s="616">
        <f t="shared" si="31"/>
        <v>2.6101827689450278E-3</v>
      </c>
      <c r="G68" s="616">
        <f t="shared" si="31"/>
        <v>3.0728079653164343E-3</v>
      </c>
      <c r="H68" s="616">
        <f t="shared" si="31"/>
        <v>1.1236954161923805E-3</v>
      </c>
      <c r="I68" s="616">
        <f t="shared" si="31"/>
        <v>2.3144469124566493E-3</v>
      </c>
      <c r="J68" s="616">
        <f t="shared" si="31"/>
        <v>2.3983320382322633E-3</v>
      </c>
      <c r="K68" s="616">
        <f t="shared" si="31"/>
        <v>1.0558023760713689E-3</v>
      </c>
      <c r="L68" s="616">
        <f t="shared" si="31"/>
        <v>1.4707481775194133E-3</v>
      </c>
      <c r="M68" s="616">
        <f t="shared" si="31"/>
        <v>2.9652912736426612E-3</v>
      </c>
      <c r="N68" s="616">
        <f t="shared" si="31"/>
        <v>3.2602122233951294E-3</v>
      </c>
      <c r="O68" s="617">
        <f>AVERAGE(M68:N68)</f>
        <v>3.1127517485188953E-3</v>
      </c>
      <c r="P68" s="617">
        <f t="shared" si="35"/>
        <v>3.1127517485188953E-3</v>
      </c>
      <c r="Q68" s="617">
        <f t="shared" si="35"/>
        <v>3.1619052401443068E-3</v>
      </c>
      <c r="R68" s="617">
        <f t="shared" si="35"/>
        <v>3.1291362457273653E-3</v>
      </c>
      <c r="S68" s="617">
        <f t="shared" si="35"/>
        <v>3.1345977447968555E-3</v>
      </c>
      <c r="T68" s="617">
        <f t="shared" si="35"/>
        <v>3.1418797435561756E-3</v>
      </c>
    </row>
    <row r="69" spans="2:20">
      <c r="B69" s="47" t="s">
        <v>489</v>
      </c>
      <c r="C69" s="616">
        <f t="shared" si="31"/>
        <v>9.3971461931285347E-2</v>
      </c>
      <c r="D69" s="616">
        <f t="shared" si="31"/>
        <v>3.1573403508404818E-2</v>
      </c>
      <c r="E69" s="616">
        <f t="shared" si="31"/>
        <v>2.6293875057338104E-2</v>
      </c>
      <c r="F69" s="616">
        <f t="shared" si="31"/>
        <v>3.5379848696492258E-2</v>
      </c>
      <c r="G69" s="616">
        <f t="shared" si="31"/>
        <v>3.0616364447269964E-2</v>
      </c>
      <c r="H69" s="616">
        <f t="shared" si="31"/>
        <v>2.2585256731961163E-2</v>
      </c>
      <c r="I69" s="616">
        <f t="shared" si="31"/>
        <v>4.4965610355217803E-2</v>
      </c>
      <c r="J69" s="616">
        <f t="shared" si="31"/>
        <v>5.3726725054529606E-2</v>
      </c>
      <c r="K69" s="616">
        <f t="shared" si="31"/>
        <v>4.634249427457849E-2</v>
      </c>
      <c r="L69" s="616">
        <f t="shared" si="31"/>
        <v>4.459799850742089E-2</v>
      </c>
      <c r="M69" s="616">
        <f t="shared" si="31"/>
        <v>4.1442134746166252E-2</v>
      </c>
      <c r="N69" s="616">
        <f t="shared" si="31"/>
        <v>6.2808016875029363E-2</v>
      </c>
      <c r="O69" s="617">
        <f>AVERAGE(M69:N69)</f>
        <v>5.2125075810597804E-2</v>
      </c>
      <c r="P69" s="617">
        <f t="shared" si="35"/>
        <v>5.2125075810597804E-2</v>
      </c>
      <c r="Q69" s="617">
        <f t="shared" si="35"/>
        <v>5.5686056165408317E-2</v>
      </c>
      <c r="R69" s="617">
        <f t="shared" si="35"/>
        <v>5.3312069262201306E-2</v>
      </c>
      <c r="S69" s="617">
        <f t="shared" si="35"/>
        <v>5.3707733746069138E-2</v>
      </c>
      <c r="T69" s="617">
        <f t="shared" si="35"/>
        <v>5.4235286391226246E-2</v>
      </c>
    </row>
    <row r="70" spans="2:20">
      <c r="B70" s="47" t="s">
        <v>490</v>
      </c>
      <c r="C70" s="616">
        <f t="shared" si="31"/>
        <v>1.0511780202981897E-2</v>
      </c>
      <c r="D70" s="616">
        <f t="shared" si="31"/>
        <v>7.9952691360418854E-3</v>
      </c>
      <c r="E70" s="616">
        <f t="shared" si="31"/>
        <v>8.6738785367165699E-3</v>
      </c>
      <c r="F70" s="616">
        <f t="shared" si="31"/>
        <v>6.4990921783686208E-3</v>
      </c>
      <c r="G70" s="616">
        <f t="shared" si="31"/>
        <v>8.5871050220018598E-3</v>
      </c>
      <c r="H70" s="616">
        <f t="shared" si="31"/>
        <v>1.0280439673173953E-2</v>
      </c>
      <c r="I70" s="616">
        <f t="shared" si="31"/>
        <v>1.2895955856739831E-2</v>
      </c>
      <c r="J70" s="616">
        <f t="shared" si="31"/>
        <v>8.2846782554135464E-3</v>
      </c>
      <c r="K70" s="616">
        <f t="shared" si="31"/>
        <v>5.432789492143362E-3</v>
      </c>
      <c r="L70" s="616">
        <f t="shared" si="31"/>
        <v>7.7286748162024377E-3</v>
      </c>
      <c r="M70" s="616">
        <f t="shared" si="31"/>
        <v>4.0375036508840858E-3</v>
      </c>
      <c r="N70" s="616">
        <f t="shared" si="31"/>
        <v>5.0557026153081686E-3</v>
      </c>
      <c r="O70" s="617">
        <f t="shared" ref="O70:O80" si="36">AVERAGE(L70:N70)</f>
        <v>5.607293694131564E-3</v>
      </c>
      <c r="P70" s="617">
        <f t="shared" si="35"/>
        <v>4.9001666534412734E-3</v>
      </c>
      <c r="Q70" s="617">
        <f t="shared" si="35"/>
        <v>5.1877209876270017E-3</v>
      </c>
      <c r="R70" s="617">
        <f t="shared" si="35"/>
        <v>5.23172711173328E-3</v>
      </c>
      <c r="S70" s="617">
        <f t="shared" si="35"/>
        <v>5.1065382509338517E-3</v>
      </c>
      <c r="T70" s="617">
        <f t="shared" si="35"/>
        <v>5.1753287834313778E-3</v>
      </c>
    </row>
    <row r="71" spans="2:20">
      <c r="B71" s="47" t="s">
        <v>491</v>
      </c>
      <c r="C71" s="616">
        <f t="shared" si="31"/>
        <v>1.8724734552865687E-2</v>
      </c>
      <c r="D71" s="616">
        <f t="shared" si="31"/>
        <v>1.3199418426747536E-2</v>
      </c>
      <c r="E71" s="616">
        <f t="shared" si="31"/>
        <v>1.229892898868574E-2</v>
      </c>
      <c r="F71" s="616">
        <f t="shared" si="31"/>
        <v>5.7474849452632528E-3</v>
      </c>
      <c r="G71" s="616">
        <f t="shared" si="31"/>
        <v>1.3162393490497378E-2</v>
      </c>
      <c r="H71" s="616">
        <f t="shared" si="31"/>
        <v>1.142959746231173E-2</v>
      </c>
      <c r="I71" s="616">
        <f t="shared" si="31"/>
        <v>8.4874736260700679E-3</v>
      </c>
      <c r="J71" s="616">
        <f t="shared" si="31"/>
        <v>1.4055341247314659E-2</v>
      </c>
      <c r="K71" s="616">
        <f t="shared" si="31"/>
        <v>1.4702128849343224E-2</v>
      </c>
      <c r="L71" s="616">
        <f t="shared" si="31"/>
        <v>1.5960445898570475E-2</v>
      </c>
      <c r="M71" s="616">
        <f t="shared" si="31"/>
        <v>1.6185060580752315E-2</v>
      </c>
      <c r="N71" s="616">
        <f t="shared" si="31"/>
        <v>2.2414543279036251E-2</v>
      </c>
      <c r="O71" s="617">
        <f t="shared" si="36"/>
        <v>1.8186683252786346E-2</v>
      </c>
      <c r="P71" s="617">
        <f t="shared" si="35"/>
        <v>1.8928762370858304E-2</v>
      </c>
      <c r="Q71" s="617">
        <f t="shared" si="35"/>
        <v>1.9843329634226966E-2</v>
      </c>
      <c r="R71" s="617">
        <f t="shared" si="35"/>
        <v>1.8986258419290539E-2</v>
      </c>
      <c r="S71" s="617">
        <f t="shared" si="35"/>
        <v>1.9252783474791937E-2</v>
      </c>
      <c r="T71" s="617">
        <f t="shared" si="35"/>
        <v>1.9360790509436482E-2</v>
      </c>
    </row>
    <row r="72" spans="2:20">
      <c r="B72" s="47" t="s">
        <v>492</v>
      </c>
      <c r="C72" s="616">
        <f t="shared" si="31"/>
        <v>0</v>
      </c>
      <c r="D72" s="616">
        <f t="shared" si="31"/>
        <v>0</v>
      </c>
      <c r="E72" s="616">
        <f t="shared" si="31"/>
        <v>0</v>
      </c>
      <c r="F72" s="616">
        <f t="shared" si="31"/>
        <v>0</v>
      </c>
      <c r="G72" s="616">
        <f t="shared" si="31"/>
        <v>0</v>
      </c>
      <c r="H72" s="616">
        <f t="shared" si="31"/>
        <v>0</v>
      </c>
      <c r="I72" s="616">
        <f t="shared" si="31"/>
        <v>0</v>
      </c>
      <c r="J72" s="616">
        <f t="shared" si="31"/>
        <v>0</v>
      </c>
      <c r="K72" s="616">
        <f t="shared" si="31"/>
        <v>0</v>
      </c>
      <c r="L72" s="616">
        <f t="shared" si="31"/>
        <v>0</v>
      </c>
      <c r="M72" s="616">
        <f t="shared" si="31"/>
        <v>0</v>
      </c>
      <c r="N72" s="616">
        <f t="shared" si="31"/>
        <v>0</v>
      </c>
      <c r="O72" s="617">
        <f t="shared" si="36"/>
        <v>0</v>
      </c>
      <c r="P72" s="617">
        <f t="shared" si="35"/>
        <v>0</v>
      </c>
      <c r="Q72" s="617">
        <f t="shared" si="35"/>
        <v>0</v>
      </c>
      <c r="R72" s="617">
        <f t="shared" si="35"/>
        <v>0</v>
      </c>
      <c r="S72" s="617">
        <f t="shared" si="35"/>
        <v>0</v>
      </c>
      <c r="T72" s="617">
        <f t="shared" si="35"/>
        <v>0</v>
      </c>
    </row>
    <row r="73" spans="2:20">
      <c r="B73" s="47" t="s">
        <v>493</v>
      </c>
      <c r="C73" s="616">
        <f t="shared" si="31"/>
        <v>0</v>
      </c>
      <c r="D73" s="616">
        <f t="shared" si="31"/>
        <v>0</v>
      </c>
      <c r="E73" s="616">
        <f t="shared" si="31"/>
        <v>0</v>
      </c>
      <c r="F73" s="616">
        <f t="shared" si="31"/>
        <v>0</v>
      </c>
      <c r="G73" s="616">
        <f t="shared" si="31"/>
        <v>0</v>
      </c>
      <c r="H73" s="616">
        <f t="shared" si="31"/>
        <v>0</v>
      </c>
      <c r="I73" s="616">
        <f t="shared" si="31"/>
        <v>0</v>
      </c>
      <c r="J73" s="616">
        <f t="shared" si="31"/>
        <v>0</v>
      </c>
      <c r="K73" s="616">
        <f t="shared" si="31"/>
        <v>0</v>
      </c>
      <c r="L73" s="616">
        <f t="shared" si="31"/>
        <v>0</v>
      </c>
      <c r="M73" s="616">
        <f t="shared" si="31"/>
        <v>0</v>
      </c>
      <c r="N73" s="616">
        <f t="shared" si="31"/>
        <v>0</v>
      </c>
      <c r="O73" s="617">
        <f t="shared" si="36"/>
        <v>0</v>
      </c>
      <c r="P73" s="617">
        <f t="shared" si="35"/>
        <v>0</v>
      </c>
      <c r="Q73" s="617">
        <f t="shared" si="35"/>
        <v>0</v>
      </c>
      <c r="R73" s="617">
        <f t="shared" si="35"/>
        <v>0</v>
      </c>
      <c r="S73" s="617">
        <f t="shared" si="35"/>
        <v>0</v>
      </c>
      <c r="T73" s="617">
        <f t="shared" si="35"/>
        <v>0</v>
      </c>
    </row>
    <row r="74" spans="2:20">
      <c r="B74" s="47" t="s">
        <v>494</v>
      </c>
      <c r="C74" s="616">
        <f t="shared" si="31"/>
        <v>0</v>
      </c>
      <c r="D74" s="616">
        <f t="shared" si="31"/>
        <v>6.3401888175278927E-5</v>
      </c>
      <c r="E74" s="616">
        <f t="shared" si="31"/>
        <v>2.617057891741344E-5</v>
      </c>
      <c r="F74" s="616">
        <f t="shared" si="31"/>
        <v>1.77227230841188E-5</v>
      </c>
      <c r="G74" s="616">
        <f t="shared" si="31"/>
        <v>4.8374687014523228E-5</v>
      </c>
      <c r="H74" s="616">
        <f t="shared" si="31"/>
        <v>2.4538867190901304E-5</v>
      </c>
      <c r="I74" s="616">
        <f t="shared" si="31"/>
        <v>2.7967202125335697E-5</v>
      </c>
      <c r="J74" s="616">
        <f t="shared" si="31"/>
        <v>1.9602827751507125E-5</v>
      </c>
      <c r="K74" s="616">
        <f t="shared" si="31"/>
        <v>6.5753580053725825E-6</v>
      </c>
      <c r="L74" s="616">
        <f t="shared" si="31"/>
        <v>0</v>
      </c>
      <c r="M74" s="616">
        <f t="shared" si="31"/>
        <v>7.1535208641377907E-6</v>
      </c>
      <c r="N74" s="616">
        <f t="shared" si="31"/>
        <v>2.109069648432768E-5</v>
      </c>
      <c r="O74" s="617">
        <f t="shared" si="36"/>
        <v>9.4147391161551576E-6</v>
      </c>
      <c r="P74" s="617">
        <f t="shared" si="35"/>
        <v>1.2552985488206877E-5</v>
      </c>
      <c r="Q74" s="617">
        <f t="shared" si="35"/>
        <v>1.4352807029563239E-5</v>
      </c>
      <c r="R74" s="617">
        <f t="shared" si="35"/>
        <v>1.2106843877975091E-5</v>
      </c>
      <c r="S74" s="617">
        <f t="shared" si="35"/>
        <v>1.3004212131915069E-5</v>
      </c>
      <c r="T74" s="617">
        <f t="shared" si="35"/>
        <v>1.3154621013151132E-5</v>
      </c>
    </row>
    <row r="75" spans="2:20">
      <c r="B75" s="47" t="s">
        <v>495</v>
      </c>
      <c r="C75" s="616">
        <f t="shared" si="31"/>
        <v>4.0953926896963477E-2</v>
      </c>
      <c r="D75" s="616">
        <f t="shared" si="31"/>
        <v>3.842419672460172E-2</v>
      </c>
      <c r="E75" s="616">
        <f t="shared" si="31"/>
        <v>4.2163844965752199E-2</v>
      </c>
      <c r="F75" s="616">
        <f t="shared" si="31"/>
        <v>7.6920741788961494E-2</v>
      </c>
      <c r="G75" s="616">
        <f t="shared" si="31"/>
        <v>3.0030109974106607E-2</v>
      </c>
      <c r="H75" s="616">
        <f t="shared" si="31"/>
        <v>2.8479545402973056E-2</v>
      </c>
      <c r="I75" s="616">
        <f t="shared" si="31"/>
        <v>3.4580622863209197E-2</v>
      </c>
      <c r="J75" s="616">
        <f t="shared" si="31"/>
        <v>8.4471883516281682E-2</v>
      </c>
      <c r="K75" s="616">
        <f t="shared" si="31"/>
        <v>9.1600054478270507E-2</v>
      </c>
      <c r="L75" s="616">
        <f t="shared" si="31"/>
        <v>9.515974775524684E-2</v>
      </c>
      <c r="M75" s="616">
        <f t="shared" si="31"/>
        <v>0.11011697041990885</v>
      </c>
      <c r="N75" s="616">
        <f t="shared" si="31"/>
        <v>0.13733689861385454</v>
      </c>
      <c r="O75" s="617">
        <f>AVERAGE(L75:N75)</f>
        <v>0.11420453892967009</v>
      </c>
      <c r="P75" s="617">
        <v>9.9000000000000005E-2</v>
      </c>
      <c r="Q75" s="617">
        <v>9.9000000000000005E-2</v>
      </c>
      <c r="R75" s="617">
        <v>9.9000000000000005E-2</v>
      </c>
      <c r="S75" s="617">
        <v>9.9000000000000005E-2</v>
      </c>
      <c r="T75" s="617">
        <v>9.9000000000000005E-2</v>
      </c>
    </row>
    <row r="76" spans="2:20">
      <c r="B76" s="619" t="s">
        <v>496</v>
      </c>
      <c r="C76" s="616">
        <f t="shared" ref="C76:N80" si="37">C35/C$40</f>
        <v>1.7420047225562903E-2</v>
      </c>
      <c r="D76" s="616">
        <f t="shared" si="37"/>
        <v>3.8743490254418769E-2</v>
      </c>
      <c r="E76" s="616">
        <f t="shared" si="37"/>
        <v>3.4097320139261499E-2</v>
      </c>
      <c r="F76" s="616">
        <f t="shared" si="37"/>
        <v>2.1141629386801676E-2</v>
      </c>
      <c r="G76" s="616">
        <f t="shared" si="37"/>
        <v>1.6530373280949584E-2</v>
      </c>
      <c r="H76" s="616">
        <f t="shared" si="37"/>
        <v>1.4789575255956216E-2</v>
      </c>
      <c r="I76" s="616">
        <f t="shared" si="37"/>
        <v>1.6050455979838438E-2</v>
      </c>
      <c r="J76" s="616">
        <f t="shared" si="37"/>
        <v>1.2199480498523039E-2</v>
      </c>
      <c r="K76" s="616">
        <f t="shared" si="37"/>
        <v>1.8829138007158793E-2</v>
      </c>
      <c r="L76" s="616">
        <f t="shared" si="37"/>
        <v>1.7403322707086652E-2</v>
      </c>
      <c r="M76" s="616">
        <f t="shared" si="37"/>
        <v>7.6989454549367875E-3</v>
      </c>
      <c r="N76" s="616">
        <f t="shared" si="37"/>
        <v>1.0336140893887066E-2</v>
      </c>
      <c r="O76" s="617">
        <f>AVERAGE(M76:N76)</f>
        <v>9.017543174411927E-3</v>
      </c>
      <c r="P76" s="617">
        <f t="shared" si="35"/>
        <v>9.017543174411927E-3</v>
      </c>
      <c r="Q76" s="617">
        <f t="shared" si="35"/>
        <v>9.4570757475703066E-3</v>
      </c>
      <c r="R76" s="617">
        <f t="shared" si="35"/>
        <v>9.1640540321313874E-3</v>
      </c>
      <c r="S76" s="617">
        <f t="shared" si="35"/>
        <v>9.2128909847045398E-3</v>
      </c>
      <c r="T76" s="617">
        <f t="shared" si="35"/>
        <v>9.2780069214687452E-3</v>
      </c>
    </row>
    <row r="77" spans="2:20">
      <c r="B77" s="47" t="s">
        <v>497</v>
      </c>
      <c r="C77" s="616">
        <f t="shared" si="37"/>
        <v>3.6051222828224531E-2</v>
      </c>
      <c r="D77" s="616">
        <f t="shared" si="37"/>
        <v>3.6553306841340033E-2</v>
      </c>
      <c r="E77" s="616">
        <f t="shared" si="37"/>
        <v>0</v>
      </c>
      <c r="F77" s="616">
        <f t="shared" si="37"/>
        <v>3.7992722043859295E-4</v>
      </c>
      <c r="G77" s="616">
        <f t="shared" si="37"/>
        <v>2.133048303780127E-4</v>
      </c>
      <c r="H77" s="616">
        <f t="shared" si="37"/>
        <v>9.7917995855306168E-5</v>
      </c>
      <c r="I77" s="616">
        <f t="shared" si="37"/>
        <v>7.1527371164541423E-6</v>
      </c>
      <c r="J77" s="616">
        <f t="shared" si="37"/>
        <v>0</v>
      </c>
      <c r="K77" s="616">
        <f t="shared" si="37"/>
        <v>0</v>
      </c>
      <c r="L77" s="616">
        <f t="shared" si="37"/>
        <v>3.9065876459188452E-6</v>
      </c>
      <c r="M77" s="616">
        <f t="shared" si="37"/>
        <v>7.8751479688534447E-6</v>
      </c>
      <c r="N77" s="616">
        <f t="shared" si="37"/>
        <v>1.0390837645209059E-5</v>
      </c>
      <c r="O77" s="617">
        <f t="shared" si="36"/>
        <v>7.3908577533271159E-6</v>
      </c>
      <c r="P77" s="617">
        <f t="shared" si="35"/>
        <v>8.5522811224632061E-6</v>
      </c>
      <c r="Q77" s="617">
        <f t="shared" si="35"/>
        <v>8.7779921736664599E-6</v>
      </c>
      <c r="R77" s="617">
        <f t="shared" si="35"/>
        <v>8.2403770164855942E-6</v>
      </c>
      <c r="S77" s="617">
        <f t="shared" si="35"/>
        <v>8.5235501042050873E-6</v>
      </c>
      <c r="T77" s="617">
        <f t="shared" si="35"/>
        <v>8.5139730981190477E-6</v>
      </c>
    </row>
    <row r="78" spans="2:20">
      <c r="B78" s="47" t="s">
        <v>498</v>
      </c>
      <c r="C78" s="616">
        <f t="shared" si="37"/>
        <v>9.020094463074585E-3</v>
      </c>
      <c r="D78" s="616">
        <f t="shared" si="37"/>
        <v>1.1018592410296643E-2</v>
      </c>
      <c r="E78" s="616">
        <f t="shared" si="37"/>
        <v>1.0812538245847596E-2</v>
      </c>
      <c r="F78" s="616">
        <f t="shared" si="37"/>
        <v>8.6783729639449917E-3</v>
      </c>
      <c r="G78" s="616">
        <f t="shared" si="37"/>
        <v>6.1839763063620389E-3</v>
      </c>
      <c r="H78" s="616">
        <f t="shared" si="37"/>
        <v>7.7818552755662017E-3</v>
      </c>
      <c r="I78" s="616">
        <f t="shared" si="37"/>
        <v>6.5633873417439035E-3</v>
      </c>
      <c r="J78" s="616">
        <f t="shared" si="37"/>
        <v>9.0336427749019808E-3</v>
      </c>
      <c r="K78" s="616">
        <f t="shared" si="37"/>
        <v>6.3577994209339499E-3</v>
      </c>
      <c r="L78" s="616">
        <f t="shared" si="37"/>
        <v>6.3808692498928234E-3</v>
      </c>
      <c r="M78" s="616">
        <f t="shared" si="37"/>
        <v>6.2567893737083069E-3</v>
      </c>
      <c r="N78" s="616">
        <f t="shared" si="37"/>
        <v>8.9352705665965391E-3</v>
      </c>
      <c r="O78" s="617">
        <f t="shared" si="36"/>
        <v>7.1909763967325556E-3</v>
      </c>
      <c r="P78" s="617">
        <f t="shared" si="35"/>
        <v>7.4610121123457997E-3</v>
      </c>
      <c r="Q78" s="617">
        <f t="shared" si="35"/>
        <v>7.8624196918916315E-3</v>
      </c>
      <c r="R78" s="617">
        <f t="shared" si="35"/>
        <v>7.504802733656662E-3</v>
      </c>
      <c r="S78" s="617">
        <f t="shared" si="35"/>
        <v>7.6094115126313644E-3</v>
      </c>
      <c r="T78" s="617">
        <f t="shared" si="35"/>
        <v>7.6588779793932199E-3</v>
      </c>
    </row>
    <row r="79" spans="2:20">
      <c r="B79" s="47" t="s">
        <v>500</v>
      </c>
      <c r="C79" s="616">
        <f t="shared" si="37"/>
        <v>0</v>
      </c>
      <c r="D79" s="616">
        <f t="shared" si="37"/>
        <v>0</v>
      </c>
      <c r="E79" s="616">
        <f t="shared" si="37"/>
        <v>0</v>
      </c>
      <c r="F79" s="616">
        <f t="shared" si="37"/>
        <v>0</v>
      </c>
      <c r="G79" s="616">
        <f t="shared" si="37"/>
        <v>0</v>
      </c>
      <c r="H79" s="616">
        <f t="shared" si="37"/>
        <v>0</v>
      </c>
      <c r="I79" s="616">
        <f t="shared" si="37"/>
        <v>0</v>
      </c>
      <c r="J79" s="616">
        <f t="shared" si="37"/>
        <v>0</v>
      </c>
      <c r="K79" s="616">
        <f t="shared" si="37"/>
        <v>0</v>
      </c>
      <c r="L79" s="616">
        <f t="shared" si="37"/>
        <v>0</v>
      </c>
      <c r="M79" s="616">
        <f t="shared" si="37"/>
        <v>0</v>
      </c>
      <c r="N79" s="616">
        <f t="shared" si="37"/>
        <v>0</v>
      </c>
      <c r="O79" s="617">
        <f t="shared" si="36"/>
        <v>0</v>
      </c>
      <c r="P79" s="617">
        <f t="shared" si="35"/>
        <v>0</v>
      </c>
      <c r="Q79" s="617">
        <f t="shared" si="35"/>
        <v>0</v>
      </c>
      <c r="R79" s="617">
        <f t="shared" si="35"/>
        <v>0</v>
      </c>
      <c r="S79" s="617">
        <f t="shared" si="35"/>
        <v>0</v>
      </c>
      <c r="T79" s="617">
        <f t="shared" si="35"/>
        <v>0</v>
      </c>
    </row>
    <row r="80" spans="2:20">
      <c r="B80" s="98" t="s">
        <v>445</v>
      </c>
      <c r="C80" s="616">
        <f t="shared" si="37"/>
        <v>0</v>
      </c>
      <c r="D80" s="616">
        <f t="shared" si="37"/>
        <v>0</v>
      </c>
      <c r="E80" s="616">
        <f t="shared" si="37"/>
        <v>0</v>
      </c>
      <c r="F80" s="616">
        <f t="shared" si="37"/>
        <v>0</v>
      </c>
      <c r="G80" s="616">
        <f t="shared" si="37"/>
        <v>0</v>
      </c>
      <c r="H80" s="616">
        <f t="shared" si="37"/>
        <v>0</v>
      </c>
      <c r="I80" s="616">
        <f t="shared" si="37"/>
        <v>0</v>
      </c>
      <c r="J80" s="616">
        <f t="shared" si="37"/>
        <v>0</v>
      </c>
      <c r="K80" s="616">
        <f t="shared" si="37"/>
        <v>0</v>
      </c>
      <c r="L80" s="616">
        <f t="shared" si="37"/>
        <v>0</v>
      </c>
      <c r="M80" s="616">
        <f t="shared" si="37"/>
        <v>0</v>
      </c>
      <c r="N80" s="616">
        <f t="shared" si="37"/>
        <v>0</v>
      </c>
      <c r="O80" s="617">
        <f t="shared" si="36"/>
        <v>0</v>
      </c>
      <c r="P80" s="617">
        <f t="shared" si="35"/>
        <v>0</v>
      </c>
      <c r="Q80" s="617">
        <f t="shared" si="35"/>
        <v>0</v>
      </c>
      <c r="R80" s="617">
        <f t="shared" si="35"/>
        <v>0</v>
      </c>
      <c r="S80" s="617">
        <f t="shared" si="35"/>
        <v>0</v>
      </c>
      <c r="T80" s="617">
        <f t="shared" si="35"/>
        <v>0</v>
      </c>
    </row>
    <row r="83" spans="2:20">
      <c r="B83" s="620" t="s">
        <v>478</v>
      </c>
      <c r="C83" s="630">
        <f>'1BS'!D62</f>
        <v>1355438</v>
      </c>
      <c r="D83" s="630">
        <f>'1BS'!E62</f>
        <v>1141597</v>
      </c>
      <c r="E83" s="630">
        <f>'1BS'!F62</f>
        <v>895665</v>
      </c>
      <c r="F83" s="630">
        <f>'1BS'!G62</f>
        <v>967676</v>
      </c>
      <c r="G83" s="630">
        <f>'1BS'!H62</f>
        <v>785635</v>
      </c>
      <c r="H83" s="630">
        <f>'1BS'!I62</f>
        <v>574377</v>
      </c>
      <c r="I83" s="630">
        <f>'1BS'!J62</f>
        <v>530531</v>
      </c>
      <c r="J83" s="630">
        <f>'1BS'!K62</f>
        <v>477646</v>
      </c>
      <c r="K83" s="630">
        <f>'1BS'!L62</f>
        <v>611356</v>
      </c>
      <c r="L83" s="630">
        <f>'1BS'!M62</f>
        <v>788417</v>
      </c>
      <c r="M83" s="630">
        <f>'1BS'!N62</f>
        <v>682575</v>
      </c>
      <c r="N83" s="630">
        <f>'1BS'!O62</f>
        <v>778330</v>
      </c>
      <c r="O83" s="621">
        <f>SUM(O84:O88)</f>
        <v>659341.50264375343</v>
      </c>
      <c r="P83" s="621">
        <f t="shared" ref="P83:T83" si="38">SUM(P84:P88)</f>
        <v>674531.31502388197</v>
      </c>
      <c r="Q83" s="621">
        <f t="shared" si="38"/>
        <v>705386.90961139894</v>
      </c>
      <c r="R83" s="621">
        <f t="shared" si="38"/>
        <v>722802.16259649163</v>
      </c>
      <c r="S83" s="621">
        <f t="shared" si="38"/>
        <v>751631.90354470117</v>
      </c>
      <c r="T83" s="622">
        <f t="shared" si="38"/>
        <v>770280.83289947652</v>
      </c>
    </row>
    <row r="84" spans="2:20">
      <c r="B84" s="47" t="s">
        <v>479</v>
      </c>
      <c r="C84" s="631">
        <f>'1BS'!D63</f>
        <v>1109120</v>
      </c>
      <c r="D84" s="631">
        <f>'1BS'!E63</f>
        <v>626305</v>
      </c>
      <c r="E84" s="631">
        <f>'1BS'!F63</f>
        <v>756356</v>
      </c>
      <c r="F84" s="631">
        <f>'1BS'!G63</f>
        <v>816991</v>
      </c>
      <c r="G84" s="631">
        <f>'1BS'!H63</f>
        <v>551795</v>
      </c>
      <c r="H84" s="631">
        <f>'1BS'!I63</f>
        <v>328605</v>
      </c>
      <c r="I84" s="631">
        <f>'1BS'!J63</f>
        <v>330639</v>
      </c>
      <c r="J84" s="631">
        <f>'1BS'!K63</f>
        <v>263131</v>
      </c>
      <c r="K84" s="631">
        <f>'1BS'!L63</f>
        <v>383451</v>
      </c>
      <c r="L84" s="631">
        <f>'1BS'!M63</f>
        <v>550304</v>
      </c>
      <c r="M84" s="631">
        <f>'1BS'!N63</f>
        <v>455035</v>
      </c>
      <c r="N84" s="631">
        <f>'1BS'!O63</f>
        <v>552323</v>
      </c>
      <c r="O84" s="614">
        <f>O91*O$40</f>
        <v>483336.42189414479</v>
      </c>
      <c r="P84" s="614">
        <f t="shared" ref="O84:T88" si="39">P91*P$40</f>
        <v>494044.56472207262</v>
      </c>
      <c r="Q84" s="614">
        <f t="shared" si="39"/>
        <v>516644.01779074274</v>
      </c>
      <c r="R84" s="614">
        <f t="shared" si="39"/>
        <v>529399.40940697968</v>
      </c>
      <c r="S84" s="614">
        <f t="shared" si="39"/>
        <v>550515.07372169581</v>
      </c>
      <c r="T84" s="615">
        <f t="shared" si="39"/>
        <v>564174.04252032959</v>
      </c>
    </row>
    <row r="85" spans="2:20">
      <c r="B85" s="47" t="s">
        <v>480</v>
      </c>
      <c r="C85" s="631">
        <f>'1BS'!D64</f>
        <v>217944</v>
      </c>
      <c r="D85" s="631">
        <f>'1BS'!E64</f>
        <v>486985</v>
      </c>
      <c r="E85" s="631">
        <f>'1BS'!F64</f>
        <v>121283</v>
      </c>
      <c r="F85" s="631">
        <f>'1BS'!G64</f>
        <v>136822</v>
      </c>
      <c r="G85" s="631">
        <f>'1BS'!H64</f>
        <v>184534</v>
      </c>
      <c r="H85" s="631">
        <f>'1BS'!I64</f>
        <v>214736</v>
      </c>
      <c r="I85" s="631">
        <f>'1BS'!J64</f>
        <v>170770</v>
      </c>
      <c r="J85" s="631">
        <f>'1BS'!K64</f>
        <v>194842</v>
      </c>
      <c r="K85" s="631">
        <f>'1BS'!L64</f>
        <v>208459</v>
      </c>
      <c r="L85" s="631">
        <f>'1BS'!M64</f>
        <v>206420</v>
      </c>
      <c r="M85" s="631">
        <f>'1BS'!N64</f>
        <v>198507</v>
      </c>
      <c r="N85" s="631">
        <f>'1BS'!O64</f>
        <v>191956</v>
      </c>
      <c r="O85" s="614">
        <f t="shared" si="39"/>
        <v>160987.44269753923</v>
      </c>
      <c r="P85" s="614">
        <f t="shared" si="39"/>
        <v>165086.71367966855</v>
      </c>
      <c r="Q85" s="614">
        <f t="shared" si="39"/>
        <v>172638.39971059063</v>
      </c>
      <c r="R85" s="614">
        <f t="shared" si="39"/>
        <v>176900.65828802556</v>
      </c>
      <c r="S85" s="614">
        <f t="shared" si="39"/>
        <v>183956.53113391055</v>
      </c>
      <c r="T85" s="615">
        <f t="shared" si="39"/>
        <v>188520.7231769666</v>
      </c>
    </row>
    <row r="86" spans="2:20">
      <c r="B86" s="47" t="s">
        <v>481</v>
      </c>
      <c r="C86" s="631">
        <f>'1BS'!D65</f>
        <v>0</v>
      </c>
      <c r="D86" s="631">
        <f>'1BS'!E65</f>
        <v>28307</v>
      </c>
      <c r="E86" s="631">
        <f>'1BS'!F65</f>
        <v>18027</v>
      </c>
      <c r="F86" s="631">
        <f>'1BS'!G65</f>
        <v>13862</v>
      </c>
      <c r="G86" s="631">
        <f>'1BS'!H65</f>
        <v>49306</v>
      </c>
      <c r="H86" s="631">
        <f>'1BS'!I65</f>
        <v>31036</v>
      </c>
      <c r="I86" s="631">
        <f>'1BS'!J65</f>
        <v>29122</v>
      </c>
      <c r="J86" s="631">
        <f>'1BS'!K65</f>
        <v>19673</v>
      </c>
      <c r="K86" s="631">
        <f>'1BS'!L65</f>
        <v>19446</v>
      </c>
      <c r="L86" s="631">
        <f>'1BS'!M65</f>
        <v>31693</v>
      </c>
      <c r="M86" s="631">
        <f>'1BS'!N65</f>
        <v>29033</v>
      </c>
      <c r="N86" s="631">
        <f>'1BS'!O65</f>
        <v>34050</v>
      </c>
      <c r="O86" s="614">
        <f t="shared" si="39"/>
        <v>15017.638052069462</v>
      </c>
      <c r="P86" s="614">
        <f t="shared" si="39"/>
        <v>15400.036622140733</v>
      </c>
      <c r="Q86" s="614">
        <f t="shared" si="39"/>
        <v>16104.492110065508</v>
      </c>
      <c r="R86" s="614">
        <f t="shared" si="39"/>
        <v>16502.094901486358</v>
      </c>
      <c r="S86" s="614">
        <f t="shared" si="39"/>
        <v>17160.298689094856</v>
      </c>
      <c r="T86" s="615">
        <f t="shared" si="39"/>
        <v>17586.067202180249</v>
      </c>
    </row>
    <row r="87" spans="2:20">
      <c r="B87" s="47" t="s">
        <v>482</v>
      </c>
      <c r="C87" s="631">
        <f>'1BS'!D66</f>
        <v>28374</v>
      </c>
      <c r="D87" s="631">
        <f>'1BS'!E66</f>
        <v>8</v>
      </c>
      <c r="E87" s="631">
        <f>'1BS'!F66</f>
        <v>0</v>
      </c>
      <c r="F87" s="631">
        <f>'1BS'!G66</f>
        <v>0</v>
      </c>
      <c r="G87" s="631">
        <f>'1BS'!H66</f>
        <v>0</v>
      </c>
      <c r="H87" s="631">
        <f>'1BS'!I66</f>
        <v>0</v>
      </c>
      <c r="I87" s="631">
        <f>'1BS'!J66</f>
        <v>0</v>
      </c>
      <c r="J87" s="631">
        <f>'1BS'!K66</f>
        <v>0</v>
      </c>
      <c r="K87" s="631">
        <f>'1BS'!L66</f>
        <v>0</v>
      </c>
      <c r="L87" s="631">
        <f>'1BS'!M66</f>
        <v>0</v>
      </c>
      <c r="M87" s="631">
        <f>'1BS'!N66</f>
        <v>0</v>
      </c>
      <c r="N87" s="631">
        <f>'1BS'!O66</f>
        <v>0</v>
      </c>
      <c r="O87" s="623">
        <f t="shared" si="39"/>
        <v>0</v>
      </c>
      <c r="P87" s="623">
        <f t="shared" si="39"/>
        <v>0</v>
      </c>
      <c r="Q87" s="623">
        <f t="shared" si="39"/>
        <v>0</v>
      </c>
      <c r="R87" s="623">
        <f t="shared" si="39"/>
        <v>0</v>
      </c>
      <c r="S87" s="623">
        <f t="shared" si="39"/>
        <v>0</v>
      </c>
      <c r="T87" s="624">
        <f t="shared" si="39"/>
        <v>0</v>
      </c>
    </row>
    <row r="88" spans="2:20">
      <c r="B88" s="47" t="s">
        <v>483</v>
      </c>
      <c r="C88" s="631">
        <f>'1BS'!D67</f>
        <v>0</v>
      </c>
      <c r="D88" s="631">
        <f>'1BS'!E67</f>
        <v>0</v>
      </c>
      <c r="E88" s="631">
        <f>'1BS'!F67</f>
        <v>0</v>
      </c>
      <c r="F88" s="631">
        <f>'1BS'!G67</f>
        <v>0</v>
      </c>
      <c r="G88" s="631">
        <f>'1BS'!H67</f>
        <v>0</v>
      </c>
      <c r="H88" s="631">
        <f>'1BS'!I67</f>
        <v>0</v>
      </c>
      <c r="I88" s="631">
        <f>'1BS'!J67</f>
        <v>0</v>
      </c>
      <c r="J88" s="631">
        <f>'1BS'!K67</f>
        <v>0</v>
      </c>
      <c r="K88" s="631">
        <f>'1BS'!L67</f>
        <v>0</v>
      </c>
      <c r="L88" s="631">
        <f>'1BS'!M67</f>
        <v>0</v>
      </c>
      <c r="M88" s="631">
        <f>'1BS'!N67</f>
        <v>0</v>
      </c>
      <c r="N88" s="631">
        <f>'1BS'!O67</f>
        <v>0</v>
      </c>
      <c r="O88" s="623">
        <f t="shared" si="39"/>
        <v>0</v>
      </c>
      <c r="P88" s="623">
        <f t="shared" si="39"/>
        <v>0</v>
      </c>
      <c r="Q88" s="623">
        <f t="shared" si="39"/>
        <v>0</v>
      </c>
      <c r="R88" s="623">
        <f t="shared" si="39"/>
        <v>0</v>
      </c>
      <c r="S88" s="623">
        <f t="shared" si="39"/>
        <v>0</v>
      </c>
      <c r="T88" s="624">
        <f t="shared" si="39"/>
        <v>0</v>
      </c>
    </row>
    <row r="89" spans="2:20">
      <c r="B89" s="84"/>
      <c r="Q89" s="51"/>
      <c r="R89" s="51"/>
      <c r="S89" s="51"/>
      <c r="T89" s="625"/>
    </row>
    <row r="90" spans="2:20">
      <c r="B90" s="609" t="s">
        <v>478</v>
      </c>
      <c r="C90" s="616">
        <f t="shared" ref="C90:N95" si="40">C83/C$40</f>
        <v>5.3986103170150831E-2</v>
      </c>
      <c r="D90" s="616">
        <f t="shared" si="40"/>
        <v>4.2056598102983088E-2</v>
      </c>
      <c r="E90" s="616">
        <f t="shared" si="40"/>
        <v>2.9300089457581384E-2</v>
      </c>
      <c r="F90" s="616">
        <f t="shared" si="40"/>
        <v>2.8300088751068885E-2</v>
      </c>
      <c r="G90" s="616">
        <f t="shared" si="40"/>
        <v>2.1854426240744657E-2</v>
      </c>
      <c r="H90" s="616">
        <f t="shared" si="40"/>
        <v>1.5155441850008946E-2</v>
      </c>
      <c r="I90" s="616">
        <f t="shared" si="40"/>
        <v>1.8973743875647663E-2</v>
      </c>
      <c r="J90" s="616">
        <f t="shared" si="40"/>
        <v>1.8110662019722189E-2</v>
      </c>
      <c r="K90" s="616">
        <f t="shared" si="40"/>
        <v>1.7477758994489393E-2</v>
      </c>
      <c r="L90" s="39">
        <f>K90</f>
        <v>1.7477758994489393E-2</v>
      </c>
      <c r="M90" s="39">
        <f>L90</f>
        <v>1.7477758994489393E-2</v>
      </c>
      <c r="N90" s="39">
        <f>M90</f>
        <v>1.7477758994489393E-2</v>
      </c>
      <c r="O90" s="617">
        <f t="shared" ref="O90:P95" si="41">AVERAGE(L90:N90)</f>
        <v>1.7477758994489393E-2</v>
      </c>
      <c r="P90" s="617">
        <f t="shared" si="41"/>
        <v>1.7477758994489393E-2</v>
      </c>
      <c r="Q90" s="617">
        <f t="shared" si="28"/>
        <v>1.7477758994489393E-2</v>
      </c>
      <c r="R90" s="617">
        <f t="shared" si="28"/>
        <v>1.7477758994489393E-2</v>
      </c>
      <c r="S90" s="617">
        <f t="shared" si="28"/>
        <v>1.7477758994489393E-2</v>
      </c>
      <c r="T90" s="626">
        <f t="shared" si="28"/>
        <v>1.7477758994489393E-2</v>
      </c>
    </row>
    <row r="91" spans="2:20">
      <c r="B91" s="47" t="s">
        <v>479</v>
      </c>
      <c r="C91" s="616">
        <f t="shared" si="40"/>
        <v>4.4175437569315371E-2</v>
      </c>
      <c r="D91" s="616">
        <f t="shared" si="40"/>
        <v>2.3073166515757155E-2</v>
      </c>
      <c r="E91" s="616">
        <f t="shared" si="40"/>
        <v>2.4742842984573948E-2</v>
      </c>
      <c r="F91" s="616">
        <f t="shared" si="40"/>
        <v>2.3893242995408088E-2</v>
      </c>
      <c r="G91" s="616">
        <f t="shared" si="40"/>
        <v>1.5349574710281106E-2</v>
      </c>
      <c r="H91" s="616">
        <f t="shared" si="40"/>
        <v>8.6705316701786266E-3</v>
      </c>
      <c r="I91" s="616">
        <f t="shared" si="40"/>
        <v>1.1824869237236406E-2</v>
      </c>
      <c r="J91" s="616">
        <f t="shared" si="40"/>
        <v>9.9770051626340839E-3</v>
      </c>
      <c r="K91" s="616">
        <f t="shared" si="40"/>
        <v>1.0962293923991834E-2</v>
      </c>
      <c r="L91" s="616">
        <f t="shared" si="40"/>
        <v>1.8065637041174153E-2</v>
      </c>
      <c r="M91" s="616">
        <f t="shared" si="40"/>
        <v>1.4276764764969033E-2</v>
      </c>
      <c r="N91" s="616">
        <f t="shared" si="40"/>
        <v>2.1334939110463951E-2</v>
      </c>
      <c r="O91" s="617">
        <f t="shared" si="41"/>
        <v>1.789244697220238E-2</v>
      </c>
      <c r="P91" s="617">
        <f t="shared" si="41"/>
        <v>1.7834716949211789E-2</v>
      </c>
      <c r="Q91" s="617">
        <f t="shared" ref="Q91:T95" si="42">P91</f>
        <v>1.7834716949211789E-2</v>
      </c>
      <c r="R91" s="617">
        <f t="shared" si="42"/>
        <v>1.7834716949211789E-2</v>
      </c>
      <c r="S91" s="617">
        <f t="shared" si="42"/>
        <v>1.7834716949211789E-2</v>
      </c>
      <c r="T91" s="626">
        <f t="shared" si="42"/>
        <v>1.7834716949211789E-2</v>
      </c>
    </row>
    <row r="92" spans="2:20">
      <c r="B92" s="47" t="s">
        <v>480</v>
      </c>
      <c r="C92" s="616">
        <f t="shared" si="40"/>
        <v>8.6805499545647632E-3</v>
      </c>
      <c r="D92" s="616">
        <f t="shared" si="40"/>
        <v>1.7940597625240095E-2</v>
      </c>
      <c r="E92" s="616">
        <f t="shared" si="40"/>
        <v>3.9675579035508175E-3</v>
      </c>
      <c r="F92" s="616">
        <f t="shared" si="40"/>
        <v>4.0014165310483536E-3</v>
      </c>
      <c r="G92" s="616">
        <f t="shared" si="40"/>
        <v>5.1332803298091024E-3</v>
      </c>
      <c r="H92" s="616">
        <f t="shared" si="40"/>
        <v>5.6659980485004114E-3</v>
      </c>
      <c r="I92" s="616">
        <f t="shared" si="40"/>
        <v>6.1073645868843689E-3</v>
      </c>
      <c r="J92" s="616">
        <f t="shared" si="40"/>
        <v>7.3877256571743734E-3</v>
      </c>
      <c r="K92" s="616">
        <f t="shared" si="40"/>
        <v>5.9595328453998396E-3</v>
      </c>
      <c r="L92" s="39">
        <f t="shared" ref="L92:N95" si="43">K92</f>
        <v>5.9595328453998396E-3</v>
      </c>
      <c r="M92" s="39">
        <f t="shared" si="43"/>
        <v>5.9595328453998396E-3</v>
      </c>
      <c r="N92" s="39">
        <f t="shared" si="43"/>
        <v>5.9595328453998396E-3</v>
      </c>
      <c r="O92" s="617">
        <f t="shared" si="41"/>
        <v>5.9595328453998396E-3</v>
      </c>
      <c r="P92" s="617">
        <f t="shared" si="41"/>
        <v>5.9595328453998396E-3</v>
      </c>
      <c r="Q92" s="617">
        <f t="shared" si="42"/>
        <v>5.9595328453998396E-3</v>
      </c>
      <c r="R92" s="617">
        <f t="shared" si="42"/>
        <v>5.9595328453998396E-3</v>
      </c>
      <c r="S92" s="617">
        <f t="shared" si="42"/>
        <v>5.9595328453998396E-3</v>
      </c>
      <c r="T92" s="626">
        <f t="shared" si="42"/>
        <v>5.9595328453998396E-3</v>
      </c>
    </row>
    <row r="93" spans="2:20">
      <c r="B93" s="47" t="s">
        <v>481</v>
      </c>
      <c r="C93" s="616">
        <f t="shared" si="40"/>
        <v>0</v>
      </c>
      <c r="D93" s="616">
        <f t="shared" si="40"/>
        <v>1.042833961985834E-3</v>
      </c>
      <c r="E93" s="616">
        <f t="shared" si="40"/>
        <v>5.8972128268026502E-4</v>
      </c>
      <c r="F93" s="616">
        <f t="shared" si="40"/>
        <v>4.053999791948099E-4</v>
      </c>
      <c r="G93" s="616">
        <f t="shared" si="40"/>
        <v>1.3715712006544464E-3</v>
      </c>
      <c r="H93" s="616">
        <f t="shared" si="40"/>
        <v>8.1891213132990635E-4</v>
      </c>
      <c r="I93" s="616">
        <f t="shared" si="40"/>
        <v>1.0415100515268876E-3</v>
      </c>
      <c r="J93" s="616">
        <f t="shared" si="40"/>
        <v>7.459311999137324E-4</v>
      </c>
      <c r="K93" s="616">
        <f t="shared" si="40"/>
        <v>5.5593222509771844E-4</v>
      </c>
      <c r="L93" s="39">
        <f t="shared" si="43"/>
        <v>5.5593222509771844E-4</v>
      </c>
      <c r="M93" s="39">
        <f t="shared" si="43"/>
        <v>5.5593222509771844E-4</v>
      </c>
      <c r="N93" s="39">
        <f t="shared" si="43"/>
        <v>5.5593222509771844E-4</v>
      </c>
      <c r="O93" s="617">
        <f t="shared" si="41"/>
        <v>5.5593222509771844E-4</v>
      </c>
      <c r="P93" s="617">
        <f t="shared" si="41"/>
        <v>5.5593222509771844E-4</v>
      </c>
      <c r="Q93" s="617">
        <f t="shared" si="42"/>
        <v>5.5593222509771844E-4</v>
      </c>
      <c r="R93" s="617">
        <f t="shared" si="42"/>
        <v>5.5593222509771844E-4</v>
      </c>
      <c r="S93" s="617">
        <f t="shared" si="42"/>
        <v>5.5593222509771844E-4</v>
      </c>
      <c r="T93" s="626">
        <f t="shared" si="42"/>
        <v>5.5593222509771844E-4</v>
      </c>
    </row>
    <row r="94" spans="2:20">
      <c r="B94" s="47" t="s">
        <v>482</v>
      </c>
      <c r="C94" s="616">
        <f t="shared" si="40"/>
        <v>1.1301156462706961E-3</v>
      </c>
      <c r="D94" s="616">
        <f t="shared" si="40"/>
        <v>2.9472115363290607E-7</v>
      </c>
      <c r="E94" s="616">
        <f t="shared" si="40"/>
        <v>0</v>
      </c>
      <c r="F94" s="616">
        <f t="shared" si="40"/>
        <v>0</v>
      </c>
      <c r="G94" s="616">
        <f t="shared" si="40"/>
        <v>0</v>
      </c>
      <c r="H94" s="616">
        <f t="shared" si="40"/>
        <v>0</v>
      </c>
      <c r="I94" s="616">
        <f t="shared" si="40"/>
        <v>0</v>
      </c>
      <c r="J94" s="616">
        <f t="shared" si="40"/>
        <v>0</v>
      </c>
      <c r="K94" s="616">
        <f t="shared" si="40"/>
        <v>0</v>
      </c>
      <c r="L94" s="39">
        <f t="shared" si="43"/>
        <v>0</v>
      </c>
      <c r="M94" s="39">
        <f t="shared" si="43"/>
        <v>0</v>
      </c>
      <c r="N94" s="39">
        <f t="shared" si="43"/>
        <v>0</v>
      </c>
      <c r="O94" s="617">
        <f t="shared" si="41"/>
        <v>0</v>
      </c>
      <c r="P94" s="617">
        <f t="shared" si="41"/>
        <v>0</v>
      </c>
      <c r="Q94" s="617">
        <f t="shared" si="42"/>
        <v>0</v>
      </c>
      <c r="R94" s="617">
        <f t="shared" si="42"/>
        <v>0</v>
      </c>
      <c r="S94" s="617">
        <f t="shared" si="42"/>
        <v>0</v>
      </c>
      <c r="T94" s="626">
        <f t="shared" si="42"/>
        <v>0</v>
      </c>
    </row>
    <row r="95" spans="2:20">
      <c r="B95" s="98" t="s">
        <v>483</v>
      </c>
      <c r="C95" s="627">
        <f t="shared" si="40"/>
        <v>0</v>
      </c>
      <c r="D95" s="627">
        <f t="shared" si="40"/>
        <v>0</v>
      </c>
      <c r="E95" s="627">
        <f t="shared" si="40"/>
        <v>0</v>
      </c>
      <c r="F95" s="627">
        <f t="shared" si="40"/>
        <v>0</v>
      </c>
      <c r="G95" s="627">
        <f t="shared" si="40"/>
        <v>0</v>
      </c>
      <c r="H95" s="627">
        <f t="shared" si="40"/>
        <v>0</v>
      </c>
      <c r="I95" s="627">
        <f t="shared" si="40"/>
        <v>0</v>
      </c>
      <c r="J95" s="627">
        <f t="shared" si="40"/>
        <v>0</v>
      </c>
      <c r="K95" s="627">
        <f t="shared" si="40"/>
        <v>0</v>
      </c>
      <c r="L95" s="69">
        <f t="shared" si="43"/>
        <v>0</v>
      </c>
      <c r="M95" s="69">
        <f t="shared" si="43"/>
        <v>0</v>
      </c>
      <c r="N95" s="69">
        <f t="shared" si="43"/>
        <v>0</v>
      </c>
      <c r="O95" s="628">
        <f t="shared" si="41"/>
        <v>0</v>
      </c>
      <c r="P95" s="628">
        <f t="shared" si="41"/>
        <v>0</v>
      </c>
      <c r="Q95" s="628">
        <f t="shared" si="42"/>
        <v>0</v>
      </c>
      <c r="R95" s="628">
        <f t="shared" si="42"/>
        <v>0</v>
      </c>
      <c r="S95" s="628">
        <f t="shared" si="42"/>
        <v>0</v>
      </c>
      <c r="T95" s="629">
        <f t="shared" si="42"/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516F-8B45-4A22-AE62-74FCE6844649}">
  <sheetPr>
    <tabColor theme="5" tint="0.59999389629810485"/>
  </sheetPr>
  <dimension ref="A1:AJ187"/>
  <sheetViews>
    <sheetView zoomScale="30" zoomScaleNormal="30" workbookViewId="0">
      <pane xSplit="2" ySplit="4" topLeftCell="M35" activePane="bottomRight" state="frozen"/>
      <selection pane="topRight" activeCell="C1" sqref="C1"/>
      <selection pane="bottomLeft" activeCell="A5" sqref="A5"/>
      <selection pane="bottomRight" activeCell="P175" sqref="A1:XFD1048576"/>
    </sheetView>
  </sheetViews>
  <sheetFormatPr defaultColWidth="9.1640625" defaultRowHeight="12.5" outlineLevelRow="1" outlineLevelCol="1"/>
  <cols>
    <col min="1" max="1" width="2.75" style="191" customWidth="1"/>
    <col min="2" max="2" width="35.83203125" style="191" customWidth="1"/>
    <col min="3" max="6" width="13.08203125" style="191" customWidth="1" outlineLevel="1"/>
    <col min="7" max="13" width="13.08203125" style="191" customWidth="1"/>
    <col min="14" max="14" width="13.08203125" style="193" customWidth="1"/>
    <col min="15" max="15" width="14.83203125" style="191" customWidth="1"/>
    <col min="16" max="20" width="15.4140625" style="191" bestFit="1" customWidth="1"/>
    <col min="21" max="21" width="12.75" style="640" bestFit="1" customWidth="1"/>
    <col min="22" max="24" width="12.83203125" style="640" bestFit="1" customWidth="1"/>
    <col min="25" max="25" width="10.08203125" style="640" bestFit="1" customWidth="1"/>
    <col min="26" max="26" width="9.1640625" style="640"/>
    <col min="27" max="27" width="9.58203125" style="640" bestFit="1" customWidth="1"/>
    <col min="28" max="28" width="10.25" style="640" bestFit="1" customWidth="1"/>
    <col min="29" max="16384" width="9.1640625" style="640"/>
  </cols>
  <sheetData>
    <row r="1" spans="2:22" ht="13">
      <c r="B1" s="457" t="s">
        <v>546</v>
      </c>
      <c r="C1" s="457"/>
      <c r="D1" s="457"/>
      <c r="E1" s="457"/>
      <c r="L1" s="279"/>
    </row>
    <row r="2" spans="2:22" ht="17.25" customHeight="1">
      <c r="B2" s="188" t="s">
        <v>185</v>
      </c>
      <c r="C2" s="188"/>
      <c r="D2" s="188"/>
      <c r="E2" s="188"/>
    </row>
    <row r="3" spans="2:22" ht="14" customHeight="1">
      <c r="B3" s="194" t="s">
        <v>813</v>
      </c>
      <c r="C3" s="194"/>
      <c r="D3" s="194"/>
      <c r="E3" s="194"/>
      <c r="G3" s="1134" t="s">
        <v>547</v>
      </c>
      <c r="H3" s="1134"/>
      <c r="I3" s="1134"/>
      <c r="J3" s="1134"/>
      <c r="K3" s="1134"/>
      <c r="L3" s="1134"/>
      <c r="M3" s="1134"/>
      <c r="N3" s="1135"/>
      <c r="O3" s="1136" t="s">
        <v>548</v>
      </c>
      <c r="P3" s="1137"/>
      <c r="Q3" s="1137"/>
      <c r="R3" s="1137"/>
      <c r="S3" s="1137"/>
      <c r="T3" s="1137"/>
    </row>
    <row r="4" spans="2:22" ht="14">
      <c r="B4" s="198" t="s">
        <v>814</v>
      </c>
      <c r="C4" s="606">
        <v>2014</v>
      </c>
      <c r="D4" s="606">
        <f>C4+1</f>
        <v>2015</v>
      </c>
      <c r="E4" s="606">
        <f t="shared" ref="E4:P4" si="0">D4+1</f>
        <v>2016</v>
      </c>
      <c r="F4" s="606">
        <f t="shared" si="0"/>
        <v>2017</v>
      </c>
      <c r="G4" s="606">
        <f t="shared" si="0"/>
        <v>2018</v>
      </c>
      <c r="H4" s="606">
        <f t="shared" si="0"/>
        <v>2019</v>
      </c>
      <c r="I4" s="606">
        <f t="shared" si="0"/>
        <v>2020</v>
      </c>
      <c r="J4" s="606">
        <f t="shared" si="0"/>
        <v>2021</v>
      </c>
      <c r="K4" s="606">
        <f t="shared" si="0"/>
        <v>2022</v>
      </c>
      <c r="L4" s="606">
        <f t="shared" si="0"/>
        <v>2023</v>
      </c>
      <c r="M4" s="606">
        <f t="shared" si="0"/>
        <v>2024</v>
      </c>
      <c r="N4" s="607">
        <f t="shared" si="0"/>
        <v>2025</v>
      </c>
      <c r="O4" s="606">
        <f t="shared" si="0"/>
        <v>2026</v>
      </c>
      <c r="P4" s="606">
        <f t="shared" si="0"/>
        <v>2027</v>
      </c>
      <c r="Q4" s="606">
        <f t="shared" ref="Q4" si="1">P4+1</f>
        <v>2028</v>
      </c>
      <c r="R4" s="606">
        <f t="shared" ref="R4" si="2">Q4+1</f>
        <v>2029</v>
      </c>
      <c r="S4" s="606">
        <f t="shared" ref="S4" si="3">R4+1</f>
        <v>2030</v>
      </c>
      <c r="T4" s="606">
        <f t="shared" ref="T4" si="4">S4+1</f>
        <v>2031</v>
      </c>
    </row>
    <row r="6" spans="2:22" ht="13">
      <c r="B6" s="641" t="s">
        <v>815</v>
      </c>
    </row>
    <row r="7" spans="2:22" ht="13">
      <c r="B7" s="641"/>
    </row>
    <row r="8" spans="2:22" ht="13">
      <c r="B8" s="642" t="s">
        <v>816</v>
      </c>
      <c r="C8" s="643">
        <f>C4</f>
        <v>2014</v>
      </c>
      <c r="D8" s="643">
        <f t="shared" ref="D8:T8" si="5">D4</f>
        <v>2015</v>
      </c>
      <c r="E8" s="643">
        <f t="shared" si="5"/>
        <v>2016</v>
      </c>
      <c r="F8" s="643">
        <f t="shared" si="5"/>
        <v>2017</v>
      </c>
      <c r="G8" s="643">
        <f t="shared" si="5"/>
        <v>2018</v>
      </c>
      <c r="H8" s="643">
        <f t="shared" si="5"/>
        <v>2019</v>
      </c>
      <c r="I8" s="643">
        <f t="shared" si="5"/>
        <v>2020</v>
      </c>
      <c r="J8" s="643">
        <f t="shared" si="5"/>
        <v>2021</v>
      </c>
      <c r="K8" s="643">
        <f t="shared" si="5"/>
        <v>2022</v>
      </c>
      <c r="L8" s="643">
        <f t="shared" si="5"/>
        <v>2023</v>
      </c>
      <c r="M8" s="643">
        <f t="shared" si="5"/>
        <v>2024</v>
      </c>
      <c r="N8" s="643">
        <f t="shared" si="5"/>
        <v>2025</v>
      </c>
      <c r="O8" s="643">
        <f t="shared" si="5"/>
        <v>2026</v>
      </c>
      <c r="P8" s="643">
        <f t="shared" si="5"/>
        <v>2027</v>
      </c>
      <c r="Q8" s="643">
        <f t="shared" si="5"/>
        <v>2028</v>
      </c>
      <c r="R8" s="643">
        <f t="shared" si="5"/>
        <v>2029</v>
      </c>
      <c r="S8" s="643">
        <f t="shared" si="5"/>
        <v>2030</v>
      </c>
      <c r="T8" s="643">
        <f t="shared" si="5"/>
        <v>2031</v>
      </c>
    </row>
    <row r="9" spans="2:22" ht="13">
      <c r="B9" s="644" t="s">
        <v>817</v>
      </c>
      <c r="C9" s="645">
        <f t="shared" ref="C9:T9" si="6">SUM(C10:C11)</f>
        <v>4915799</v>
      </c>
      <c r="D9" s="645">
        <f t="shared" si="6"/>
        <v>4843869</v>
      </c>
      <c r="E9" s="645">
        <f t="shared" si="6"/>
        <v>4478037</v>
      </c>
      <c r="F9" s="645">
        <f t="shared" si="6"/>
        <v>4044747</v>
      </c>
      <c r="G9" s="645">
        <f t="shared" si="6"/>
        <v>3614851</v>
      </c>
      <c r="H9" s="645">
        <f t="shared" si="6"/>
        <v>3743643</v>
      </c>
      <c r="I9" s="645">
        <f t="shared" si="6"/>
        <v>3753389</v>
      </c>
      <c r="J9" s="645">
        <f t="shared" si="6"/>
        <v>3301127</v>
      </c>
      <c r="K9" s="645">
        <f t="shared" si="6"/>
        <v>3368982</v>
      </c>
      <c r="L9" s="645">
        <f t="shared" si="6"/>
        <v>2889609</v>
      </c>
      <c r="M9" s="645">
        <f t="shared" si="6"/>
        <v>2484110</v>
      </c>
      <c r="N9" s="646">
        <f t="shared" si="6"/>
        <v>3492859</v>
      </c>
      <c r="O9" s="645">
        <f>SUM(O10:O11)</f>
        <v>2827288.9860037919</v>
      </c>
      <c r="P9" s="645">
        <f t="shared" si="6"/>
        <v>2009923.038003793</v>
      </c>
      <c r="Q9" s="645">
        <f t="shared" si="6"/>
        <v>1253204.3027936965</v>
      </c>
      <c r="R9" s="645">
        <f t="shared" si="6"/>
        <v>487055.88208090141</v>
      </c>
      <c r="S9" s="645">
        <f t="shared" si="6"/>
        <v>-93218.103603184223</v>
      </c>
      <c r="T9" s="645">
        <f t="shared" si="6"/>
        <v>-143137.49655164964</v>
      </c>
    </row>
    <row r="10" spans="2:22" ht="13">
      <c r="B10" s="647" t="s">
        <v>818</v>
      </c>
      <c r="C10" s="648">
        <f t="shared" ref="C10:N14" si="7">C51</f>
        <v>8472996</v>
      </c>
      <c r="D10" s="648">
        <f t="shared" si="7"/>
        <v>9001467</v>
      </c>
      <c r="E10" s="648">
        <f t="shared" si="7"/>
        <v>9163284</v>
      </c>
      <c r="F10" s="648">
        <f t="shared" si="7"/>
        <v>9343836</v>
      </c>
      <c r="G10" s="648">
        <f t="shared" si="7"/>
        <v>9497450</v>
      </c>
      <c r="H10" s="648">
        <f t="shared" si="7"/>
        <v>10190231</v>
      </c>
      <c r="I10" s="648">
        <f t="shared" si="7"/>
        <v>10774957</v>
      </c>
      <c r="J10" s="648">
        <f t="shared" si="7"/>
        <v>10847023</v>
      </c>
      <c r="K10" s="648">
        <f t="shared" si="7"/>
        <v>11440081</v>
      </c>
      <c r="L10" s="648">
        <f t="shared" si="7"/>
        <v>11488317</v>
      </c>
      <c r="M10" s="648">
        <f t="shared" si="7"/>
        <v>11567832</v>
      </c>
      <c r="N10" s="649">
        <f t="shared" si="7"/>
        <v>16040238</v>
      </c>
      <c r="O10" s="648">
        <f>O51+SUM($M$97:M97)</f>
        <v>16119753</v>
      </c>
      <c r="P10" s="648">
        <f>P51+P105</f>
        <v>16059105.787210096</v>
      </c>
      <c r="Q10" s="648">
        <f t="shared" ref="Q10:S10" si="8">Q51+Q105</f>
        <v>16068535.472712794</v>
      </c>
      <c r="R10" s="648">
        <f t="shared" si="8"/>
        <v>16079056.777684089</v>
      </c>
      <c r="S10" s="648">
        <f t="shared" si="8"/>
        <v>16090157.392948465</v>
      </c>
      <c r="T10" s="648">
        <f>T51+T105</f>
        <v>16100972.010271091</v>
      </c>
    </row>
    <row r="11" spans="2:22" ht="13">
      <c r="B11" s="647" t="s">
        <v>819</v>
      </c>
      <c r="C11" s="648">
        <f t="shared" si="7"/>
        <v>-3557197</v>
      </c>
      <c r="D11" s="648">
        <f t="shared" si="7"/>
        <v>-4157598</v>
      </c>
      <c r="E11" s="648">
        <f t="shared" si="7"/>
        <v>-4685247</v>
      </c>
      <c r="F11" s="648">
        <f t="shared" si="7"/>
        <v>-5299089</v>
      </c>
      <c r="G11" s="648">
        <f t="shared" si="7"/>
        <v>-5882599</v>
      </c>
      <c r="H11" s="648">
        <f t="shared" si="7"/>
        <v>-6446588</v>
      </c>
      <c r="I11" s="648">
        <f t="shared" si="7"/>
        <v>-7021568</v>
      </c>
      <c r="J11" s="648">
        <f t="shared" si="7"/>
        <v>-7545896</v>
      </c>
      <c r="K11" s="648">
        <f t="shared" si="7"/>
        <v>-8071099</v>
      </c>
      <c r="L11" s="648">
        <f t="shared" si="7"/>
        <v>-8598708</v>
      </c>
      <c r="M11" s="648">
        <f t="shared" si="7"/>
        <v>-9083722</v>
      </c>
      <c r="N11" s="649">
        <f t="shared" si="7"/>
        <v>-12547379</v>
      </c>
      <c r="O11" s="648">
        <f>O52-SUM($O$105:O105)</f>
        <v>-13292464.013996208</v>
      </c>
      <c r="P11" s="648">
        <f>P52-SUM($O$105:P105)</f>
        <v>-14049182.749206303</v>
      </c>
      <c r="Q11" s="648">
        <f>Q52-SUM($O$105:Q105)</f>
        <v>-14815331.169919098</v>
      </c>
      <c r="R11" s="648">
        <f>R52-SUM($O$105:R105)</f>
        <v>-15592000.895603187</v>
      </c>
      <c r="S11" s="648">
        <f>S52-SUM($O$105:S105)</f>
        <v>-16183375.49655165</v>
      </c>
      <c r="T11" s="648">
        <f>T52-SUM($O$105:T105)</f>
        <v>-16244109.506822741</v>
      </c>
    </row>
    <row r="12" spans="2:22" ht="13">
      <c r="B12" s="650" t="s">
        <v>820</v>
      </c>
      <c r="C12" s="648">
        <f t="shared" si="7"/>
        <v>0</v>
      </c>
      <c r="D12" s="648">
        <f t="shared" si="7"/>
        <v>600401</v>
      </c>
      <c r="E12" s="648">
        <f t="shared" si="7"/>
        <v>527649</v>
      </c>
      <c r="F12" s="648">
        <f t="shared" si="7"/>
        <v>613842</v>
      </c>
      <c r="G12" s="648">
        <f t="shared" si="7"/>
        <v>583510</v>
      </c>
      <c r="H12" s="648">
        <f t="shared" si="7"/>
        <v>563989</v>
      </c>
      <c r="I12" s="648">
        <f t="shared" si="7"/>
        <v>574980</v>
      </c>
      <c r="J12" s="648">
        <f t="shared" si="7"/>
        <v>524328</v>
      </c>
      <c r="K12" s="648">
        <f t="shared" si="7"/>
        <v>525203</v>
      </c>
      <c r="L12" s="648">
        <f t="shared" si="7"/>
        <v>527609</v>
      </c>
      <c r="M12" s="648">
        <f t="shared" si="7"/>
        <v>485014</v>
      </c>
      <c r="N12" s="649">
        <f t="shared" si="7"/>
        <v>3463657</v>
      </c>
      <c r="O12" s="229">
        <f>O53</f>
        <v>737850.94799999997</v>
      </c>
      <c r="P12" s="229">
        <f t="shared" ref="P12:T12" si="9">P53</f>
        <v>737850.94799999997</v>
      </c>
      <c r="Q12" s="229">
        <f t="shared" si="9"/>
        <v>737850.94799999997</v>
      </c>
      <c r="R12" s="229">
        <f t="shared" si="9"/>
        <v>737850.94799999997</v>
      </c>
      <c r="S12" s="229">
        <f t="shared" si="9"/>
        <v>541455.20799999684</v>
      </c>
      <c r="T12" s="229">
        <f t="shared" si="9"/>
        <v>0</v>
      </c>
      <c r="V12" s="651"/>
    </row>
    <row r="13" spans="2:22" ht="13">
      <c r="B13" s="647" t="s">
        <v>821</v>
      </c>
      <c r="C13" s="652"/>
      <c r="D13" s="652">
        <f t="shared" si="7"/>
        <v>6.8717533694740721E-2</v>
      </c>
      <c r="E13" s="652">
        <f t="shared" si="7"/>
        <v>5.8095924353711206E-2</v>
      </c>
      <c r="F13" s="652">
        <f t="shared" si="7"/>
        <v>6.6335766991298478E-2</v>
      </c>
      <c r="G13" s="652">
        <f t="shared" si="7"/>
        <v>6.1939508799983188E-2</v>
      </c>
      <c r="H13" s="652">
        <f t="shared" si="7"/>
        <v>5.729359389762563E-2</v>
      </c>
      <c r="I13" s="652">
        <f t="shared" si="7"/>
        <v>5.4850927165547E-2</v>
      </c>
      <c r="J13" s="652">
        <f t="shared" si="7"/>
        <v>4.8499536120188806E-2</v>
      </c>
      <c r="K13" s="652">
        <f t="shared" si="7"/>
        <v>4.7130663544263089E-2</v>
      </c>
      <c r="L13" s="652">
        <f t="shared" si="7"/>
        <v>4.6022316953849111E-2</v>
      </c>
      <c r="M13" s="652">
        <f t="shared" si="7"/>
        <v>4.207242068048745E-2</v>
      </c>
      <c r="N13" s="653">
        <f>N54</f>
        <v>0.25091627194512328</v>
      </c>
      <c r="O13" s="654">
        <f>O12/AVERAGE(N10:O10)</f>
        <v>4.5886265826380362E-2</v>
      </c>
      <c r="P13" s="654">
        <f t="shared" ref="P13:T13" si="10">P12/AVERAGE(O10:P10)</f>
        <v>4.5859360823154387E-2</v>
      </c>
      <c r="Q13" s="654">
        <f t="shared" si="10"/>
        <v>4.5932469304581051E-2</v>
      </c>
      <c r="R13" s="654">
        <f t="shared" si="10"/>
        <v>4.5903963335909903E-2</v>
      </c>
      <c r="S13" s="654">
        <f t="shared" si="10"/>
        <v>3.3662942782997425E-2</v>
      </c>
      <c r="T13" s="654">
        <f t="shared" si="10"/>
        <v>0</v>
      </c>
      <c r="U13" s="651"/>
      <c r="V13" s="651"/>
    </row>
    <row r="14" spans="2:22" ht="13">
      <c r="B14" s="655" t="s">
        <v>822</v>
      </c>
      <c r="C14" s="656"/>
      <c r="D14" s="656">
        <f t="shared" si="7"/>
        <v>14.55232669499218</v>
      </c>
      <c r="E14" s="656">
        <f t="shared" si="7"/>
        <v>17.212911424071685</v>
      </c>
      <c r="F14" s="656">
        <f t="shared" si="7"/>
        <v>15.074823814597243</v>
      </c>
      <c r="G14" s="656">
        <f t="shared" si="7"/>
        <v>16.14478415108567</v>
      </c>
      <c r="H14" s="656">
        <f t="shared" si="7"/>
        <v>17.453958321882162</v>
      </c>
      <c r="I14" s="656">
        <f t="shared" si="7"/>
        <v>18.231232390691851</v>
      </c>
      <c r="J14" s="656">
        <f t="shared" si="7"/>
        <v>20.618753909766408</v>
      </c>
      <c r="K14" s="656">
        <f t="shared" si="7"/>
        <v>21.217609191112768</v>
      </c>
      <c r="L14" s="656">
        <f t="shared" si="7"/>
        <v>21.72858878449761</v>
      </c>
      <c r="M14" s="656">
        <f t="shared" si="7"/>
        <v>23.768539671019806</v>
      </c>
      <c r="N14" s="657">
        <f t="shared" si="7"/>
        <v>3.9853931841403467</v>
      </c>
      <c r="O14" s="658">
        <f>1/O13</f>
        <v>21.793013268582261</v>
      </c>
      <c r="P14" s="658">
        <f t="shared" ref="P14:T14" si="11">1/P13</f>
        <v>21.805798904530306</v>
      </c>
      <c r="Q14" s="658">
        <f t="shared" si="11"/>
        <v>21.771091673058944</v>
      </c>
      <c r="R14" s="658">
        <f t="shared" si="11"/>
        <v>21.784611334806392</v>
      </c>
      <c r="S14" s="658">
        <f t="shared" si="11"/>
        <v>29.706256118080169</v>
      </c>
      <c r="T14" s="658" t="e">
        <f t="shared" si="11"/>
        <v>#DIV/0!</v>
      </c>
      <c r="V14" s="651"/>
    </row>
    <row r="15" spans="2:22" ht="13">
      <c r="B15" s="647"/>
      <c r="C15" s="648"/>
      <c r="D15" s="648"/>
      <c r="E15" s="648"/>
      <c r="F15" s="648"/>
      <c r="G15" s="659"/>
      <c r="H15" s="648"/>
      <c r="I15" s="648"/>
      <c r="J15" s="648"/>
      <c r="K15" s="659"/>
      <c r="L15" s="648"/>
      <c r="M15" s="648"/>
      <c r="N15" s="649"/>
      <c r="O15" s="648"/>
      <c r="P15" s="648"/>
      <c r="Q15" s="648"/>
      <c r="R15" s="648"/>
      <c r="S15" s="648"/>
      <c r="T15" s="648"/>
    </row>
    <row r="16" spans="2:22" ht="13">
      <c r="B16" s="644" t="s">
        <v>823</v>
      </c>
      <c r="C16" s="645"/>
      <c r="D16" s="645"/>
      <c r="E16" s="645"/>
      <c r="F16" s="645">
        <f>SUM(F17:F18)</f>
        <v>963353</v>
      </c>
      <c r="G16" s="645">
        <f t="shared" ref="G16:T16" si="12">SUM(G17:G18)</f>
        <v>952241</v>
      </c>
      <c r="H16" s="645">
        <f t="shared" si="12"/>
        <v>941798</v>
      </c>
      <c r="I16" s="645">
        <f t="shared" si="12"/>
        <v>942981</v>
      </c>
      <c r="J16" s="645">
        <f t="shared" si="12"/>
        <v>933180</v>
      </c>
      <c r="K16" s="645">
        <f t="shared" si="12"/>
        <v>923739</v>
      </c>
      <c r="L16" s="645">
        <f t="shared" si="12"/>
        <v>923084</v>
      </c>
      <c r="M16" s="645">
        <f t="shared" si="12"/>
        <v>957358</v>
      </c>
      <c r="N16" s="646">
        <f t="shared" si="12"/>
        <v>1428845</v>
      </c>
      <c r="O16" s="645">
        <f t="shared" si="12"/>
        <v>1405566.4808156204</v>
      </c>
      <c r="P16" s="645">
        <f t="shared" si="12"/>
        <v>1385899.3454100266</v>
      </c>
      <c r="Q16" s="645">
        <f t="shared" si="12"/>
        <v>1390622.4093504264</v>
      </c>
      <c r="R16" s="645">
        <f t="shared" si="12"/>
        <v>1386675.9520521089</v>
      </c>
      <c r="S16" s="645">
        <f t="shared" si="12"/>
        <v>1381884.9329055359</v>
      </c>
      <c r="T16" s="645">
        <f t="shared" si="12"/>
        <v>1374652.6378263559</v>
      </c>
      <c r="U16" s="651"/>
    </row>
    <row r="17" spans="1:21" s="187" customFormat="1" ht="13">
      <c r="B17" s="647" t="s">
        <v>818</v>
      </c>
      <c r="C17" s="648"/>
      <c r="D17" s="648">
        <f>'1BS'!E46</f>
        <v>1113838</v>
      </c>
      <c r="E17" s="648">
        <f>'1BS'!F46</f>
        <v>1098567</v>
      </c>
      <c r="F17" s="648">
        <f>'1BS'!G46</f>
        <v>1088316</v>
      </c>
      <c r="G17" s="648">
        <f>'1BS'!H46</f>
        <v>1091398</v>
      </c>
      <c r="H17" s="648">
        <f>'1BS'!I46</f>
        <v>1091734</v>
      </c>
      <c r="I17" s="648">
        <f>'1BS'!J46</f>
        <v>1102197</v>
      </c>
      <c r="J17" s="648">
        <f>'1BS'!K46</f>
        <v>1102973</v>
      </c>
      <c r="K17" s="648">
        <f>'1BS'!L46</f>
        <v>1104147</v>
      </c>
      <c r="L17" s="648">
        <f>'1BS'!M46</f>
        <v>1114712</v>
      </c>
      <c r="M17" s="648">
        <f>'1BS'!N46</f>
        <v>1173834</v>
      </c>
      <c r="N17" s="649">
        <f>'1BS'!O46</f>
        <v>1727503</v>
      </c>
      <c r="O17" s="648">
        <f>O62+O70+SUM($O$107:O107)</f>
        <v>1744097.3279666668</v>
      </c>
      <c r="P17" s="648">
        <f>P62+P70+SUM($O$107:P107)</f>
        <v>1764406.9957723334</v>
      </c>
      <c r="Q17" s="648">
        <f>Q62+Q70+SUM($O$107:Q107)</f>
        <v>1787134.0711121699</v>
      </c>
      <c r="R17" s="648">
        <f>R62+R70+SUM($O$107:R107)</f>
        <v>1804364.2155872018</v>
      </c>
      <c r="S17" s="648">
        <f>S62+S70+SUM($O$107:S107)</f>
        <v>1823649.0779902344</v>
      </c>
      <c r="T17" s="648">
        <f>T62+T70+SUM($O$107:T107)</f>
        <v>1843608.6607575456</v>
      </c>
      <c r="U17" s="595"/>
    </row>
    <row r="18" spans="1:21" s="187" customFormat="1" ht="13">
      <c r="B18" s="647" t="s">
        <v>824</v>
      </c>
      <c r="C18" s="648"/>
      <c r="D18" s="648">
        <f>'1BS'!E47</f>
        <v>-102842</v>
      </c>
      <c r="E18" s="648">
        <f>'1BS'!F47</f>
        <v>-114010</v>
      </c>
      <c r="F18" s="648">
        <f>'1BS'!G47</f>
        <v>-124963</v>
      </c>
      <c r="G18" s="648">
        <f>'1BS'!H47</f>
        <v>-139157</v>
      </c>
      <c r="H18" s="648">
        <f>'1BS'!I47</f>
        <v>-149936</v>
      </c>
      <c r="I18" s="648">
        <f>'1BS'!J47</f>
        <v>-159216</v>
      </c>
      <c r="J18" s="648">
        <f>'1BS'!K47</f>
        <v>-169793</v>
      </c>
      <c r="K18" s="648">
        <f>'1BS'!L47</f>
        <v>-180408</v>
      </c>
      <c r="L18" s="648">
        <f>'1BS'!M47</f>
        <v>-191628</v>
      </c>
      <c r="M18" s="648">
        <f>'1BS'!N47</f>
        <v>-216476</v>
      </c>
      <c r="N18" s="649">
        <f>'1BS'!O47</f>
        <v>-298658</v>
      </c>
      <c r="O18" s="648">
        <f>N18-O19</f>
        <v>-338530.84715104644</v>
      </c>
      <c r="P18" s="648">
        <f t="shared" ref="P18:T18" si="13">O18-P19</f>
        <v>-378507.65036230686</v>
      </c>
      <c r="Q18" s="648">
        <f t="shared" si="13"/>
        <v>-396511.6617617436</v>
      </c>
      <c r="R18" s="648">
        <f t="shared" si="13"/>
        <v>-417688.2635350927</v>
      </c>
      <c r="S18" s="648">
        <f t="shared" si="13"/>
        <v>-441764.14508469851</v>
      </c>
      <c r="T18" s="648">
        <f t="shared" si="13"/>
        <v>-468956.02293118974</v>
      </c>
      <c r="U18" s="595"/>
    </row>
    <row r="19" spans="1:21" s="187" customFormat="1" ht="13">
      <c r="B19" s="650" t="s">
        <v>825</v>
      </c>
      <c r="C19" s="648"/>
      <c r="D19" s="648"/>
      <c r="E19" s="229">
        <f t="shared" ref="E19:F19" si="14">-(E18-D18)</f>
        <v>11168</v>
      </c>
      <c r="F19" s="229">
        <f t="shared" si="14"/>
        <v>10953</v>
      </c>
      <c r="G19" s="229">
        <f>-(G18-F18)</f>
        <v>14194</v>
      </c>
      <c r="H19" s="229">
        <f t="shared" ref="H19:N19" si="15">-(H18-G18)</f>
        <v>10779</v>
      </c>
      <c r="I19" s="229">
        <f t="shared" si="15"/>
        <v>9280</v>
      </c>
      <c r="J19" s="229">
        <f t="shared" si="15"/>
        <v>10577</v>
      </c>
      <c r="K19" s="229">
        <f t="shared" si="15"/>
        <v>10615</v>
      </c>
      <c r="L19" s="229">
        <f t="shared" si="15"/>
        <v>11220</v>
      </c>
      <c r="M19" s="229">
        <f t="shared" si="15"/>
        <v>24848</v>
      </c>
      <c r="N19" s="310">
        <f t="shared" si="15"/>
        <v>82182</v>
      </c>
      <c r="O19" s="648">
        <f>O64+O72+O115</f>
        <v>39872.847151046444</v>
      </c>
      <c r="P19" s="648">
        <f t="shared" ref="P19:T19" si="16">P64+P72+P115</f>
        <v>39976.803211260441</v>
      </c>
      <c r="Q19" s="648">
        <f t="shared" si="16"/>
        <v>18004.011399436742</v>
      </c>
      <c r="R19" s="648">
        <f t="shared" si="16"/>
        <v>21176.601773349117</v>
      </c>
      <c r="S19" s="648">
        <f t="shared" si="16"/>
        <v>24075.881549605823</v>
      </c>
      <c r="T19" s="648">
        <f t="shared" si="16"/>
        <v>27191.877846491203</v>
      </c>
      <c r="U19" s="595"/>
    </row>
    <row r="20" spans="1:21" s="187" customFormat="1" ht="13">
      <c r="B20" s="647" t="s">
        <v>826</v>
      </c>
      <c r="C20" s="659"/>
      <c r="D20" s="659"/>
      <c r="E20" s="654">
        <f t="shared" ref="E20:J20" si="17">E19/AVERAGE(D17:E17)</f>
        <v>1.0095800723646891E-2</v>
      </c>
      <c r="F20" s="654">
        <f t="shared" si="17"/>
        <v>1.0016996794067172E-2</v>
      </c>
      <c r="G20" s="654">
        <f t="shared" si="17"/>
        <v>1.3023726966014807E-2</v>
      </c>
      <c r="H20" s="654">
        <f t="shared" si="17"/>
        <v>9.8748037223585199E-3</v>
      </c>
      <c r="I20" s="654">
        <f t="shared" si="17"/>
        <v>8.4597008748224078E-3</v>
      </c>
      <c r="J20" s="654">
        <f t="shared" si="17"/>
        <v>9.5929112041248515E-3</v>
      </c>
      <c r="K20" s="654">
        <f t="shared" ref="K20:T20" si="18">K19/AVERAGE(J17:K17)</f>
        <v>9.6188698394287578E-3</v>
      </c>
      <c r="L20" s="654">
        <f t="shared" si="18"/>
        <v>1.011330598293988E-2</v>
      </c>
      <c r="M20" s="654">
        <f t="shared" si="18"/>
        <v>2.1715097708326598E-2</v>
      </c>
      <c r="N20" s="660">
        <f t="shared" si="18"/>
        <v>5.6651123258001396E-2</v>
      </c>
      <c r="O20" s="654">
        <f>O19/AVERAGE(N17:O17)</f>
        <v>2.2970874169953869E-2</v>
      </c>
      <c r="P20" s="654">
        <f t="shared" si="18"/>
        <v>2.2788515858893004E-2</v>
      </c>
      <c r="Q20" s="654">
        <f t="shared" si="18"/>
        <v>1.0138703768519445E-2</v>
      </c>
      <c r="R20" s="654">
        <f t="shared" si="18"/>
        <v>1.1792628080472042E-2</v>
      </c>
      <c r="S20" s="654">
        <f t="shared" si="18"/>
        <v>1.3272212421176426E-2</v>
      </c>
      <c r="T20" s="654">
        <f t="shared" si="18"/>
        <v>1.4829542826611431E-2</v>
      </c>
      <c r="U20" s="595"/>
    </row>
    <row r="21" spans="1:21" s="187" customFormat="1" ht="13">
      <c r="B21" s="655" t="s">
        <v>827</v>
      </c>
      <c r="C21" s="659"/>
      <c r="D21" s="659"/>
      <c r="E21" s="661">
        <f t="shared" ref="E21:Q21" si="19">1/E20</f>
        <v>99.051083452722068</v>
      </c>
      <c r="F21" s="661">
        <f t="shared" si="19"/>
        <v>99.830320460147917</v>
      </c>
      <c r="G21" s="661">
        <f t="shared" si="19"/>
        <v>76.782936452021985</v>
      </c>
      <c r="H21" s="661">
        <f t="shared" si="19"/>
        <v>101.26783560627145</v>
      </c>
      <c r="I21" s="661">
        <f t="shared" si="19"/>
        <v>118.20748922413793</v>
      </c>
      <c r="J21" s="661">
        <f t="shared" si="19"/>
        <v>104.24364186442281</v>
      </c>
      <c r="K21" s="661">
        <f t="shared" si="19"/>
        <v>103.96231747527085</v>
      </c>
      <c r="L21" s="661">
        <f t="shared" si="19"/>
        <v>98.879634581105179</v>
      </c>
      <c r="M21" s="661">
        <f t="shared" si="19"/>
        <v>46.050909529942047</v>
      </c>
      <c r="N21" s="662">
        <f t="shared" si="19"/>
        <v>17.651900659511817</v>
      </c>
      <c r="O21" s="661">
        <f>1/O20</f>
        <v>43.533388960356149</v>
      </c>
      <c r="P21" s="661">
        <f t="shared" si="19"/>
        <v>43.881751939969334</v>
      </c>
      <c r="Q21" s="661">
        <f t="shared" si="19"/>
        <v>98.631937852350333</v>
      </c>
      <c r="R21" s="661">
        <f>1/R20</f>
        <v>84.798739786930639</v>
      </c>
      <c r="S21" s="661">
        <f t="shared" ref="S21:T21" si="20">1/S20</f>
        <v>75.34538841500563</v>
      </c>
      <c r="T21" s="661">
        <f t="shared" si="20"/>
        <v>67.432962141321866</v>
      </c>
      <c r="U21" s="595"/>
    </row>
    <row r="22" spans="1:21" s="187" customFormat="1" ht="13">
      <c r="B22" s="663"/>
      <c r="C22" s="645"/>
      <c r="D22" s="645"/>
      <c r="E22" s="645"/>
      <c r="F22" s="645"/>
      <c r="G22" s="645"/>
      <c r="H22" s="645"/>
      <c r="I22" s="645"/>
      <c r="J22" s="645"/>
      <c r="K22" s="645"/>
      <c r="L22" s="645"/>
      <c r="M22" s="645"/>
      <c r="N22" s="646"/>
      <c r="O22" s="645"/>
      <c r="P22" s="645"/>
      <c r="Q22" s="645"/>
      <c r="R22" s="645"/>
      <c r="S22" s="645"/>
      <c r="U22" s="595"/>
    </row>
    <row r="23" spans="1:21" ht="13" outlineLevel="1">
      <c r="B23" s="647"/>
      <c r="C23" s="648"/>
      <c r="D23" s="648"/>
      <c r="E23" s="648"/>
      <c r="F23" s="648"/>
      <c r="G23" s="659"/>
      <c r="H23" s="648"/>
      <c r="I23" s="648"/>
      <c r="J23" s="648"/>
      <c r="K23" s="659"/>
      <c r="L23" s="648"/>
      <c r="M23" s="226"/>
      <c r="N23" s="227"/>
      <c r="O23" s="226"/>
      <c r="P23" s="226"/>
      <c r="Q23" s="226"/>
      <c r="R23" s="226"/>
      <c r="S23" s="226"/>
    </row>
    <row r="24" spans="1:21" s="669" customFormat="1" ht="5.25" customHeight="1" outlineLevel="1">
      <c r="A24" s="664"/>
      <c r="B24" s="665"/>
      <c r="C24" s="666"/>
      <c r="D24" s="666"/>
      <c r="E24" s="666"/>
      <c r="F24" s="666"/>
      <c r="G24" s="667"/>
      <c r="H24" s="666"/>
      <c r="I24" s="666"/>
      <c r="J24" s="666"/>
      <c r="K24" s="667"/>
      <c r="L24" s="666"/>
      <c r="M24" s="666"/>
      <c r="N24" s="668"/>
      <c r="O24" s="666"/>
      <c r="P24" s="666"/>
      <c r="Q24" s="666"/>
      <c r="R24" s="666"/>
      <c r="S24" s="666"/>
      <c r="T24" s="664"/>
    </row>
    <row r="25" spans="1:21" s="669" customFormat="1" ht="4.5" customHeight="1" outlineLevel="1">
      <c r="A25" s="664"/>
      <c r="B25" s="665"/>
      <c r="C25" s="666"/>
      <c r="D25" s="666"/>
      <c r="E25" s="666"/>
      <c r="F25" s="666"/>
      <c r="G25" s="667"/>
      <c r="H25" s="666"/>
      <c r="I25" s="666"/>
      <c r="J25" s="666"/>
      <c r="K25" s="667"/>
      <c r="L25" s="666"/>
      <c r="M25" s="666"/>
      <c r="N25" s="668"/>
      <c r="O25" s="666"/>
      <c r="P25" s="666"/>
      <c r="Q25" s="666"/>
      <c r="R25" s="666"/>
      <c r="S25" s="666"/>
      <c r="T25" s="664"/>
    </row>
    <row r="26" spans="1:21" ht="13" outlineLevel="1">
      <c r="B26" s="647"/>
      <c r="C26" s="648"/>
      <c r="D26" s="648"/>
      <c r="E26" s="648"/>
      <c r="F26" s="648"/>
      <c r="G26" s="659"/>
      <c r="H26" s="648"/>
      <c r="I26" s="648"/>
      <c r="J26" s="648"/>
      <c r="K26" s="659"/>
      <c r="L26" s="648"/>
      <c r="M26" s="226"/>
      <c r="N26" s="227"/>
      <c r="O26" s="226"/>
      <c r="P26" s="226"/>
      <c r="Q26" s="226"/>
      <c r="R26" s="226"/>
      <c r="S26" s="226"/>
    </row>
    <row r="27" spans="1:21" ht="13" outlineLevel="1">
      <c r="B27" s="644" t="s">
        <v>828</v>
      </c>
      <c r="C27" s="648">
        <f>SUM(C28:C29)</f>
        <v>0</v>
      </c>
      <c r="D27" s="648">
        <f t="shared" ref="D27:T27" si="21">SUM(D28:D29)</f>
        <v>0</v>
      </c>
      <c r="E27" s="648">
        <f t="shared" si="21"/>
        <v>0</v>
      </c>
      <c r="F27" s="648">
        <f t="shared" si="21"/>
        <v>0</v>
      </c>
      <c r="G27" s="648">
        <f t="shared" si="21"/>
        <v>0</v>
      </c>
      <c r="H27" s="648">
        <f t="shared" si="21"/>
        <v>0</v>
      </c>
      <c r="I27" s="648">
        <f t="shared" si="21"/>
        <v>178134</v>
      </c>
      <c r="J27" s="648">
        <f t="shared" si="21"/>
        <v>167493</v>
      </c>
      <c r="K27" s="648">
        <f t="shared" si="21"/>
        <v>162262</v>
      </c>
      <c r="L27" s="648">
        <f t="shared" si="21"/>
        <v>157032</v>
      </c>
      <c r="M27" s="648">
        <f t="shared" si="21"/>
        <v>151787</v>
      </c>
      <c r="N27" s="649">
        <f t="shared" si="21"/>
        <v>146556</v>
      </c>
      <c r="O27" s="648">
        <f t="shared" si="21"/>
        <v>141320.6756147609</v>
      </c>
      <c r="P27" s="648">
        <f t="shared" si="21"/>
        <v>136085.3512295218</v>
      </c>
      <c r="Q27" s="648">
        <f t="shared" si="21"/>
        <v>130850.02684428266</v>
      </c>
      <c r="R27" s="648">
        <f t="shared" si="21"/>
        <v>125614.70245904356</v>
      </c>
      <c r="S27" s="648">
        <f t="shared" si="21"/>
        <v>120379.37807380446</v>
      </c>
      <c r="T27" s="648">
        <f t="shared" si="21"/>
        <v>115144.05368856534</v>
      </c>
    </row>
    <row r="28" spans="1:21" ht="13" outlineLevel="1">
      <c r="B28" s="647" t="s">
        <v>818</v>
      </c>
      <c r="C28" s="648">
        <f t="shared" ref="C28:L32" si="22">C78</f>
        <v>0</v>
      </c>
      <c r="D28" s="648">
        <f t="shared" si="22"/>
        <v>0</v>
      </c>
      <c r="E28" s="648">
        <f t="shared" si="22"/>
        <v>0</v>
      </c>
      <c r="F28" s="648">
        <f t="shared" si="22"/>
        <v>0</v>
      </c>
      <c r="G28" s="648">
        <f t="shared" si="22"/>
        <v>0</v>
      </c>
      <c r="H28" s="648">
        <f t="shared" si="22"/>
        <v>0</v>
      </c>
      <c r="I28" s="648">
        <f>I78</f>
        <v>179021</v>
      </c>
      <c r="J28" s="648">
        <f>J78</f>
        <v>173583</v>
      </c>
      <c r="K28" s="648">
        <f t="shared" ref="K28:M32" si="23">K78</f>
        <v>173583</v>
      </c>
      <c r="L28" s="648">
        <f t="shared" si="23"/>
        <v>173583</v>
      </c>
      <c r="M28" s="648">
        <f t="shared" si="23"/>
        <v>173583</v>
      </c>
      <c r="N28" s="649">
        <f>N78+SUM($M$118:N118)</f>
        <v>173583</v>
      </c>
      <c r="O28" s="648">
        <f>O78+SUM($M$118:O118)</f>
        <v>173583</v>
      </c>
      <c r="P28" s="648">
        <f>P78+SUM($M$118:P118)</f>
        <v>173583</v>
      </c>
      <c r="Q28" s="648">
        <f>Q78+SUM($M$118:Q118)</f>
        <v>173583</v>
      </c>
      <c r="R28" s="648">
        <f>R78+SUM($M$118:R118)</f>
        <v>173583</v>
      </c>
      <c r="S28" s="648">
        <f>S78+SUM($M$118:S118)</f>
        <v>173583</v>
      </c>
      <c r="T28" s="648">
        <f>T78+SUM($M$118:T118)</f>
        <v>173583</v>
      </c>
    </row>
    <row r="29" spans="1:21" ht="13" outlineLevel="1">
      <c r="B29" s="647" t="s">
        <v>824</v>
      </c>
      <c r="C29" s="648">
        <f t="shared" si="22"/>
        <v>0</v>
      </c>
      <c r="D29" s="648">
        <f t="shared" si="22"/>
        <v>0</v>
      </c>
      <c r="E29" s="648">
        <f t="shared" si="22"/>
        <v>0</v>
      </c>
      <c r="F29" s="648">
        <f t="shared" si="22"/>
        <v>0</v>
      </c>
      <c r="G29" s="648">
        <f t="shared" si="22"/>
        <v>0</v>
      </c>
      <c r="H29" s="648">
        <f t="shared" si="22"/>
        <v>0</v>
      </c>
      <c r="I29" s="648">
        <f t="shared" si="22"/>
        <v>-887</v>
      </c>
      <c r="J29" s="648">
        <f t="shared" si="22"/>
        <v>-6090</v>
      </c>
      <c r="K29" s="648">
        <f t="shared" si="22"/>
        <v>-11321</v>
      </c>
      <c r="L29" s="648">
        <f t="shared" si="22"/>
        <v>-16551</v>
      </c>
      <c r="M29" s="648">
        <f t="shared" si="23"/>
        <v>-21796</v>
      </c>
      <c r="N29" s="649">
        <f t="shared" ref="N29:T29" si="24">M29-N30</f>
        <v>-27027</v>
      </c>
      <c r="O29" s="648">
        <f t="shared" si="24"/>
        <v>-32262.32438523911</v>
      </c>
      <c r="P29" s="648">
        <f t="shared" si="24"/>
        <v>-37497.648770478219</v>
      </c>
      <c r="Q29" s="648">
        <f t="shared" si="24"/>
        <v>-42732.973155717329</v>
      </c>
      <c r="R29" s="648">
        <f t="shared" si="24"/>
        <v>-47968.297540956439</v>
      </c>
      <c r="S29" s="648">
        <f t="shared" si="24"/>
        <v>-53203.621926195548</v>
      </c>
      <c r="T29" s="648">
        <f t="shared" si="24"/>
        <v>-58438.946311434658</v>
      </c>
    </row>
    <row r="30" spans="1:21" ht="13" outlineLevel="1">
      <c r="B30" s="650" t="s">
        <v>829</v>
      </c>
      <c r="C30" s="648">
        <f t="shared" si="22"/>
        <v>0</v>
      </c>
      <c r="D30" s="648">
        <f t="shared" si="22"/>
        <v>0</v>
      </c>
      <c r="E30" s="648">
        <f t="shared" si="22"/>
        <v>0</v>
      </c>
      <c r="F30" s="648">
        <f t="shared" si="22"/>
        <v>0</v>
      </c>
      <c r="G30" s="648">
        <f t="shared" si="22"/>
        <v>0</v>
      </c>
      <c r="H30" s="648">
        <f t="shared" si="22"/>
        <v>0</v>
      </c>
      <c r="I30" s="648">
        <f t="shared" si="22"/>
        <v>887</v>
      </c>
      <c r="J30" s="648">
        <f t="shared" si="22"/>
        <v>5203</v>
      </c>
      <c r="K30" s="648">
        <f t="shared" si="22"/>
        <v>5231</v>
      </c>
      <c r="L30" s="648">
        <f t="shared" si="22"/>
        <v>5230</v>
      </c>
      <c r="M30" s="648">
        <f t="shared" si="23"/>
        <v>5245</v>
      </c>
      <c r="N30" s="208">
        <f t="shared" ref="N30:T30" si="25">N80+N126</f>
        <v>5231</v>
      </c>
      <c r="O30" s="207">
        <f>O80+O126</f>
        <v>5235.3243852391097</v>
      </c>
      <c r="P30" s="207">
        <f t="shared" si="25"/>
        <v>5235.3243852391097</v>
      </c>
      <c r="Q30" s="207">
        <f t="shared" si="25"/>
        <v>5235.3243852391097</v>
      </c>
      <c r="R30" s="207">
        <f t="shared" si="25"/>
        <v>5235.3243852391097</v>
      </c>
      <c r="S30" s="207">
        <f t="shared" si="25"/>
        <v>5235.3243852391097</v>
      </c>
      <c r="T30" s="207">
        <f t="shared" si="25"/>
        <v>5235.3243852391097</v>
      </c>
    </row>
    <row r="31" spans="1:21" ht="13" outlineLevel="1">
      <c r="B31" s="647" t="s">
        <v>821</v>
      </c>
      <c r="C31" s="648">
        <f t="shared" si="22"/>
        <v>0</v>
      </c>
      <c r="D31" s="648">
        <f t="shared" si="22"/>
        <v>0</v>
      </c>
      <c r="E31" s="648">
        <f t="shared" si="22"/>
        <v>0</v>
      </c>
      <c r="F31" s="648">
        <f t="shared" si="22"/>
        <v>0</v>
      </c>
      <c r="G31" s="648">
        <f t="shared" si="22"/>
        <v>0</v>
      </c>
      <c r="H31" s="648">
        <f t="shared" si="22"/>
        <v>0</v>
      </c>
      <c r="I31" s="648">
        <f t="shared" si="22"/>
        <v>0</v>
      </c>
      <c r="J31" s="648">
        <f t="shared" si="22"/>
        <v>2.9511860330569135E-2</v>
      </c>
      <c r="K31" s="648">
        <f t="shared" si="22"/>
        <v>3.0135439530368756E-2</v>
      </c>
      <c r="L31" s="648">
        <f t="shared" si="22"/>
        <v>3.0129678597558517E-2</v>
      </c>
      <c r="M31" s="648">
        <f t="shared" si="23"/>
        <v>3.0216092589712126E-2</v>
      </c>
      <c r="N31" s="660">
        <f t="shared" ref="N31:T31" si="26">N30/AVERAGE(M28:N28)</f>
        <v>3.0135439530368756E-2</v>
      </c>
      <c r="O31" s="654">
        <f t="shared" si="26"/>
        <v>3.0160352023176865E-2</v>
      </c>
      <c r="P31" s="654">
        <f t="shared" si="26"/>
        <v>3.0160352023176865E-2</v>
      </c>
      <c r="Q31" s="654">
        <f t="shared" si="26"/>
        <v>3.0160352023176865E-2</v>
      </c>
      <c r="R31" s="654">
        <f t="shared" si="26"/>
        <v>3.0160352023176865E-2</v>
      </c>
      <c r="S31" s="654">
        <f t="shared" si="26"/>
        <v>3.0160352023176865E-2</v>
      </c>
      <c r="T31" s="654">
        <f t="shared" si="26"/>
        <v>3.0160352023176865E-2</v>
      </c>
    </row>
    <row r="32" spans="1:21" ht="13" outlineLevel="1">
      <c r="B32" s="655" t="s">
        <v>822</v>
      </c>
      <c r="C32" s="648">
        <f t="shared" si="22"/>
        <v>0</v>
      </c>
      <c r="D32" s="648">
        <f t="shared" si="22"/>
        <v>0</v>
      </c>
      <c r="E32" s="648">
        <f t="shared" si="22"/>
        <v>0</v>
      </c>
      <c r="F32" s="648">
        <f t="shared" si="22"/>
        <v>0</v>
      </c>
      <c r="G32" s="648">
        <f t="shared" si="22"/>
        <v>0</v>
      </c>
      <c r="H32" s="648">
        <f t="shared" si="22"/>
        <v>0</v>
      </c>
      <c r="I32" s="648">
        <f t="shared" si="22"/>
        <v>0</v>
      </c>
      <c r="J32" s="648">
        <f t="shared" si="22"/>
        <v>33.884681914280222</v>
      </c>
      <c r="K32" s="648">
        <f t="shared" si="22"/>
        <v>33.183521315236092</v>
      </c>
      <c r="L32" s="648">
        <f t="shared" si="22"/>
        <v>33.189866156787765</v>
      </c>
      <c r="M32" s="648">
        <f t="shared" si="23"/>
        <v>33.094947569113444</v>
      </c>
      <c r="N32" s="662">
        <f t="shared" ref="N32:T32" si="27">1/N31</f>
        <v>33.183521315236092</v>
      </c>
      <c r="O32" s="661">
        <f t="shared" si="27"/>
        <v>33.156111680379105</v>
      </c>
      <c r="P32" s="661">
        <f t="shared" si="27"/>
        <v>33.156111680379105</v>
      </c>
      <c r="Q32" s="661">
        <f t="shared" si="27"/>
        <v>33.156111680379105</v>
      </c>
      <c r="R32" s="661">
        <f t="shared" si="27"/>
        <v>33.156111680379105</v>
      </c>
      <c r="S32" s="661">
        <f t="shared" si="27"/>
        <v>33.156111680379105</v>
      </c>
      <c r="T32" s="661">
        <f t="shared" si="27"/>
        <v>33.156111680379105</v>
      </c>
    </row>
    <row r="33" spans="1:34" ht="13" outlineLevel="1">
      <c r="B33" s="647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9"/>
      <c r="O33" s="648"/>
      <c r="P33" s="648"/>
      <c r="Q33" s="648"/>
      <c r="R33" s="648"/>
      <c r="S33" s="648"/>
      <c r="T33" s="648"/>
    </row>
    <row r="34" spans="1:34" ht="13" outlineLevel="1">
      <c r="B34" s="644" t="s">
        <v>830</v>
      </c>
      <c r="C34" s="645">
        <f t="shared" ref="C34:T34" si="28">SUM(C35:C36)</f>
        <v>30769</v>
      </c>
      <c r="D34" s="645">
        <f t="shared" si="28"/>
        <v>45649</v>
      </c>
      <c r="E34" s="645">
        <f t="shared" si="28"/>
        <v>66481</v>
      </c>
      <c r="F34" s="645">
        <f t="shared" si="28"/>
        <v>67657</v>
      </c>
      <c r="G34" s="645">
        <f t="shared" si="28"/>
        <v>54568</v>
      </c>
      <c r="H34" s="645">
        <f t="shared" si="28"/>
        <v>58434</v>
      </c>
      <c r="I34" s="645">
        <f t="shared" si="28"/>
        <v>65174</v>
      </c>
      <c r="J34" s="645">
        <f t="shared" si="28"/>
        <v>41270</v>
      </c>
      <c r="K34" s="645">
        <f t="shared" si="28"/>
        <v>153129</v>
      </c>
      <c r="L34" s="645">
        <f t="shared" si="28"/>
        <v>279065</v>
      </c>
      <c r="M34" s="645">
        <f t="shared" si="28"/>
        <v>268305</v>
      </c>
      <c r="N34" s="646">
        <f t="shared" si="28"/>
        <v>238599</v>
      </c>
      <c r="O34" s="645">
        <f t="shared" si="28"/>
        <v>228521.4242473256</v>
      </c>
      <c r="P34" s="645">
        <f t="shared" si="28"/>
        <v>218450.38363865123</v>
      </c>
      <c r="Q34" s="645">
        <f t="shared" si="28"/>
        <v>208386.07422829693</v>
      </c>
      <c r="R34" s="645">
        <f t="shared" si="28"/>
        <v>198328.69795221215</v>
      </c>
      <c r="S34" s="645">
        <f t="shared" si="28"/>
        <v>188278.46280442504</v>
      </c>
      <c r="T34" s="645">
        <f t="shared" si="28"/>
        <v>178235.58301878456</v>
      </c>
    </row>
    <row r="35" spans="1:34" ht="13" outlineLevel="1">
      <c r="B35" s="647" t="s">
        <v>818</v>
      </c>
      <c r="C35" s="648">
        <f>C87</f>
        <v>43273</v>
      </c>
      <c r="D35" s="648">
        <f t="shared" ref="D35:M39" si="29">D87</f>
        <v>70886</v>
      </c>
      <c r="E35" s="648">
        <f t="shared" si="29"/>
        <v>94694</v>
      </c>
      <c r="F35" s="648">
        <f t="shared" si="29"/>
        <v>83725</v>
      </c>
      <c r="G35" s="648">
        <f t="shared" si="29"/>
        <v>71444</v>
      </c>
      <c r="H35" s="648">
        <f t="shared" si="29"/>
        <v>80831</v>
      </c>
      <c r="I35" s="648">
        <f t="shared" si="29"/>
        <v>92669</v>
      </c>
      <c r="J35" s="648">
        <f t="shared" si="29"/>
        <v>67678</v>
      </c>
      <c r="K35" s="648">
        <f t="shared" si="29"/>
        <v>182936</v>
      </c>
      <c r="L35" s="648">
        <f t="shared" si="29"/>
        <v>311099</v>
      </c>
      <c r="M35" s="648">
        <f t="shared" si="29"/>
        <v>311715</v>
      </c>
      <c r="N35" s="649">
        <f>N87+SUM($M$129:N129)</f>
        <v>281827</v>
      </c>
      <c r="O35" s="648">
        <f>O87+SUM($M$129:O129)</f>
        <v>282044.83813333331</v>
      </c>
      <c r="P35" s="648">
        <f>P87+SUM($M$129:P129)</f>
        <v>282269.21141066664</v>
      </c>
      <c r="Q35" s="648">
        <f>Q87+SUM($M$129:Q129)</f>
        <v>282500.31588632002</v>
      </c>
      <c r="R35" s="648">
        <f>R87+SUM($M$129:R129)</f>
        <v>282738.35349624295</v>
      </c>
      <c r="S35" s="648">
        <f>S87+SUM($M$129:S129)</f>
        <v>282983.53223446355</v>
      </c>
      <c r="T35" s="648">
        <f>T87+SUM($M$129:T129)</f>
        <v>283236.06633483077</v>
      </c>
    </row>
    <row r="36" spans="1:34" ht="13" outlineLevel="1">
      <c r="B36" s="647" t="s">
        <v>824</v>
      </c>
      <c r="C36" s="648">
        <f t="shared" ref="C36:R39" si="30">C88</f>
        <v>-12504</v>
      </c>
      <c r="D36" s="648">
        <f t="shared" si="30"/>
        <v>-25237</v>
      </c>
      <c r="E36" s="648">
        <f t="shared" si="30"/>
        <v>-28213</v>
      </c>
      <c r="F36" s="648">
        <f t="shared" si="30"/>
        <v>-16068</v>
      </c>
      <c r="G36" s="648">
        <f t="shared" si="30"/>
        <v>-16876</v>
      </c>
      <c r="H36" s="648">
        <f t="shared" si="30"/>
        <v>-22397</v>
      </c>
      <c r="I36" s="648">
        <f t="shared" si="30"/>
        <v>-27495</v>
      </c>
      <c r="J36" s="648">
        <f t="shared" si="30"/>
        <v>-26408</v>
      </c>
      <c r="K36" s="648">
        <f t="shared" si="30"/>
        <v>-29807</v>
      </c>
      <c r="L36" s="648">
        <f t="shared" si="30"/>
        <v>-32034</v>
      </c>
      <c r="M36" s="648">
        <f t="shared" si="29"/>
        <v>-43410</v>
      </c>
      <c r="N36" s="649">
        <f t="shared" ref="N36:T36" si="31">M36-N37</f>
        <v>-43228</v>
      </c>
      <c r="O36" s="648">
        <f t="shared" si="31"/>
        <v>-53523.4138860077</v>
      </c>
      <c r="P36" s="648">
        <f t="shared" si="31"/>
        <v>-63818.8277720154</v>
      </c>
      <c r="Q36" s="648">
        <f t="shared" si="31"/>
        <v>-74114.241658023093</v>
      </c>
      <c r="R36" s="648">
        <f t="shared" si="31"/>
        <v>-84409.6555440308</v>
      </c>
      <c r="S36" s="648">
        <f t="shared" si="31"/>
        <v>-94705.069430038508</v>
      </c>
      <c r="T36" s="648">
        <f t="shared" si="31"/>
        <v>-105000.48331604621</v>
      </c>
    </row>
    <row r="37" spans="1:34" ht="13" outlineLevel="1">
      <c r="B37" s="650" t="s">
        <v>831</v>
      </c>
      <c r="C37" s="648">
        <f t="shared" si="30"/>
        <v>0</v>
      </c>
      <c r="D37" s="648">
        <f t="shared" si="30"/>
        <v>12733</v>
      </c>
      <c r="E37" s="648">
        <f t="shared" si="30"/>
        <v>2976</v>
      </c>
      <c r="F37" s="648">
        <f>F89</f>
        <v>-12145</v>
      </c>
      <c r="G37" s="648">
        <f t="shared" si="30"/>
        <v>808</v>
      </c>
      <c r="H37" s="648">
        <f t="shared" si="30"/>
        <v>5521</v>
      </c>
      <c r="I37" s="648">
        <f t="shared" si="30"/>
        <v>5098</v>
      </c>
      <c r="J37" s="648">
        <f t="shared" si="30"/>
        <v>-1087</v>
      </c>
      <c r="K37" s="648">
        <f t="shared" si="30"/>
        <v>3399</v>
      </c>
      <c r="L37" s="648">
        <f t="shared" si="30"/>
        <v>2227</v>
      </c>
      <c r="M37" s="648">
        <f t="shared" si="29"/>
        <v>11376</v>
      </c>
      <c r="N37" s="649">
        <f t="shared" ref="N37:T37" si="32">N89+N137</f>
        <v>-182</v>
      </c>
      <c r="O37" s="648">
        <f t="shared" si="32"/>
        <v>10295.4138860077</v>
      </c>
      <c r="P37" s="648">
        <f t="shared" si="32"/>
        <v>10295.4138860077</v>
      </c>
      <c r="Q37" s="648">
        <f t="shared" si="32"/>
        <v>10295.4138860077</v>
      </c>
      <c r="R37" s="648">
        <f t="shared" si="32"/>
        <v>10295.4138860077</v>
      </c>
      <c r="S37" s="648">
        <f t="shared" si="32"/>
        <v>10295.4138860077</v>
      </c>
      <c r="T37" s="648">
        <f t="shared" si="32"/>
        <v>10295.4138860077</v>
      </c>
    </row>
    <row r="38" spans="1:34" s="675" customFormat="1" ht="13" outlineLevel="1">
      <c r="A38" s="670"/>
      <c r="B38" s="671" t="s">
        <v>821</v>
      </c>
      <c r="C38" s="672">
        <f t="shared" si="30"/>
        <v>0</v>
      </c>
      <c r="D38" s="672">
        <f t="shared" si="30"/>
        <v>0.22307483422244415</v>
      </c>
      <c r="E38" s="672">
        <f t="shared" si="30"/>
        <v>3.5946370334581472E-2</v>
      </c>
      <c r="F38" s="672">
        <f t="shared" si="30"/>
        <v>-0.13614020928264367</v>
      </c>
      <c r="G38" s="672">
        <f t="shared" si="30"/>
        <v>1.0414451340151705E-2</v>
      </c>
      <c r="H38" s="672">
        <f t="shared" si="30"/>
        <v>7.2513544573961586E-2</v>
      </c>
      <c r="I38" s="672">
        <f t="shared" si="30"/>
        <v>5.8766570605187321E-2</v>
      </c>
      <c r="J38" s="672">
        <f t="shared" si="30"/>
        <v>-1.3558095879561201E-2</v>
      </c>
      <c r="K38" s="672">
        <f t="shared" si="30"/>
        <v>2.7125380066556536E-2</v>
      </c>
      <c r="L38" s="672">
        <f t="shared" si="30"/>
        <v>9.0155555780460899E-3</v>
      </c>
      <c r="M38" s="672">
        <f t="shared" si="29"/>
        <v>3.6530970723201467E-2</v>
      </c>
      <c r="N38" s="673">
        <f t="shared" si="30"/>
        <v>-6.1326746885645835E-4</v>
      </c>
      <c r="O38" s="672">
        <f t="shared" si="30"/>
        <v>3.6530970723201467E-2</v>
      </c>
      <c r="P38" s="672">
        <f t="shared" si="30"/>
        <v>3.6530970723201467E-2</v>
      </c>
      <c r="Q38" s="672">
        <f t="shared" si="30"/>
        <v>3.6530970723201467E-2</v>
      </c>
      <c r="R38" s="672">
        <f t="shared" si="30"/>
        <v>3.6530970723201467E-2</v>
      </c>
      <c r="S38" s="672">
        <f t="shared" ref="S38:T39" si="33">S90</f>
        <v>3.6530970723201467E-2</v>
      </c>
      <c r="T38" s="672">
        <f t="shared" si="33"/>
        <v>3.6530970723201467E-2</v>
      </c>
      <c r="U38" s="674"/>
      <c r="V38" s="674"/>
      <c r="W38" s="674"/>
      <c r="X38" s="674"/>
      <c r="Y38" s="674"/>
      <c r="Z38" s="674"/>
      <c r="AA38" s="674"/>
      <c r="AB38" s="674"/>
      <c r="AC38" s="674"/>
      <c r="AD38" s="674"/>
      <c r="AE38" s="674"/>
      <c r="AF38" s="674"/>
      <c r="AG38" s="674"/>
      <c r="AH38" s="674"/>
    </row>
    <row r="39" spans="1:34" ht="13" outlineLevel="1">
      <c r="B39" s="676" t="s">
        <v>822</v>
      </c>
      <c r="C39" s="677">
        <f t="shared" si="30"/>
        <v>0</v>
      </c>
      <c r="D39" s="677">
        <f t="shared" si="30"/>
        <v>4.4828005968742639</v>
      </c>
      <c r="E39" s="677">
        <f t="shared" si="30"/>
        <v>27.819220430107528</v>
      </c>
      <c r="F39" s="677">
        <f t="shared" si="30"/>
        <v>-7.3453684643886366</v>
      </c>
      <c r="G39" s="677">
        <f t="shared" si="30"/>
        <v>96.020420792079207</v>
      </c>
      <c r="H39" s="677">
        <f t="shared" si="30"/>
        <v>13.79052707842782</v>
      </c>
      <c r="I39" s="677">
        <f t="shared" si="30"/>
        <v>17.016477049823461</v>
      </c>
      <c r="J39" s="677">
        <f t="shared" si="30"/>
        <v>-73.756669733210671</v>
      </c>
      <c r="K39" s="677">
        <f t="shared" si="30"/>
        <v>36.865842894969113</v>
      </c>
      <c r="L39" s="677">
        <f t="shared" si="30"/>
        <v>110.91939829366861</v>
      </c>
      <c r="M39" s="677">
        <f t="shared" si="29"/>
        <v>27.374033052039383</v>
      </c>
      <c r="N39" s="678">
        <f t="shared" si="30"/>
        <v>-1630.6098901098901</v>
      </c>
      <c r="O39" s="677">
        <f t="shared" si="30"/>
        <v>27.374033052039383</v>
      </c>
      <c r="P39" s="677">
        <f t="shared" si="30"/>
        <v>27.374033052039383</v>
      </c>
      <c r="Q39" s="677">
        <f t="shared" si="30"/>
        <v>27.374033052039383</v>
      </c>
      <c r="R39" s="677">
        <f t="shared" si="30"/>
        <v>27.374033052039383</v>
      </c>
      <c r="S39" s="677">
        <f t="shared" si="33"/>
        <v>27.374033052039383</v>
      </c>
      <c r="T39" s="677">
        <f t="shared" si="33"/>
        <v>27.374033052039383</v>
      </c>
    </row>
    <row r="40" spans="1:34">
      <c r="B40" s="679"/>
      <c r="C40" s="680"/>
      <c r="D40" s="681"/>
      <c r="E40" s="681"/>
      <c r="F40" s="681"/>
      <c r="G40" s="681"/>
      <c r="H40" s="681"/>
      <c r="I40" s="681"/>
      <c r="J40" s="681"/>
      <c r="K40" s="681"/>
      <c r="L40" s="681"/>
      <c r="M40" s="681"/>
      <c r="N40" s="682"/>
      <c r="O40" s="681"/>
      <c r="P40" s="681"/>
      <c r="Q40" s="681"/>
      <c r="R40" s="681"/>
      <c r="S40" s="681"/>
      <c r="T40" s="681"/>
    </row>
    <row r="41" spans="1:34">
      <c r="B41" s="679" t="s">
        <v>832</v>
      </c>
      <c r="C41" s="683"/>
      <c r="D41" s="683"/>
      <c r="E41" s="683"/>
      <c r="F41" s="683">
        <f t="shared" ref="F41" si="34">(F12+F19+F30+F37)</f>
        <v>612650</v>
      </c>
      <c r="G41" s="683">
        <f>(G12+G19+G30+G37)</f>
        <v>598512</v>
      </c>
      <c r="H41" s="683">
        <f t="shared" ref="H41:T41" si="35">(H12+H19+H30+H37)</f>
        <v>580289</v>
      </c>
      <c r="I41" s="683">
        <f t="shared" si="35"/>
        <v>590245</v>
      </c>
      <c r="J41" s="683">
        <f t="shared" si="35"/>
        <v>539021</v>
      </c>
      <c r="K41" s="683">
        <f t="shared" si="35"/>
        <v>544448</v>
      </c>
      <c r="L41" s="683">
        <f t="shared" si="35"/>
        <v>546286</v>
      </c>
      <c r="M41" s="683">
        <f t="shared" si="35"/>
        <v>526483</v>
      </c>
      <c r="N41" s="874">
        <f t="shared" si="35"/>
        <v>3550888</v>
      </c>
      <c r="O41" s="683">
        <f t="shared" si="35"/>
        <v>793254.53342229337</v>
      </c>
      <c r="P41" s="683">
        <f t="shared" si="35"/>
        <v>793358.48948250734</v>
      </c>
      <c r="Q41" s="683">
        <f t="shared" si="35"/>
        <v>771385.69767068361</v>
      </c>
      <c r="R41" s="683">
        <f t="shared" si="35"/>
        <v>774558.28804459597</v>
      </c>
      <c r="S41" s="683">
        <f t="shared" si="35"/>
        <v>581061.8278208496</v>
      </c>
      <c r="T41" s="683">
        <f t="shared" si="35"/>
        <v>42722.616117738013</v>
      </c>
    </row>
    <row r="42" spans="1:34">
      <c r="B42" s="679" t="s">
        <v>833</v>
      </c>
      <c r="C42" s="684"/>
      <c r="D42" s="684"/>
      <c r="E42" s="684"/>
      <c r="F42" s="684">
        <f>F$41/'1IS'!G$3</f>
        <v>1.7917205111362019E-2</v>
      </c>
      <c r="G42" s="684">
        <f>G$41/'1IS'!H$3</f>
        <v>1.6649126322275058E-2</v>
      </c>
      <c r="H42" s="684">
        <f>H$41/'1IS'!I$3</f>
        <v>1.5311435164882717E-2</v>
      </c>
      <c r="I42" s="684">
        <f>I$41/'1IS'!J$3</f>
        <v>2.1109336596507374E-2</v>
      </c>
      <c r="J42" s="684">
        <f>J$41/'1IS'!K$3</f>
        <v>2.0437786880938339E-2</v>
      </c>
      <c r="K42" s="684">
        <f>K$41/'1IS'!L$3</f>
        <v>1.5564958762213442E-2</v>
      </c>
      <c r="L42" s="684">
        <f>L$41/'1IS'!M$3</f>
        <v>1.7933732258306072E-2</v>
      </c>
      <c r="M42" s="684">
        <f>M$41/'1IS'!N$3</f>
        <v>1.651845230313095E-2</v>
      </c>
      <c r="N42" s="875">
        <f>N$41/'1IS'!O$3</f>
        <v>0.13716245614989259</v>
      </c>
      <c r="O42" s="684">
        <f>O$41/'1IS'!O$3</f>
        <v>3.0641557874041315E-2</v>
      </c>
      <c r="P42" s="684">
        <f>P$41/'1IS'!P$3</f>
        <v>2.9369035851639601E-2</v>
      </c>
      <c r="Q42" s="684">
        <f>Q$41/'1IS'!Q$3</f>
        <v>2.7846568020369229E-2</v>
      </c>
      <c r="R42" s="684">
        <f>R$41/'1IS'!R$3</f>
        <v>2.6738000155334313E-2</v>
      </c>
      <c r="S42" s="684">
        <f>S$41/'1IS'!S$3</f>
        <v>1.957515071802772E-2</v>
      </c>
      <c r="T42" s="684">
        <f>T$41/'1IS'!T$3</f>
        <v>1.3840597690425466E-3</v>
      </c>
    </row>
    <row r="43" spans="1:34">
      <c r="B43" s="679" t="s">
        <v>834</v>
      </c>
      <c r="C43" s="684"/>
      <c r="D43" s="684"/>
      <c r="E43" s="684"/>
      <c r="F43" s="684">
        <f>F$41/'1IS'!G$4</f>
        <v>-2.4188767220554495E-2</v>
      </c>
      <c r="G43" s="684">
        <f>G$41/'1IS'!H$4</f>
        <v>-2.1479440460489874E-2</v>
      </c>
      <c r="H43" s="684">
        <f>H$41/'1IS'!I$4</f>
        <v>-2.0469880678757848E-2</v>
      </c>
      <c r="I43" s="684">
        <f>I$41/'1IS'!J$4</f>
        <v>-3.0330835264066009E-2</v>
      </c>
      <c r="J43" s="684">
        <f>J$41/'1IS'!K$4</f>
        <v>-2.8724529755401775E-2</v>
      </c>
      <c r="K43" s="684">
        <f>K$41/'1IS'!L$4</f>
        <v>-2.2490066145285162E-2</v>
      </c>
      <c r="L43" s="684">
        <f>L$41/'1IS'!M$4</f>
        <v>-2.5563213485443732E-2</v>
      </c>
      <c r="M43" s="684">
        <f>M$41/'1IS'!N$4</f>
        <v>-2.334299198362914E-2</v>
      </c>
      <c r="N43" s="875">
        <f>N$41/'1IS'!O$4</f>
        <v>-0.21406842242873619</v>
      </c>
      <c r="O43" s="684">
        <f>O$41/'1IS'!O$3</f>
        <v>3.0641557874041315E-2</v>
      </c>
      <c r="P43" s="684">
        <f>P$41/'1IS'!P$3</f>
        <v>2.9369035851639601E-2</v>
      </c>
      <c r="Q43" s="684">
        <f>Q$41/'1IS'!Q$3</f>
        <v>2.7846568020369229E-2</v>
      </c>
      <c r="R43" s="684">
        <f>R$41/'1IS'!R$3</f>
        <v>2.6738000155334313E-2</v>
      </c>
      <c r="S43" s="684">
        <f>S$41/'1IS'!S$3</f>
        <v>1.957515071802772E-2</v>
      </c>
      <c r="T43" s="684">
        <f>T$41/'1IS'!T$3</f>
        <v>1.3840597690425466E-3</v>
      </c>
    </row>
    <row r="44" spans="1:34">
      <c r="B44" s="202"/>
      <c r="C44" s="202"/>
      <c r="D44" s="202"/>
      <c r="E44" s="202"/>
      <c r="F44" s="685"/>
      <c r="G44" s="685"/>
      <c r="H44" s="685"/>
      <c r="I44" s="685"/>
      <c r="J44" s="645"/>
      <c r="K44" s="203"/>
      <c r="L44" s="203"/>
      <c r="M44" s="203"/>
      <c r="N44" s="204"/>
      <c r="O44" s="686"/>
      <c r="P44" s="686"/>
      <c r="Q44" s="686"/>
      <c r="R44" s="686"/>
      <c r="S44" s="686"/>
    </row>
    <row r="45" spans="1:34">
      <c r="B45" s="202"/>
      <c r="C45" s="202"/>
      <c r="D45" s="202"/>
      <c r="E45" s="202"/>
      <c r="F45" s="685"/>
      <c r="G45" s="685"/>
      <c r="H45" s="685"/>
      <c r="I45" s="685"/>
      <c r="J45" s="645"/>
      <c r="K45" s="203"/>
      <c r="L45" s="203"/>
      <c r="M45" s="203"/>
      <c r="N45" s="204"/>
      <c r="O45" s="203"/>
      <c r="P45" s="203"/>
      <c r="Q45" s="203"/>
      <c r="R45" s="203"/>
      <c r="S45" s="203"/>
    </row>
    <row r="46" spans="1:34">
      <c r="B46" s="202"/>
      <c r="C46" s="202"/>
      <c r="D46" s="202"/>
      <c r="E46" s="202"/>
      <c r="F46" s="685"/>
      <c r="G46" s="685"/>
      <c r="H46" s="685"/>
      <c r="I46" s="685"/>
      <c r="J46" s="645"/>
      <c r="K46" s="203"/>
      <c r="L46" s="203"/>
      <c r="M46" s="203"/>
      <c r="N46" s="204"/>
      <c r="O46" s="203"/>
      <c r="P46" s="203"/>
      <c r="Q46" s="203"/>
      <c r="R46" s="203"/>
      <c r="S46" s="203"/>
    </row>
    <row r="47" spans="1:34">
      <c r="B47" s="202"/>
      <c r="C47" s="202"/>
      <c r="D47" s="202"/>
      <c r="E47" s="202"/>
      <c r="F47" s="685"/>
      <c r="G47" s="685"/>
      <c r="H47" s="685"/>
      <c r="I47" s="685"/>
      <c r="J47" s="645"/>
      <c r="K47" s="203"/>
      <c r="L47" s="203"/>
      <c r="M47" s="203"/>
      <c r="N47" s="204"/>
      <c r="O47" s="203"/>
      <c r="P47" s="203"/>
      <c r="Q47" s="203"/>
      <c r="R47" s="203"/>
      <c r="S47" s="203"/>
    </row>
    <row r="48" spans="1:34" ht="13">
      <c r="B48" s="642" t="s">
        <v>835</v>
      </c>
      <c r="C48" s="643">
        <v>2014</v>
      </c>
      <c r="D48" s="643">
        <v>2015</v>
      </c>
      <c r="E48" s="643">
        <v>2016</v>
      </c>
      <c r="F48" s="643">
        <v>2017</v>
      </c>
      <c r="G48" s="643">
        <v>2018</v>
      </c>
      <c r="H48" s="643">
        <v>2019</v>
      </c>
      <c r="I48" s="643">
        <v>2020</v>
      </c>
      <c r="J48" s="643">
        <v>2021</v>
      </c>
      <c r="K48" s="643">
        <v>2022</v>
      </c>
      <c r="L48" s="643">
        <v>2023</v>
      </c>
      <c r="M48" s="643">
        <v>2024</v>
      </c>
      <c r="N48" s="924">
        <v>2025</v>
      </c>
      <c r="O48" s="643">
        <v>2026</v>
      </c>
      <c r="P48" s="643">
        <v>2027</v>
      </c>
      <c r="Q48" s="643">
        <v>2028</v>
      </c>
      <c r="R48" s="643">
        <v>2029</v>
      </c>
      <c r="S48" s="643">
        <v>2030</v>
      </c>
      <c r="T48" s="643">
        <v>2031</v>
      </c>
    </row>
    <row r="49" spans="2:24" ht="13">
      <c r="B49" s="687" t="s">
        <v>836</v>
      </c>
      <c r="C49" s="688"/>
      <c r="D49" s="688"/>
      <c r="E49" s="688"/>
      <c r="F49" s="689"/>
      <c r="G49" s="689"/>
      <c r="H49" s="689"/>
      <c r="I49" s="689"/>
      <c r="J49" s="689"/>
      <c r="K49" s="690"/>
      <c r="L49" s="690"/>
      <c r="M49" s="690"/>
      <c r="N49" s="691"/>
      <c r="O49" s="690"/>
      <c r="P49" s="690"/>
      <c r="Q49" s="690"/>
      <c r="R49" s="690"/>
      <c r="S49" s="690"/>
      <c r="T49" s="690"/>
    </row>
    <row r="50" spans="2:24">
      <c r="B50" s="692" t="s">
        <v>837</v>
      </c>
      <c r="C50" s="693">
        <f t="shared" ref="C50:F50" si="36">SUM(C51:C52)</f>
        <v>4915799</v>
      </c>
      <c r="D50" s="693">
        <f t="shared" si="36"/>
        <v>4843869</v>
      </c>
      <c r="E50" s="693">
        <f t="shared" si="36"/>
        <v>4478037</v>
      </c>
      <c r="F50" s="693">
        <f t="shared" si="36"/>
        <v>4044747</v>
      </c>
      <c r="G50" s="693">
        <f t="shared" ref="G50:T50" si="37">SUM(G51:G52)</f>
        <v>3614851</v>
      </c>
      <c r="H50" s="693">
        <f t="shared" si="37"/>
        <v>3743643</v>
      </c>
      <c r="I50" s="693">
        <f t="shared" si="37"/>
        <v>3753389</v>
      </c>
      <c r="J50" s="693">
        <f t="shared" si="37"/>
        <v>3301127</v>
      </c>
      <c r="K50" s="693">
        <f t="shared" si="37"/>
        <v>3368982</v>
      </c>
      <c r="L50" s="693">
        <f t="shared" si="37"/>
        <v>2889609</v>
      </c>
      <c r="M50" s="693">
        <f t="shared" si="37"/>
        <v>2484110</v>
      </c>
      <c r="N50" s="694">
        <f t="shared" si="37"/>
        <v>3492859</v>
      </c>
      <c r="O50" s="645">
        <f>SUM(O51:O52)</f>
        <v>2755008.0519999992</v>
      </c>
      <c r="P50" s="645">
        <f>SUM(P51:P52)</f>
        <v>2017157.1039999984</v>
      </c>
      <c r="Q50" s="645">
        <f t="shared" si="37"/>
        <v>1279306.1559999976</v>
      </c>
      <c r="R50" s="645">
        <f t="shared" si="37"/>
        <v>541455.20799999684</v>
      </c>
      <c r="S50" s="645">
        <f t="shared" si="37"/>
        <v>0</v>
      </c>
      <c r="T50" s="645">
        <f t="shared" si="37"/>
        <v>0</v>
      </c>
      <c r="U50" s="695"/>
      <c r="V50" s="695"/>
      <c r="W50" s="695"/>
      <c r="X50" s="695"/>
    </row>
    <row r="51" spans="2:24" ht="13">
      <c r="B51" s="647" t="s">
        <v>818</v>
      </c>
      <c r="C51" s="696">
        <f>'1BS'!D40</f>
        <v>8472996</v>
      </c>
      <c r="D51" s="696">
        <f>'1BS'!E40</f>
        <v>9001467</v>
      </c>
      <c r="E51" s="696">
        <f>'1BS'!F40</f>
        <v>9163284</v>
      </c>
      <c r="F51" s="696">
        <f>'1BS'!G40</f>
        <v>9343836</v>
      </c>
      <c r="G51" s="696">
        <f>'1BS'!H40</f>
        <v>9497450</v>
      </c>
      <c r="H51" s="696">
        <f>'1BS'!I40</f>
        <v>10190231</v>
      </c>
      <c r="I51" s="696">
        <f>'1BS'!J40</f>
        <v>10774957</v>
      </c>
      <c r="J51" s="696">
        <f>'1BS'!K40</f>
        <v>10847023</v>
      </c>
      <c r="K51" s="696">
        <f>'1BS'!L40</f>
        <v>11440081</v>
      </c>
      <c r="L51" s="696">
        <f>'1BS'!M40</f>
        <v>11488317</v>
      </c>
      <c r="M51" s="696">
        <f>'1BS'!N40</f>
        <v>11567832</v>
      </c>
      <c r="N51" s="697">
        <f>'1BS'!O40</f>
        <v>16040238</v>
      </c>
      <c r="O51" s="648">
        <f>N51</f>
        <v>16040238</v>
      </c>
      <c r="P51" s="648">
        <f t="shared" ref="P51:T51" si="38">O51</f>
        <v>16040238</v>
      </c>
      <c r="Q51" s="648">
        <f t="shared" si="38"/>
        <v>16040238</v>
      </c>
      <c r="R51" s="648">
        <f t="shared" si="38"/>
        <v>16040238</v>
      </c>
      <c r="S51" s="648">
        <f t="shared" si="38"/>
        <v>16040238</v>
      </c>
      <c r="T51" s="648">
        <f t="shared" si="38"/>
        <v>16040238</v>
      </c>
      <c r="U51" s="698"/>
      <c r="V51" s="698"/>
      <c r="W51" s="698"/>
      <c r="X51" s="698"/>
    </row>
    <row r="52" spans="2:24" ht="13">
      <c r="B52" s="647" t="s">
        <v>819</v>
      </c>
      <c r="C52" s="696">
        <f>'1BS'!D41</f>
        <v>-3557197</v>
      </c>
      <c r="D52" s="696">
        <f>'1BS'!E41</f>
        <v>-4157598</v>
      </c>
      <c r="E52" s="696">
        <f>'1BS'!F41</f>
        <v>-4685247</v>
      </c>
      <c r="F52" s="696">
        <f>'1BS'!G41</f>
        <v>-5299089</v>
      </c>
      <c r="G52" s="696">
        <f>'1BS'!H41</f>
        <v>-5882599</v>
      </c>
      <c r="H52" s="696">
        <f>'1BS'!I41</f>
        <v>-6446588</v>
      </c>
      <c r="I52" s="696">
        <f>'1BS'!J41</f>
        <v>-7021568</v>
      </c>
      <c r="J52" s="696">
        <f>'1BS'!K41</f>
        <v>-7545896</v>
      </c>
      <c r="K52" s="696">
        <f>'1BS'!L41</f>
        <v>-8071099</v>
      </c>
      <c r="L52" s="696">
        <f>'1BS'!M41</f>
        <v>-8598708</v>
      </c>
      <c r="M52" s="696">
        <f>'1BS'!N41</f>
        <v>-9083722</v>
      </c>
      <c r="N52" s="697">
        <f>'1BS'!O41</f>
        <v>-12547379</v>
      </c>
      <c r="O52" s="648">
        <f>N52-O53</f>
        <v>-13285229.948000001</v>
      </c>
      <c r="P52" s="648">
        <f>O52-P53</f>
        <v>-14023080.896000002</v>
      </c>
      <c r="Q52" s="648">
        <f t="shared" ref="Q52:T52" si="39">P52-Q53</f>
        <v>-14760931.844000002</v>
      </c>
      <c r="R52" s="648">
        <f t="shared" si="39"/>
        <v>-15498782.792000003</v>
      </c>
      <c r="S52" s="648">
        <f t="shared" si="39"/>
        <v>-16040238</v>
      </c>
      <c r="T52" s="648">
        <f t="shared" si="39"/>
        <v>-16040238</v>
      </c>
      <c r="U52" s="698"/>
      <c r="V52" s="698"/>
      <c r="W52" s="698"/>
      <c r="X52" s="698"/>
    </row>
    <row r="53" spans="2:24">
      <c r="B53" s="650" t="s">
        <v>820</v>
      </c>
      <c r="C53" s="229"/>
      <c r="D53" s="229">
        <f>-(D52-C52)</f>
        <v>600401</v>
      </c>
      <c r="E53" s="229">
        <f t="shared" ref="E53:M53" si="40">-(E52-D52)</f>
        <v>527649</v>
      </c>
      <c r="F53" s="229">
        <f t="shared" si="40"/>
        <v>613842</v>
      </c>
      <c r="G53" s="229">
        <f t="shared" si="40"/>
        <v>583510</v>
      </c>
      <c r="H53" s="229">
        <f>-(H52-G52)</f>
        <v>563989</v>
      </c>
      <c r="I53" s="229">
        <f t="shared" si="40"/>
        <v>574980</v>
      </c>
      <c r="J53" s="229">
        <f t="shared" si="40"/>
        <v>524328</v>
      </c>
      <c r="K53" s="229">
        <f t="shared" si="40"/>
        <v>525203</v>
      </c>
      <c r="L53" s="229">
        <f t="shared" si="40"/>
        <v>527609</v>
      </c>
      <c r="M53" s="229">
        <f t="shared" si="40"/>
        <v>485014</v>
      </c>
      <c r="N53" s="310">
        <f>-(N52-M52)</f>
        <v>3463657</v>
      </c>
      <c r="O53" s="690">
        <f>MIN(AVERAGE(N51:O51)*O54,N50)</f>
        <v>737850.94799999997</v>
      </c>
      <c r="P53" s="690">
        <f>MIN(AVERAGE(O51:P51)*P54,O50)</f>
        <v>737850.94799999997</v>
      </c>
      <c r="Q53" s="690">
        <f>MIN(AVERAGE(P51:Q51)*Q54,P50)</f>
        <v>737850.94799999997</v>
      </c>
      <c r="R53" s="690">
        <f t="shared" ref="R53:T53" si="41">MIN(AVERAGE(Q51:R51)*R54,Q50)</f>
        <v>737850.94799999997</v>
      </c>
      <c r="S53" s="690">
        <f t="shared" si="41"/>
        <v>541455.20799999684</v>
      </c>
      <c r="T53" s="690">
        <f t="shared" si="41"/>
        <v>0</v>
      </c>
      <c r="U53" s="699"/>
      <c r="V53" s="695"/>
      <c r="W53" s="695"/>
      <c r="X53" s="695"/>
    </row>
    <row r="54" spans="2:24" ht="13">
      <c r="B54" s="647" t="s">
        <v>821</v>
      </c>
      <c r="C54" s="654"/>
      <c r="D54" s="654">
        <f>D53/AVERAGE(C51:D51)</f>
        <v>6.8717533694740721E-2</v>
      </c>
      <c r="E54" s="654">
        <f t="shared" ref="E54:G54" si="42">E53/AVERAGE(D51:E51)</f>
        <v>5.8095924353711206E-2</v>
      </c>
      <c r="F54" s="654">
        <f t="shared" si="42"/>
        <v>6.6335766991298478E-2</v>
      </c>
      <c r="G54" s="654">
        <f t="shared" si="42"/>
        <v>6.1939508799983188E-2</v>
      </c>
      <c r="H54" s="654">
        <f>H53/AVERAGE(G51:H51)</f>
        <v>5.729359389762563E-2</v>
      </c>
      <c r="I54" s="654">
        <f t="shared" ref="I54:M54" si="43">I53/AVERAGE(H51:I51)</f>
        <v>5.4850927165547E-2</v>
      </c>
      <c r="J54" s="654">
        <f t="shared" si="43"/>
        <v>4.8499536120188806E-2</v>
      </c>
      <c r="K54" s="654">
        <f t="shared" si="43"/>
        <v>4.7130663544263089E-2</v>
      </c>
      <c r="L54" s="654">
        <f t="shared" si="43"/>
        <v>4.6022316953849111E-2</v>
      </c>
      <c r="M54" s="654">
        <f t="shared" si="43"/>
        <v>4.207242068048745E-2</v>
      </c>
      <c r="N54" s="660">
        <f>N53/AVERAGE(M51:N51)</f>
        <v>0.25091627194512328</v>
      </c>
      <c r="O54" s="495">
        <v>4.5999999999999999E-2</v>
      </c>
      <c r="P54" s="495">
        <f>O54</f>
        <v>4.5999999999999999E-2</v>
      </c>
      <c r="Q54" s="495">
        <f t="shared" ref="P54:T55" si="44">P54</f>
        <v>4.5999999999999999E-2</v>
      </c>
      <c r="R54" s="495">
        <f t="shared" si="44"/>
        <v>4.5999999999999999E-2</v>
      </c>
      <c r="S54" s="495">
        <f t="shared" si="44"/>
        <v>4.5999999999999999E-2</v>
      </c>
      <c r="T54" s="495">
        <f t="shared" si="44"/>
        <v>4.5999999999999999E-2</v>
      </c>
      <c r="U54" s="700"/>
      <c r="V54" s="700"/>
      <c r="W54" s="700"/>
      <c r="X54" s="700"/>
    </row>
    <row r="55" spans="2:24" ht="13">
      <c r="B55" s="655" t="s">
        <v>822</v>
      </c>
      <c r="C55" s="681"/>
      <c r="D55" s="681">
        <f>1/D54</f>
        <v>14.55232669499218</v>
      </c>
      <c r="E55" s="681">
        <f t="shared" ref="E55:G55" si="45">1/E54</f>
        <v>17.212911424071685</v>
      </c>
      <c r="F55" s="681">
        <f t="shared" si="45"/>
        <v>15.074823814597243</v>
      </c>
      <c r="G55" s="681">
        <f t="shared" si="45"/>
        <v>16.14478415108567</v>
      </c>
      <c r="H55" s="661">
        <f>1/H54</f>
        <v>17.453958321882162</v>
      </c>
      <c r="I55" s="681">
        <f t="shared" ref="I55:K55" si="46">1/I54</f>
        <v>18.231232390691851</v>
      </c>
      <c r="J55" s="681">
        <f t="shared" si="46"/>
        <v>20.618753909766408</v>
      </c>
      <c r="K55" s="681">
        <f t="shared" si="46"/>
        <v>21.217609191112768</v>
      </c>
      <c r="L55" s="661">
        <f>1/L54</f>
        <v>21.72858878449761</v>
      </c>
      <c r="M55" s="661">
        <f>1/M54</f>
        <v>23.768539671019806</v>
      </c>
      <c r="N55" s="662">
        <f>1/N54</f>
        <v>3.9853931841403467</v>
      </c>
      <c r="O55" s="701">
        <f>AVERAGE(K55:M55)</f>
        <v>22.238245882210062</v>
      </c>
      <c r="P55" s="701">
        <f t="shared" si="44"/>
        <v>22.238245882210062</v>
      </c>
      <c r="Q55" s="701">
        <f t="shared" si="44"/>
        <v>22.238245882210062</v>
      </c>
      <c r="R55" s="701">
        <f t="shared" si="44"/>
        <v>22.238245882210062</v>
      </c>
      <c r="S55" s="701">
        <f t="shared" si="44"/>
        <v>22.238245882210062</v>
      </c>
      <c r="T55" s="701">
        <f t="shared" si="44"/>
        <v>22.238245882210062</v>
      </c>
      <c r="U55" s="702"/>
      <c r="V55" s="702"/>
      <c r="W55" s="702"/>
      <c r="X55" s="702"/>
    </row>
    <row r="56" spans="2:24" ht="13">
      <c r="B56" s="647"/>
      <c r="C56" s="703"/>
      <c r="D56" s="703"/>
      <c r="E56" s="703"/>
      <c r="F56" s="648"/>
      <c r="G56" s="648"/>
      <c r="H56" s="873"/>
      <c r="I56" s="873"/>
      <c r="J56" s="873"/>
      <c r="K56" s="873"/>
      <c r="L56" s="873"/>
      <c r="M56" s="873"/>
      <c r="N56" s="649"/>
      <c r="O56" s="648"/>
      <c r="P56" s="648"/>
      <c r="Q56" s="648"/>
      <c r="R56" s="648"/>
      <c r="S56" s="648"/>
    </row>
    <row r="57" spans="2:24" ht="13">
      <c r="B57" s="647"/>
      <c r="C57" s="703"/>
      <c r="D57" s="703"/>
      <c r="E57" s="703"/>
      <c r="F57" s="648"/>
      <c r="G57" s="648"/>
      <c r="H57" s="873"/>
      <c r="I57" s="873"/>
      <c r="J57" s="873"/>
      <c r="K57" s="873"/>
      <c r="L57" s="873"/>
      <c r="M57" s="873"/>
      <c r="N57" s="649"/>
      <c r="O57" s="648"/>
      <c r="P57" s="648"/>
      <c r="Q57" s="648"/>
      <c r="R57" s="648"/>
      <c r="S57" s="648"/>
    </row>
    <row r="58" spans="2:24" ht="13">
      <c r="B58" s="687" t="s">
        <v>838</v>
      </c>
      <c r="C58" s="703"/>
      <c r="D58" s="703"/>
      <c r="E58" s="703"/>
      <c r="F58" s="648"/>
      <c r="G58" s="648"/>
      <c r="H58" s="648"/>
      <c r="I58" s="648"/>
      <c r="J58" s="648"/>
      <c r="K58" s="704"/>
      <c r="L58" s="648"/>
      <c r="M58" s="648"/>
      <c r="N58" s="649"/>
      <c r="O58" s="648"/>
      <c r="P58" s="648"/>
      <c r="Q58" s="648"/>
      <c r="R58" s="648"/>
      <c r="S58" s="648"/>
    </row>
    <row r="59" spans="2:24" ht="13">
      <c r="B59" s="687"/>
      <c r="C59" s="703"/>
      <c r="D59" s="703"/>
      <c r="E59" s="703"/>
      <c r="F59" s="648"/>
      <c r="G59" s="648"/>
      <c r="H59" s="648"/>
      <c r="I59" s="648"/>
      <c r="J59" s="648"/>
      <c r="K59" s="704"/>
      <c r="L59" s="648"/>
      <c r="M59" s="648"/>
      <c r="N59" s="649"/>
      <c r="O59" s="648"/>
      <c r="P59" s="648"/>
      <c r="Q59" s="648"/>
      <c r="R59" s="648"/>
      <c r="S59" s="648"/>
    </row>
    <row r="60" spans="2:24" s="187" customFormat="1" ht="13">
      <c r="B60" s="663" t="s">
        <v>839</v>
      </c>
      <c r="C60" s="645"/>
      <c r="D60" s="645"/>
      <c r="E60" s="645"/>
      <c r="F60" s="645"/>
      <c r="G60" s="645"/>
      <c r="H60" s="645"/>
      <c r="I60" s="645"/>
      <c r="J60" s="645"/>
      <c r="K60" s="645"/>
      <c r="L60" s="645"/>
      <c r="M60" s="645"/>
      <c r="N60" s="646"/>
      <c r="O60" s="645"/>
      <c r="P60" s="645"/>
      <c r="Q60" s="645"/>
      <c r="R60" s="645"/>
      <c r="S60" s="645"/>
      <c r="U60" s="595"/>
    </row>
    <row r="61" spans="2:24" s="705" customFormat="1">
      <c r="B61" s="706" t="s">
        <v>840</v>
      </c>
      <c r="C61" s="707">
        <f t="shared" ref="C61:T61" si="47">SUM(C62:C63)</f>
        <v>0</v>
      </c>
      <c r="D61" s="707">
        <f t="shared" si="47"/>
        <v>0</v>
      </c>
      <c r="E61" s="707">
        <f>SUM(E62:E63)</f>
        <v>0</v>
      </c>
      <c r="F61" s="707">
        <f t="shared" si="47"/>
        <v>954325</v>
      </c>
      <c r="G61" s="707">
        <f t="shared" si="47"/>
        <v>947395</v>
      </c>
      <c r="H61" s="707">
        <f t="shared" si="47"/>
        <v>940587</v>
      </c>
      <c r="I61" s="707">
        <f t="shared" si="47"/>
        <v>933751</v>
      </c>
      <c r="J61" s="707">
        <f t="shared" si="47"/>
        <v>926936</v>
      </c>
      <c r="K61" s="707">
        <f t="shared" si="47"/>
        <v>920262</v>
      </c>
      <c r="L61" s="707">
        <f t="shared" si="47"/>
        <v>913602</v>
      </c>
      <c r="M61" s="707">
        <f t="shared" si="47"/>
        <v>920176</v>
      </c>
      <c r="N61" s="708">
        <f t="shared" si="47"/>
        <v>1375239</v>
      </c>
      <c r="O61" s="707">
        <f t="shared" si="47"/>
        <v>1364899.841795099</v>
      </c>
      <c r="P61" s="707">
        <f t="shared" si="47"/>
        <v>1354560.6835901979</v>
      </c>
      <c r="Q61" s="707">
        <f t="shared" si="47"/>
        <v>1344221.5253852971</v>
      </c>
      <c r="R61" s="707">
        <f t="shared" si="47"/>
        <v>1333882.3671803961</v>
      </c>
      <c r="S61" s="707">
        <f t="shared" si="47"/>
        <v>1323543.2089754951</v>
      </c>
      <c r="T61" s="707">
        <f t="shared" si="47"/>
        <v>1313204.0507705943</v>
      </c>
      <c r="U61" s="709"/>
    </row>
    <row r="62" spans="2:24" s="187" customFormat="1" ht="13">
      <c r="B62" s="647" t="s">
        <v>818</v>
      </c>
      <c r="C62" s="648"/>
      <c r="D62" s="648"/>
      <c r="E62" s="648"/>
      <c r="F62" s="648">
        <v>1024215</v>
      </c>
      <c r="G62" s="648">
        <v>1024215</v>
      </c>
      <c r="H62" s="648">
        <v>1024215</v>
      </c>
      <c r="I62" s="648">
        <v>1024181</v>
      </c>
      <c r="J62" s="648">
        <v>1024181</v>
      </c>
      <c r="K62" s="648">
        <v>1024181</v>
      </c>
      <c r="L62" s="648">
        <v>1024181</v>
      </c>
      <c r="M62" s="648">
        <v>1037993</v>
      </c>
      <c r="N62" s="649">
        <v>1549819</v>
      </c>
      <c r="O62" s="648">
        <f>N62</f>
        <v>1549819</v>
      </c>
      <c r="P62" s="648">
        <f t="shared" ref="P62:T62" si="48">O62</f>
        <v>1549819</v>
      </c>
      <c r="Q62" s="648">
        <f t="shared" si="48"/>
        <v>1549819</v>
      </c>
      <c r="R62" s="648">
        <f t="shared" si="48"/>
        <v>1549819</v>
      </c>
      <c r="S62" s="648">
        <f t="shared" si="48"/>
        <v>1549819</v>
      </c>
      <c r="T62" s="648">
        <f t="shared" si="48"/>
        <v>1549819</v>
      </c>
      <c r="U62" s="595"/>
    </row>
    <row r="63" spans="2:24" s="187" customFormat="1" ht="13">
      <c r="B63" s="647" t="s">
        <v>824</v>
      </c>
      <c r="C63" s="648"/>
      <c r="D63" s="648"/>
      <c r="E63" s="648"/>
      <c r="F63" s="648">
        <v>-69890</v>
      </c>
      <c r="G63" s="648">
        <v>-76820</v>
      </c>
      <c r="H63" s="648">
        <v>-83628</v>
      </c>
      <c r="I63" s="648">
        <v>-90430</v>
      </c>
      <c r="J63" s="648">
        <v>-97245</v>
      </c>
      <c r="K63" s="648">
        <v>-103919</v>
      </c>
      <c r="L63" s="648">
        <v>-110579</v>
      </c>
      <c r="M63" s="648">
        <v>-117817</v>
      </c>
      <c r="N63" s="649">
        <v>-174580</v>
      </c>
      <c r="O63" s="648">
        <f>N63-O64</f>
        <v>-184919.15820490097</v>
      </c>
      <c r="P63" s="648">
        <f t="shared" ref="P63:T63" si="49">O63-P64</f>
        <v>-195258.31640980195</v>
      </c>
      <c r="Q63" s="648">
        <f t="shared" si="49"/>
        <v>-205597.47461470292</v>
      </c>
      <c r="R63" s="648">
        <f t="shared" si="49"/>
        <v>-215936.6328196039</v>
      </c>
      <c r="S63" s="648">
        <f t="shared" si="49"/>
        <v>-226275.79102450487</v>
      </c>
      <c r="T63" s="648">
        <f t="shared" si="49"/>
        <v>-236614.94922940584</v>
      </c>
      <c r="U63" s="595"/>
    </row>
    <row r="64" spans="2:24" s="187" customFormat="1" ht="13">
      <c r="B64" s="650" t="s">
        <v>825</v>
      </c>
      <c r="C64" s="648"/>
      <c r="D64" s="648"/>
      <c r="E64" s="648"/>
      <c r="F64" s="648">
        <f>F132</f>
        <v>0</v>
      </c>
      <c r="G64" s="229">
        <f t="shared" ref="G64:N64" si="50">-(G63-F63)</f>
        <v>6930</v>
      </c>
      <c r="H64" s="229">
        <f t="shared" si="50"/>
        <v>6808</v>
      </c>
      <c r="I64" s="229">
        <f>-(I63-H63)</f>
        <v>6802</v>
      </c>
      <c r="J64" s="229">
        <f t="shared" si="50"/>
        <v>6815</v>
      </c>
      <c r="K64" s="229">
        <f>-(K63-J63)</f>
        <v>6674</v>
      </c>
      <c r="L64" s="229">
        <f t="shared" si="50"/>
        <v>6660</v>
      </c>
      <c r="M64" s="229">
        <f t="shared" si="50"/>
        <v>7238</v>
      </c>
      <c r="N64" s="310">
        <f t="shared" si="50"/>
        <v>56763</v>
      </c>
      <c r="O64" s="203">
        <f>MIN(AVERAGE(N62:O62)*O65,N61)</f>
        <v>10339.158204900961</v>
      </c>
      <c r="P64" s="203">
        <f t="shared" ref="P64:T64" si="51">MIN(AVERAGE(O62:P62)*P65,O61)</f>
        <v>10339.158204900961</v>
      </c>
      <c r="Q64" s="203">
        <f t="shared" si="51"/>
        <v>10339.158204900961</v>
      </c>
      <c r="R64" s="203">
        <f t="shared" si="51"/>
        <v>10339.158204900961</v>
      </c>
      <c r="S64" s="203">
        <f t="shared" si="51"/>
        <v>10339.158204900961</v>
      </c>
      <c r="T64" s="203">
        <f t="shared" si="51"/>
        <v>10339.158204900961</v>
      </c>
      <c r="U64" s="595"/>
    </row>
    <row r="65" spans="1:21" s="187" customFormat="1" ht="13">
      <c r="B65" s="647" t="s">
        <v>826</v>
      </c>
      <c r="C65" s="659"/>
      <c r="D65" s="659"/>
      <c r="E65" s="659"/>
      <c r="F65" s="659">
        <f t="shared" ref="F65" si="52">F133</f>
        <v>0</v>
      </c>
      <c r="G65" s="654">
        <f t="shared" ref="G65:N65" si="53">G64/AVERAGE(F62:G62)</f>
        <v>6.7661574962288194E-3</v>
      </c>
      <c r="H65" s="654">
        <f t="shared" si="53"/>
        <v>6.647041880855094E-3</v>
      </c>
      <c r="I65" s="654">
        <f t="shared" si="53"/>
        <v>6.6412939685490504E-3</v>
      </c>
      <c r="J65" s="654">
        <f t="shared" si="53"/>
        <v>6.6540972738217173E-3</v>
      </c>
      <c r="K65" s="654">
        <f t="shared" si="53"/>
        <v>6.516426295742647E-3</v>
      </c>
      <c r="L65" s="654">
        <f t="shared" si="53"/>
        <v>6.5027568369262854E-3</v>
      </c>
      <c r="M65" s="654">
        <f t="shared" si="53"/>
        <v>7.019776216749896E-3</v>
      </c>
      <c r="N65" s="660">
        <f t="shared" si="53"/>
        <v>4.3869492837965048E-2</v>
      </c>
      <c r="O65" s="710">
        <f>1/O66</f>
        <v>6.6712036727520829E-3</v>
      </c>
      <c r="P65" s="710">
        <f t="shared" ref="P65:T65" si="54">1/P66</f>
        <v>6.6712036727520829E-3</v>
      </c>
      <c r="Q65" s="710">
        <f t="shared" si="54"/>
        <v>6.6712036727520829E-3</v>
      </c>
      <c r="R65" s="710">
        <f t="shared" si="54"/>
        <v>6.6712036727520829E-3</v>
      </c>
      <c r="S65" s="710">
        <f t="shared" si="54"/>
        <v>6.6712036727520829E-3</v>
      </c>
      <c r="T65" s="710">
        <f t="shared" si="54"/>
        <v>6.6712036727520829E-3</v>
      </c>
      <c r="U65" s="595"/>
    </row>
    <row r="66" spans="1:21" s="187" customFormat="1" ht="13">
      <c r="B66" s="655" t="s">
        <v>827</v>
      </c>
      <c r="C66" s="659"/>
      <c r="D66" s="659"/>
      <c r="E66" s="661"/>
      <c r="F66" s="661"/>
      <c r="G66" s="661">
        <f t="shared" ref="G66:N66" si="55">1/G65</f>
        <v>147.79437229437229</v>
      </c>
      <c r="H66" s="661">
        <f t="shared" si="55"/>
        <v>150.44286133960046</v>
      </c>
      <c r="I66" s="661">
        <f t="shared" si="55"/>
        <v>150.57306674507498</v>
      </c>
      <c r="J66" s="661">
        <f t="shared" si="55"/>
        <v>150.28334556126191</v>
      </c>
      <c r="K66" s="661">
        <f t="shared" si="55"/>
        <v>153.45834581959843</v>
      </c>
      <c r="L66" s="661">
        <f>1/L65</f>
        <v>153.78093093093094</v>
      </c>
      <c r="M66" s="661">
        <f t="shared" si="55"/>
        <v>142.45468361425807</v>
      </c>
      <c r="N66" s="662">
        <f t="shared" si="55"/>
        <v>22.79488399133238</v>
      </c>
      <c r="O66" s="661">
        <f>AVERAGE(K66:M66)</f>
        <v>149.8979867882625</v>
      </c>
      <c r="P66" s="661">
        <f t="shared" ref="P66:T66" si="56">O66</f>
        <v>149.8979867882625</v>
      </c>
      <c r="Q66" s="661">
        <f t="shared" si="56"/>
        <v>149.8979867882625</v>
      </c>
      <c r="R66" s="661">
        <f t="shared" si="56"/>
        <v>149.8979867882625</v>
      </c>
      <c r="S66" s="661">
        <f t="shared" si="56"/>
        <v>149.8979867882625</v>
      </c>
      <c r="T66" s="661">
        <f t="shared" si="56"/>
        <v>149.8979867882625</v>
      </c>
      <c r="U66" s="595"/>
    </row>
    <row r="67" spans="1:21" ht="13">
      <c r="B67" s="647"/>
      <c r="C67" s="703"/>
      <c r="D67" s="703"/>
      <c r="E67" s="703"/>
      <c r="F67" s="648"/>
      <c r="G67" s="648"/>
      <c r="H67" s="648"/>
      <c r="I67" s="648"/>
      <c r="J67" s="648"/>
      <c r="K67" s="704"/>
      <c r="L67" s="226"/>
      <c r="M67" s="226"/>
      <c r="N67" s="227"/>
      <c r="O67" s="226"/>
      <c r="P67" s="226"/>
      <c r="Q67" s="226"/>
      <c r="R67" s="226"/>
      <c r="S67" s="226"/>
    </row>
    <row r="68" spans="1:21" ht="13">
      <c r="B68" s="663" t="s">
        <v>841</v>
      </c>
      <c r="C68" s="703"/>
      <c r="D68" s="703"/>
      <c r="E68" s="703"/>
      <c r="F68" s="648"/>
      <c r="G68" s="648"/>
      <c r="H68" s="648"/>
      <c r="I68" s="648"/>
      <c r="J68" s="648"/>
      <c r="K68" s="704"/>
      <c r="L68" s="226"/>
      <c r="M68" s="226"/>
      <c r="N68" s="227"/>
      <c r="O68" s="226"/>
      <c r="P68" s="226"/>
      <c r="Q68" s="226"/>
      <c r="R68" s="226"/>
      <c r="S68" s="226"/>
    </row>
    <row r="69" spans="1:21" s="669" customFormat="1">
      <c r="A69" s="664"/>
      <c r="B69" s="706" t="s">
        <v>842</v>
      </c>
      <c r="C69" s="707">
        <f t="shared" ref="C69:T69" si="57">SUM(C70:C71)</f>
        <v>0</v>
      </c>
      <c r="D69" s="707">
        <f t="shared" si="57"/>
        <v>0</v>
      </c>
      <c r="E69" s="707">
        <f t="shared" si="57"/>
        <v>0</v>
      </c>
      <c r="F69" s="707">
        <f t="shared" si="57"/>
        <v>9028</v>
      </c>
      <c r="G69" s="707">
        <f t="shared" si="57"/>
        <v>4846</v>
      </c>
      <c r="H69" s="707">
        <f t="shared" si="57"/>
        <v>1211</v>
      </c>
      <c r="I69" s="707">
        <f t="shared" si="57"/>
        <v>9230</v>
      </c>
      <c r="J69" s="707">
        <f t="shared" si="57"/>
        <v>6244</v>
      </c>
      <c r="K69" s="707">
        <f t="shared" si="57"/>
        <v>3477</v>
      </c>
      <c r="L69" s="707">
        <f t="shared" si="57"/>
        <v>9482</v>
      </c>
      <c r="M69" s="707">
        <f t="shared" si="57"/>
        <v>37182</v>
      </c>
      <c r="N69" s="708">
        <f t="shared" si="57"/>
        <v>53606</v>
      </c>
      <c r="O69" s="707">
        <f t="shared" si="57"/>
        <v>25389.895345567464</v>
      </c>
      <c r="P69" s="707">
        <f t="shared" si="57"/>
        <v>0</v>
      </c>
      <c r="Q69" s="707">
        <f t="shared" si="57"/>
        <v>0</v>
      </c>
      <c r="R69" s="707">
        <f t="shared" si="57"/>
        <v>0</v>
      </c>
      <c r="S69" s="707">
        <f t="shared" si="57"/>
        <v>0</v>
      </c>
      <c r="T69" s="707">
        <f t="shared" si="57"/>
        <v>0</v>
      </c>
    </row>
    <row r="70" spans="1:21" ht="13">
      <c r="B70" s="647" t="s">
        <v>818</v>
      </c>
      <c r="C70" s="711"/>
      <c r="D70" s="711"/>
      <c r="E70" s="711"/>
      <c r="F70" s="711">
        <f>'1BS'!G46-F62</f>
        <v>64101</v>
      </c>
      <c r="G70" s="711">
        <f>'1BS'!H46-G62</f>
        <v>67183</v>
      </c>
      <c r="H70" s="711">
        <f>'1BS'!I46-H62</f>
        <v>67519</v>
      </c>
      <c r="I70" s="711">
        <f>'1BS'!J46-I62</f>
        <v>78016</v>
      </c>
      <c r="J70" s="711">
        <f>'1BS'!K46-J62</f>
        <v>78792</v>
      </c>
      <c r="K70" s="711">
        <f>'1BS'!L46-K62</f>
        <v>79966</v>
      </c>
      <c r="L70" s="711">
        <f>'1BS'!M46-L62</f>
        <v>90531</v>
      </c>
      <c r="M70" s="711">
        <f>'1BS'!N46-M62</f>
        <v>135841</v>
      </c>
      <c r="N70" s="712">
        <f>'1BS'!O46-N62</f>
        <v>177684</v>
      </c>
      <c r="O70" s="648">
        <f t="shared" ref="O70:T70" si="58">N70</f>
        <v>177684</v>
      </c>
      <c r="P70" s="648">
        <f t="shared" si="58"/>
        <v>177684</v>
      </c>
      <c r="Q70" s="648">
        <f t="shared" si="58"/>
        <v>177684</v>
      </c>
      <c r="R70" s="648">
        <f t="shared" si="58"/>
        <v>177684</v>
      </c>
      <c r="S70" s="648">
        <f t="shared" si="58"/>
        <v>177684</v>
      </c>
      <c r="T70" s="648">
        <f t="shared" si="58"/>
        <v>177684</v>
      </c>
    </row>
    <row r="71" spans="1:21" ht="13">
      <c r="B71" s="647" t="s">
        <v>824</v>
      </c>
      <c r="C71" s="711"/>
      <c r="D71" s="711"/>
      <c r="E71" s="711"/>
      <c r="F71" s="711">
        <f>'1BS'!G47-FA!F63</f>
        <v>-55073</v>
      </c>
      <c r="G71" s="711">
        <f>'1BS'!H47-FA!G63</f>
        <v>-62337</v>
      </c>
      <c r="H71" s="711">
        <f>'1BS'!I47-FA!H63</f>
        <v>-66308</v>
      </c>
      <c r="I71" s="711">
        <f>'1BS'!J47-FA!I63</f>
        <v>-68786</v>
      </c>
      <c r="J71" s="711">
        <f>'1BS'!K47-FA!J63</f>
        <v>-72548</v>
      </c>
      <c r="K71" s="711">
        <f>'1BS'!L47-FA!K63</f>
        <v>-76489</v>
      </c>
      <c r="L71" s="711">
        <f>'1BS'!M47-FA!L63</f>
        <v>-81049</v>
      </c>
      <c r="M71" s="711">
        <f>'1BS'!N47-FA!M63</f>
        <v>-98659</v>
      </c>
      <c r="N71" s="712">
        <f>'1BS'!O47-FA!N63</f>
        <v>-124078</v>
      </c>
      <c r="O71" s="648">
        <f t="shared" ref="O71:T71" si="59">N71-O72</f>
        <v>-152294.10465443254</v>
      </c>
      <c r="P71" s="648">
        <f t="shared" si="59"/>
        <v>-177684</v>
      </c>
      <c r="Q71" s="648">
        <f t="shared" si="59"/>
        <v>-177684</v>
      </c>
      <c r="R71" s="648">
        <f t="shared" si="59"/>
        <v>-177684</v>
      </c>
      <c r="S71" s="648">
        <f t="shared" si="59"/>
        <v>-177684</v>
      </c>
      <c r="T71" s="648">
        <f t="shared" si="59"/>
        <v>-177684</v>
      </c>
    </row>
    <row r="72" spans="1:21">
      <c r="A72" s="713"/>
      <c r="B72" s="650" t="s">
        <v>825</v>
      </c>
      <c r="C72" s="229"/>
      <c r="D72" s="229"/>
      <c r="E72" s="229"/>
      <c r="F72" s="229">
        <f>-(F71-E71)</f>
        <v>55073</v>
      </c>
      <c r="G72" s="229">
        <f>-(G71-F71)</f>
        <v>7264</v>
      </c>
      <c r="H72" s="229">
        <f t="shared" ref="H72:N72" si="60">-(H71-G71)</f>
        <v>3971</v>
      </c>
      <c r="I72" s="229">
        <f t="shared" si="60"/>
        <v>2478</v>
      </c>
      <c r="J72" s="229">
        <f t="shared" si="60"/>
        <v>3762</v>
      </c>
      <c r="K72" s="229">
        <f t="shared" si="60"/>
        <v>3941</v>
      </c>
      <c r="L72" s="229">
        <f t="shared" si="60"/>
        <v>4560</v>
      </c>
      <c r="M72" s="229">
        <f t="shared" si="60"/>
        <v>17610</v>
      </c>
      <c r="N72" s="310">
        <f t="shared" si="60"/>
        <v>25419</v>
      </c>
      <c r="O72" s="203">
        <f>MIN(AVERAGE(N70:O70)*O73,N69)</f>
        <v>28216.104654432544</v>
      </c>
      <c r="P72" s="203">
        <f t="shared" ref="P72:T72" si="61">MIN(AVERAGE(O70:P70)*P73,O69)</f>
        <v>25389.895345567464</v>
      </c>
      <c r="Q72" s="203">
        <f t="shared" si="61"/>
        <v>0</v>
      </c>
      <c r="R72" s="203">
        <f t="shared" si="61"/>
        <v>0</v>
      </c>
      <c r="S72" s="203">
        <f t="shared" si="61"/>
        <v>0</v>
      </c>
      <c r="T72" s="203">
        <f t="shared" si="61"/>
        <v>0</v>
      </c>
    </row>
    <row r="73" spans="1:21" ht="13">
      <c r="B73" s="647" t="s">
        <v>826</v>
      </c>
      <c r="C73" s="654"/>
      <c r="D73" s="654"/>
      <c r="E73" s="654"/>
      <c r="F73" s="654">
        <f>F72/AVERAGE(E70:F70)</f>
        <v>0.85915976349822931</v>
      </c>
      <c r="G73" s="654">
        <f>G72/AVERAGE(F70:G70)</f>
        <v>0.1106608573778983</v>
      </c>
      <c r="H73" s="654">
        <f t="shared" ref="H73:N73" si="62">H72/AVERAGE(G70:H70)</f>
        <v>5.8959777880061175E-2</v>
      </c>
      <c r="I73" s="654">
        <f t="shared" si="62"/>
        <v>3.4053664067062908E-2</v>
      </c>
      <c r="J73" s="654">
        <f t="shared" si="62"/>
        <v>4.7982245803785524E-2</v>
      </c>
      <c r="K73" s="654">
        <f t="shared" si="62"/>
        <v>4.9647891759785331E-2</v>
      </c>
      <c r="L73" s="654">
        <f t="shared" si="62"/>
        <v>5.3490677255318274E-2</v>
      </c>
      <c r="M73" s="654">
        <f t="shared" si="62"/>
        <v>0.15558461293799586</v>
      </c>
      <c r="N73" s="660">
        <f t="shared" si="62"/>
        <v>0.16214974882385774</v>
      </c>
      <c r="O73" s="710">
        <f t="shared" ref="O73:T73" si="63">1/O74</f>
        <v>0.15879935534112549</v>
      </c>
      <c r="P73" s="710">
        <f t="shared" si="63"/>
        <v>0.15879935534112549</v>
      </c>
      <c r="Q73" s="710">
        <f t="shared" si="63"/>
        <v>0.15879935534112549</v>
      </c>
      <c r="R73" s="710">
        <f t="shared" si="63"/>
        <v>0.15879935534112549</v>
      </c>
      <c r="S73" s="710">
        <f t="shared" si="63"/>
        <v>0.15879935534112549</v>
      </c>
      <c r="T73" s="710">
        <f t="shared" si="63"/>
        <v>0.15879935534112549</v>
      </c>
    </row>
    <row r="74" spans="1:21" ht="13">
      <c r="B74" s="655" t="s">
        <v>827</v>
      </c>
      <c r="C74" s="681"/>
      <c r="D74" s="681"/>
      <c r="E74" s="681"/>
      <c r="F74" s="681">
        <f t="shared" ref="F74:G74" si="64">1/F73</f>
        <v>1.1639278775443502</v>
      </c>
      <c r="G74" s="681">
        <f t="shared" si="64"/>
        <v>9.0366189427312769</v>
      </c>
      <c r="H74" s="661">
        <f>1/H73</f>
        <v>16.960715185091917</v>
      </c>
      <c r="I74" s="681">
        <f t="shared" ref="I74:K74" si="65">1/I73</f>
        <v>29.365415657788539</v>
      </c>
      <c r="J74" s="681">
        <f t="shared" si="65"/>
        <v>20.841041998936735</v>
      </c>
      <c r="K74" s="681">
        <f t="shared" si="65"/>
        <v>20.141842172037556</v>
      </c>
      <c r="L74" s="661">
        <f>1/L73</f>
        <v>18.69484649122807</v>
      </c>
      <c r="M74" s="661">
        <f>1/M73</f>
        <v>6.4273708120386148</v>
      </c>
      <c r="N74" s="662">
        <f>1/N73</f>
        <v>6.1671387544749994</v>
      </c>
      <c r="O74" s="701">
        <f>AVERAGE(M74:N74)</f>
        <v>6.2972547832568075</v>
      </c>
      <c r="P74" s="701">
        <f t="shared" ref="P74:T74" si="66">O74</f>
        <v>6.2972547832568075</v>
      </c>
      <c r="Q74" s="701">
        <f t="shared" si="66"/>
        <v>6.2972547832568075</v>
      </c>
      <c r="R74" s="701">
        <f t="shared" si="66"/>
        <v>6.2972547832568075</v>
      </c>
      <c r="S74" s="701">
        <f t="shared" si="66"/>
        <v>6.2972547832568075</v>
      </c>
      <c r="T74" s="701">
        <f t="shared" si="66"/>
        <v>6.2972547832568075</v>
      </c>
    </row>
    <row r="75" spans="1:21" ht="13">
      <c r="B75" s="647"/>
      <c r="C75" s="703"/>
      <c r="D75" s="703"/>
      <c r="E75" s="703"/>
      <c r="F75" s="648"/>
      <c r="G75" s="648"/>
      <c r="H75" s="648"/>
      <c r="I75" s="648"/>
      <c r="J75" s="648"/>
      <c r="K75" s="704"/>
      <c r="L75" s="226"/>
      <c r="M75" s="226"/>
      <c r="N75" s="227"/>
      <c r="O75" s="226"/>
      <c r="P75" s="226"/>
      <c r="Q75" s="226"/>
      <c r="R75" s="226"/>
      <c r="S75" s="226"/>
      <c r="T75" s="226"/>
    </row>
    <row r="76" spans="1:21" ht="13">
      <c r="B76" s="714" t="s">
        <v>843</v>
      </c>
      <c r="C76" s="679"/>
      <c r="D76" s="679"/>
      <c r="E76" s="679"/>
      <c r="F76" s="661"/>
      <c r="G76" s="680"/>
      <c r="H76" s="681"/>
      <c r="I76" s="681"/>
      <c r="J76" s="681"/>
      <c r="K76" s="681"/>
      <c r="L76" s="661"/>
      <c r="M76" s="661"/>
      <c r="N76" s="715"/>
      <c r="O76" s="716"/>
      <c r="P76" s="716"/>
      <c r="Q76" s="716"/>
      <c r="R76" s="716"/>
      <c r="S76" s="716"/>
      <c r="T76" s="716"/>
    </row>
    <row r="77" spans="1:21">
      <c r="B77" s="692" t="s">
        <v>844</v>
      </c>
      <c r="C77" s="645">
        <f>SUM(C78:C79)</f>
        <v>0</v>
      </c>
      <c r="D77" s="645">
        <f t="shared" ref="D77:T77" si="67">SUM(D78:D79)</f>
        <v>0</v>
      </c>
      <c r="E77" s="645">
        <f t="shared" si="67"/>
        <v>0</v>
      </c>
      <c r="F77" s="645">
        <f t="shared" si="67"/>
        <v>0</v>
      </c>
      <c r="G77" s="645">
        <f t="shared" si="67"/>
        <v>0</v>
      </c>
      <c r="H77" s="645">
        <f t="shared" si="67"/>
        <v>0</v>
      </c>
      <c r="I77" s="645">
        <f t="shared" si="67"/>
        <v>178134</v>
      </c>
      <c r="J77" s="645">
        <f t="shared" si="67"/>
        <v>167493</v>
      </c>
      <c r="K77" s="645">
        <f t="shared" si="67"/>
        <v>162262</v>
      </c>
      <c r="L77" s="645">
        <f t="shared" si="67"/>
        <v>157032</v>
      </c>
      <c r="M77" s="645">
        <f t="shared" si="67"/>
        <v>151787</v>
      </c>
      <c r="N77" s="646">
        <f t="shared" si="67"/>
        <v>146556</v>
      </c>
      <c r="O77" s="645">
        <f t="shared" si="67"/>
        <v>141320.6756147609</v>
      </c>
      <c r="P77" s="645">
        <f t="shared" si="67"/>
        <v>136085.3512295218</v>
      </c>
      <c r="Q77" s="645">
        <f t="shared" si="67"/>
        <v>130850.02684428266</v>
      </c>
      <c r="R77" s="645">
        <f t="shared" si="67"/>
        <v>125614.70245904356</v>
      </c>
      <c r="S77" s="645">
        <f t="shared" si="67"/>
        <v>120379.37807380446</v>
      </c>
      <c r="T77" s="645">
        <f t="shared" si="67"/>
        <v>115144.05368856534</v>
      </c>
    </row>
    <row r="78" spans="1:21" ht="13">
      <c r="B78" s="647" t="s">
        <v>818</v>
      </c>
      <c r="C78" s="711">
        <f>'1BS'!D43</f>
        <v>0</v>
      </c>
      <c r="D78" s="711">
        <f>'1BS'!E43</f>
        <v>0</v>
      </c>
      <c r="E78" s="711">
        <f>'1BS'!F43</f>
        <v>0</v>
      </c>
      <c r="F78" s="711">
        <f>'1BS'!G43</f>
        <v>0</v>
      </c>
      <c r="G78" s="711">
        <f>'1BS'!H43</f>
        <v>0</v>
      </c>
      <c r="H78" s="711">
        <f>'1BS'!I43</f>
        <v>0</v>
      </c>
      <c r="I78" s="711">
        <f>'1BS'!J43</f>
        <v>179021</v>
      </c>
      <c r="J78" s="711">
        <f>'1BS'!K43</f>
        <v>173583</v>
      </c>
      <c r="K78" s="711">
        <f>'1BS'!L43</f>
        <v>173583</v>
      </c>
      <c r="L78" s="711">
        <f>'1BS'!M43</f>
        <v>173583</v>
      </c>
      <c r="M78" s="711">
        <f>'1BS'!N43</f>
        <v>173583</v>
      </c>
      <c r="N78" s="712">
        <f>'1BS'!O43</f>
        <v>173583</v>
      </c>
      <c r="O78" s="648">
        <f t="shared" ref="O78:T78" si="68">N78</f>
        <v>173583</v>
      </c>
      <c r="P78" s="648">
        <f t="shared" si="68"/>
        <v>173583</v>
      </c>
      <c r="Q78" s="648">
        <f t="shared" si="68"/>
        <v>173583</v>
      </c>
      <c r="R78" s="648">
        <f t="shared" si="68"/>
        <v>173583</v>
      </c>
      <c r="S78" s="648">
        <f t="shared" si="68"/>
        <v>173583</v>
      </c>
      <c r="T78" s="648">
        <f t="shared" si="68"/>
        <v>173583</v>
      </c>
    </row>
    <row r="79" spans="1:21" ht="13">
      <c r="B79" s="647" t="s">
        <v>824</v>
      </c>
      <c r="C79" s="711">
        <f>'1BS'!D44</f>
        <v>0</v>
      </c>
      <c r="D79" s="711">
        <f>'1BS'!E44</f>
        <v>0</v>
      </c>
      <c r="E79" s="711">
        <f>'1BS'!F44</f>
        <v>0</v>
      </c>
      <c r="F79" s="711">
        <f>'1BS'!G44</f>
        <v>0</v>
      </c>
      <c r="G79" s="711">
        <f>'1BS'!H44</f>
        <v>0</v>
      </c>
      <c r="H79" s="711">
        <f>'1BS'!I44</f>
        <v>0</v>
      </c>
      <c r="I79" s="711">
        <f>'1BS'!J44</f>
        <v>-887</v>
      </c>
      <c r="J79" s="711">
        <f>'1BS'!K44</f>
        <v>-6090</v>
      </c>
      <c r="K79" s="711">
        <f>'1BS'!L44</f>
        <v>-11321</v>
      </c>
      <c r="L79" s="711">
        <f>'1BS'!M44</f>
        <v>-16551</v>
      </c>
      <c r="M79" s="711">
        <f>'1BS'!N44</f>
        <v>-21796</v>
      </c>
      <c r="N79" s="712">
        <f>'1BS'!O44</f>
        <v>-27027</v>
      </c>
      <c r="O79" s="648">
        <f t="shared" ref="O79:T79" si="69">N79-O80</f>
        <v>-32262.32438523911</v>
      </c>
      <c r="P79" s="648">
        <f t="shared" si="69"/>
        <v>-37497.648770478219</v>
      </c>
      <c r="Q79" s="648">
        <f t="shared" si="69"/>
        <v>-42732.973155717329</v>
      </c>
      <c r="R79" s="648">
        <f t="shared" si="69"/>
        <v>-47968.297540956439</v>
      </c>
      <c r="S79" s="648">
        <f t="shared" si="69"/>
        <v>-53203.621926195548</v>
      </c>
      <c r="T79" s="648">
        <f t="shared" si="69"/>
        <v>-58438.946311434658</v>
      </c>
    </row>
    <row r="80" spans="1:21">
      <c r="B80" s="650" t="s">
        <v>829</v>
      </c>
      <c r="C80" s="645"/>
      <c r="D80" s="229">
        <f>-(D79-C79)</f>
        <v>0</v>
      </c>
      <c r="E80" s="229">
        <f t="shared" ref="E80:N80" si="70">-(E79-D79)</f>
        <v>0</v>
      </c>
      <c r="F80" s="229">
        <f t="shared" si="70"/>
        <v>0</v>
      </c>
      <c r="G80" s="229">
        <f t="shared" si="70"/>
        <v>0</v>
      </c>
      <c r="H80" s="229">
        <f t="shared" si="70"/>
        <v>0</v>
      </c>
      <c r="I80" s="229">
        <f t="shared" si="70"/>
        <v>887</v>
      </c>
      <c r="J80" s="229">
        <f t="shared" si="70"/>
        <v>5203</v>
      </c>
      <c r="K80" s="229">
        <f t="shared" si="70"/>
        <v>5231</v>
      </c>
      <c r="L80" s="229">
        <f t="shared" si="70"/>
        <v>5230</v>
      </c>
      <c r="M80" s="229">
        <f t="shared" si="70"/>
        <v>5245</v>
      </c>
      <c r="N80" s="310">
        <f t="shared" si="70"/>
        <v>5231</v>
      </c>
      <c r="O80" s="203">
        <f t="shared" ref="O80:T80" si="71">MIN(AVERAGE(N78:O78)*O81,N77)</f>
        <v>5235.3243852391097</v>
      </c>
      <c r="P80" s="203">
        <f t="shared" si="71"/>
        <v>5235.3243852391097</v>
      </c>
      <c r="Q80" s="203">
        <f t="shared" si="71"/>
        <v>5235.3243852391097</v>
      </c>
      <c r="R80" s="203">
        <f t="shared" si="71"/>
        <v>5235.3243852391097</v>
      </c>
      <c r="S80" s="203">
        <f t="shared" si="71"/>
        <v>5235.3243852391097</v>
      </c>
      <c r="T80" s="203">
        <f t="shared" si="71"/>
        <v>5235.3243852391097</v>
      </c>
    </row>
    <row r="81" spans="1:20" ht="13">
      <c r="B81" s="647" t="s">
        <v>821</v>
      </c>
      <c r="C81" s="703"/>
      <c r="D81" s="654"/>
      <c r="E81" s="654"/>
      <c r="F81" s="654"/>
      <c r="G81" s="654"/>
      <c r="H81" s="654"/>
      <c r="I81" s="654"/>
      <c r="J81" s="654">
        <f>J80/AVERAGE(I78:J78)</f>
        <v>2.9511860330569135E-2</v>
      </c>
      <c r="K81" s="654">
        <f t="shared" ref="K81:N81" si="72">K80/AVERAGE(J78:K78)</f>
        <v>3.0135439530368756E-2</v>
      </c>
      <c r="L81" s="654">
        <f t="shared" si="72"/>
        <v>3.0129678597558517E-2</v>
      </c>
      <c r="M81" s="654">
        <f t="shared" si="72"/>
        <v>3.0216092589712126E-2</v>
      </c>
      <c r="N81" s="660">
        <f t="shared" si="72"/>
        <v>3.0135439530368756E-2</v>
      </c>
      <c r="O81" s="710">
        <f t="shared" ref="O81:T81" si="73">1/O82</f>
        <v>3.0160352023176865E-2</v>
      </c>
      <c r="P81" s="710">
        <f t="shared" si="73"/>
        <v>3.0160352023176865E-2</v>
      </c>
      <c r="Q81" s="710">
        <f t="shared" si="73"/>
        <v>3.0160352023176865E-2</v>
      </c>
      <c r="R81" s="710">
        <f t="shared" si="73"/>
        <v>3.0160352023176865E-2</v>
      </c>
      <c r="S81" s="710">
        <f t="shared" si="73"/>
        <v>3.0160352023176865E-2</v>
      </c>
      <c r="T81" s="710">
        <f t="shared" si="73"/>
        <v>3.0160352023176865E-2</v>
      </c>
    </row>
    <row r="82" spans="1:20" ht="13">
      <c r="B82" s="655" t="s">
        <v>822</v>
      </c>
      <c r="C82" s="679"/>
      <c r="D82" s="681"/>
      <c r="E82" s="681"/>
      <c r="F82" s="681"/>
      <c r="G82" s="681"/>
      <c r="H82" s="661"/>
      <c r="I82" s="681"/>
      <c r="J82" s="681">
        <f>1/J81</f>
        <v>33.884681914280222</v>
      </c>
      <c r="K82" s="681">
        <f t="shared" ref="K82" si="74">1/K81</f>
        <v>33.183521315236092</v>
      </c>
      <c r="L82" s="661">
        <f>1/L81</f>
        <v>33.189866156787765</v>
      </c>
      <c r="M82" s="661">
        <f>1/M81</f>
        <v>33.094947569113444</v>
      </c>
      <c r="N82" s="662">
        <f>1/N81</f>
        <v>33.183521315236092</v>
      </c>
      <c r="O82" s="701">
        <f>AVERAGE(L82:N82)</f>
        <v>33.156111680379105</v>
      </c>
      <c r="P82" s="701">
        <f t="shared" ref="P82:T82" si="75">O82</f>
        <v>33.156111680379105</v>
      </c>
      <c r="Q82" s="701">
        <f t="shared" si="75"/>
        <v>33.156111680379105</v>
      </c>
      <c r="R82" s="701">
        <f t="shared" si="75"/>
        <v>33.156111680379105</v>
      </c>
      <c r="S82" s="701">
        <f t="shared" si="75"/>
        <v>33.156111680379105</v>
      </c>
      <c r="T82" s="701">
        <f t="shared" si="75"/>
        <v>33.156111680379105</v>
      </c>
    </row>
    <row r="83" spans="1:20" ht="13">
      <c r="B83" s="647"/>
      <c r="C83" s="703"/>
      <c r="D83" s="703"/>
      <c r="E83" s="703"/>
      <c r="F83" s="648"/>
      <c r="G83" s="680"/>
      <c r="H83" s="680"/>
      <c r="I83" s="680"/>
      <c r="J83" s="680"/>
      <c r="K83" s="680"/>
      <c r="L83" s="648"/>
      <c r="M83" s="648"/>
      <c r="N83" s="649"/>
      <c r="O83" s="648"/>
      <c r="P83" s="648"/>
      <c r="Q83" s="648"/>
      <c r="R83" s="648"/>
      <c r="S83" s="648"/>
    </row>
    <row r="84" spans="1:20" ht="13">
      <c r="B84" s="687" t="s">
        <v>845</v>
      </c>
      <c r="C84" s="703"/>
      <c r="D84" s="703"/>
      <c r="E84" s="703"/>
      <c r="F84" s="648"/>
      <c r="G84" s="648"/>
      <c r="H84" s="648"/>
      <c r="I84" s="648"/>
      <c r="J84" s="648"/>
      <c r="K84" s="704"/>
      <c r="L84" s="226"/>
      <c r="M84" s="226"/>
      <c r="N84" s="227"/>
      <c r="O84" s="226"/>
      <c r="P84" s="226"/>
      <c r="Q84" s="226"/>
      <c r="R84" s="226"/>
      <c r="S84" s="226"/>
    </row>
    <row r="85" spans="1:20" ht="13">
      <c r="B85" s="647"/>
      <c r="C85" s="703"/>
      <c r="D85" s="703"/>
      <c r="E85" s="703"/>
      <c r="F85" s="648"/>
      <c r="G85" s="648"/>
      <c r="H85" s="648"/>
      <c r="I85" s="648"/>
      <c r="J85" s="648"/>
      <c r="K85" s="704"/>
      <c r="L85" s="226"/>
      <c r="M85" s="226"/>
      <c r="N85" s="227"/>
      <c r="O85" s="226"/>
      <c r="P85" s="226"/>
      <c r="Q85" s="226"/>
      <c r="R85" s="226"/>
      <c r="S85" s="226"/>
    </row>
    <row r="86" spans="1:20">
      <c r="B86" s="692" t="s">
        <v>846</v>
      </c>
      <c r="C86" s="645">
        <f>SUM(C87:C88)</f>
        <v>30769</v>
      </c>
      <c r="D86" s="645">
        <f t="shared" ref="D86:T86" si="76">SUM(D87:D88)</f>
        <v>45649</v>
      </c>
      <c r="E86" s="645">
        <f t="shared" si="76"/>
        <v>66481</v>
      </c>
      <c r="F86" s="645">
        <f t="shared" si="76"/>
        <v>67657</v>
      </c>
      <c r="G86" s="645">
        <f t="shared" si="76"/>
        <v>54568</v>
      </c>
      <c r="H86" s="645">
        <f t="shared" si="76"/>
        <v>58434</v>
      </c>
      <c r="I86" s="645">
        <f t="shared" si="76"/>
        <v>65174</v>
      </c>
      <c r="J86" s="645">
        <f t="shared" si="76"/>
        <v>41270</v>
      </c>
      <c r="K86" s="645">
        <f t="shared" si="76"/>
        <v>153129</v>
      </c>
      <c r="L86" s="645">
        <f t="shared" si="76"/>
        <v>279065</v>
      </c>
      <c r="M86" s="645">
        <f t="shared" si="76"/>
        <v>268305</v>
      </c>
      <c r="N86" s="646">
        <f t="shared" si="76"/>
        <v>238599</v>
      </c>
      <c r="O86" s="645">
        <f t="shared" si="76"/>
        <v>228303.58611399229</v>
      </c>
      <c r="P86" s="645">
        <f t="shared" si="76"/>
        <v>218008.17222798459</v>
      </c>
      <c r="Q86" s="645">
        <f t="shared" si="76"/>
        <v>207712.75834197691</v>
      </c>
      <c r="R86" s="645">
        <f t="shared" si="76"/>
        <v>197417.3444559692</v>
      </c>
      <c r="S86" s="645">
        <f t="shared" si="76"/>
        <v>187121.93056996149</v>
      </c>
      <c r="T86" s="645">
        <f t="shared" si="76"/>
        <v>176826.51668395379</v>
      </c>
    </row>
    <row r="87" spans="1:20" ht="13">
      <c r="B87" s="647" t="s">
        <v>818</v>
      </c>
      <c r="C87" s="711">
        <f>'1BS'!D50</f>
        <v>43273</v>
      </c>
      <c r="D87" s="711">
        <f>'1BS'!E50</f>
        <v>70886</v>
      </c>
      <c r="E87" s="711">
        <f>'1BS'!F50</f>
        <v>94694</v>
      </c>
      <c r="F87" s="711">
        <f>'1BS'!G50</f>
        <v>83725</v>
      </c>
      <c r="G87" s="711">
        <f>'1BS'!H50</f>
        <v>71444</v>
      </c>
      <c r="H87" s="711">
        <f>'1BS'!I50</f>
        <v>80831</v>
      </c>
      <c r="I87" s="711">
        <f>'1BS'!J50</f>
        <v>92669</v>
      </c>
      <c r="J87" s="711">
        <f>'1BS'!K50</f>
        <v>67678</v>
      </c>
      <c r="K87" s="711">
        <f>'1BS'!L50</f>
        <v>182936</v>
      </c>
      <c r="L87" s="711">
        <f>'1BS'!M50</f>
        <v>311099</v>
      </c>
      <c r="M87" s="711">
        <f>'1BS'!N50</f>
        <v>311715</v>
      </c>
      <c r="N87" s="712">
        <f>'1BS'!O50</f>
        <v>281827</v>
      </c>
      <c r="O87" s="648">
        <f t="shared" ref="O87:T87" si="77">N87</f>
        <v>281827</v>
      </c>
      <c r="P87" s="648">
        <f t="shared" si="77"/>
        <v>281827</v>
      </c>
      <c r="Q87" s="648">
        <f t="shared" si="77"/>
        <v>281827</v>
      </c>
      <c r="R87" s="648">
        <f t="shared" si="77"/>
        <v>281827</v>
      </c>
      <c r="S87" s="648">
        <f t="shared" si="77"/>
        <v>281827</v>
      </c>
      <c r="T87" s="648">
        <f t="shared" si="77"/>
        <v>281827</v>
      </c>
    </row>
    <row r="88" spans="1:20" ht="13">
      <c r="B88" s="647" t="s">
        <v>824</v>
      </c>
      <c r="C88" s="711">
        <f>'1BS'!D51</f>
        <v>-12504</v>
      </c>
      <c r="D88" s="711">
        <f>'1BS'!E51</f>
        <v>-25237</v>
      </c>
      <c r="E88" s="711">
        <f>'1BS'!F51</f>
        <v>-28213</v>
      </c>
      <c r="F88" s="711">
        <f>'1BS'!G51</f>
        <v>-16068</v>
      </c>
      <c r="G88" s="711">
        <f>'1BS'!H51</f>
        <v>-16876</v>
      </c>
      <c r="H88" s="711">
        <f>'1BS'!I51</f>
        <v>-22397</v>
      </c>
      <c r="I88" s="711">
        <f>'1BS'!J51</f>
        <v>-27495</v>
      </c>
      <c r="J88" s="711">
        <f>'1BS'!K51</f>
        <v>-26408</v>
      </c>
      <c r="K88" s="711">
        <f>'1BS'!L51</f>
        <v>-29807</v>
      </c>
      <c r="L88" s="711">
        <f>'1BS'!M51</f>
        <v>-32034</v>
      </c>
      <c r="M88" s="711">
        <f>'1BS'!N51</f>
        <v>-43410</v>
      </c>
      <c r="N88" s="712">
        <f>'1BS'!O51</f>
        <v>-43228</v>
      </c>
      <c r="O88" s="648">
        <f t="shared" ref="O88:T88" si="78">N88-O89</f>
        <v>-53523.4138860077</v>
      </c>
      <c r="P88" s="648">
        <f t="shared" si="78"/>
        <v>-63818.8277720154</v>
      </c>
      <c r="Q88" s="648">
        <f t="shared" si="78"/>
        <v>-74114.241658023093</v>
      </c>
      <c r="R88" s="648">
        <f t="shared" si="78"/>
        <v>-84409.6555440308</v>
      </c>
      <c r="S88" s="648">
        <f t="shared" si="78"/>
        <v>-94705.069430038508</v>
      </c>
      <c r="T88" s="648">
        <f t="shared" si="78"/>
        <v>-105000.48331604621</v>
      </c>
    </row>
    <row r="89" spans="1:20">
      <c r="B89" s="650" t="s">
        <v>831</v>
      </c>
      <c r="C89" s="713"/>
      <c r="D89" s="229">
        <f t="shared" ref="D89:M89" si="79">-(D88-C88)</f>
        <v>12733</v>
      </c>
      <c r="E89" s="229">
        <f t="shared" si="79"/>
        <v>2976</v>
      </c>
      <c r="F89" s="229">
        <f>-(F88-E88)</f>
        <v>-12145</v>
      </c>
      <c r="G89" s="229">
        <f t="shared" si="79"/>
        <v>808</v>
      </c>
      <c r="H89" s="229">
        <f t="shared" si="79"/>
        <v>5521</v>
      </c>
      <c r="I89" s="229">
        <f t="shared" si="79"/>
        <v>5098</v>
      </c>
      <c r="J89" s="229">
        <f t="shared" si="79"/>
        <v>-1087</v>
      </c>
      <c r="K89" s="229">
        <f t="shared" si="79"/>
        <v>3399</v>
      </c>
      <c r="L89" s="229">
        <f>-(L88-K88)</f>
        <v>2227</v>
      </c>
      <c r="M89" s="229">
        <f t="shared" si="79"/>
        <v>11376</v>
      </c>
      <c r="N89" s="310">
        <f>-(N88-M88)</f>
        <v>-182</v>
      </c>
      <c r="O89" s="203">
        <f t="shared" ref="O89:T89" si="80">MIN(AVERAGE(N87:O87)*O90,N86)</f>
        <v>10295.4138860077</v>
      </c>
      <c r="P89" s="203">
        <f t="shared" si="80"/>
        <v>10295.4138860077</v>
      </c>
      <c r="Q89" s="203">
        <f t="shared" si="80"/>
        <v>10295.4138860077</v>
      </c>
      <c r="R89" s="203">
        <f t="shared" si="80"/>
        <v>10295.4138860077</v>
      </c>
      <c r="S89" s="203">
        <f t="shared" si="80"/>
        <v>10295.4138860077</v>
      </c>
      <c r="T89" s="203">
        <f t="shared" si="80"/>
        <v>10295.4138860077</v>
      </c>
    </row>
    <row r="90" spans="1:20" ht="13">
      <c r="B90" s="647" t="s">
        <v>821</v>
      </c>
      <c r="C90" s="703"/>
      <c r="D90" s="654">
        <f t="shared" ref="D90:M90" si="81">D89/AVERAGE(C87:D87)</f>
        <v>0.22307483422244415</v>
      </c>
      <c r="E90" s="654">
        <f t="shared" si="81"/>
        <v>3.5946370334581472E-2</v>
      </c>
      <c r="F90" s="654">
        <f>F89/AVERAGE(E87:F87)</f>
        <v>-0.13614020928264367</v>
      </c>
      <c r="G90" s="654">
        <f t="shared" si="81"/>
        <v>1.0414451340151705E-2</v>
      </c>
      <c r="H90" s="654">
        <f t="shared" si="81"/>
        <v>7.2513544573961586E-2</v>
      </c>
      <c r="I90" s="654">
        <f t="shared" si="81"/>
        <v>5.8766570605187321E-2</v>
      </c>
      <c r="J90" s="654">
        <f t="shared" si="81"/>
        <v>-1.3558095879561201E-2</v>
      </c>
      <c r="K90" s="654">
        <f t="shared" si="81"/>
        <v>2.7125380066556536E-2</v>
      </c>
      <c r="L90" s="654">
        <f>L89/AVERAGE(K87:L87)</f>
        <v>9.0155555780460899E-3</v>
      </c>
      <c r="M90" s="654">
        <f t="shared" si="81"/>
        <v>3.6530970723201467E-2</v>
      </c>
      <c r="N90" s="660">
        <f>N89/AVERAGE(M87:N87)</f>
        <v>-6.1326746885645835E-4</v>
      </c>
      <c r="O90" s="710">
        <f t="shared" ref="O90:T90" si="82">1/O91</f>
        <v>3.6530970723201467E-2</v>
      </c>
      <c r="P90" s="710">
        <f t="shared" si="82"/>
        <v>3.6530970723201467E-2</v>
      </c>
      <c r="Q90" s="710">
        <f t="shared" si="82"/>
        <v>3.6530970723201467E-2</v>
      </c>
      <c r="R90" s="710">
        <f t="shared" si="82"/>
        <v>3.6530970723201467E-2</v>
      </c>
      <c r="S90" s="710">
        <f t="shared" si="82"/>
        <v>3.6530970723201467E-2</v>
      </c>
      <c r="T90" s="710">
        <f t="shared" si="82"/>
        <v>3.6530970723201467E-2</v>
      </c>
    </row>
    <row r="91" spans="1:20" ht="13">
      <c r="B91" s="655" t="s">
        <v>822</v>
      </c>
      <c r="C91" s="679"/>
      <c r="D91" s="681">
        <f t="shared" ref="D91:G91" si="83">1/D90</f>
        <v>4.4828005968742639</v>
      </c>
      <c r="E91" s="681">
        <f t="shared" si="83"/>
        <v>27.819220430107528</v>
      </c>
      <c r="F91" s="681">
        <f>1/F90</f>
        <v>-7.3453684643886366</v>
      </c>
      <c r="G91" s="681">
        <f t="shared" si="83"/>
        <v>96.020420792079207</v>
      </c>
      <c r="H91" s="661">
        <f>1/H90</f>
        <v>13.79052707842782</v>
      </c>
      <c r="I91" s="681">
        <f t="shared" ref="I91:K91" si="84">1/I90</f>
        <v>17.016477049823461</v>
      </c>
      <c r="J91" s="681">
        <f t="shared" si="84"/>
        <v>-73.756669733210671</v>
      </c>
      <c r="K91" s="681">
        <f t="shared" si="84"/>
        <v>36.865842894969113</v>
      </c>
      <c r="L91" s="661">
        <f>1/L90</f>
        <v>110.91939829366861</v>
      </c>
      <c r="M91" s="661">
        <f>1/M90</f>
        <v>27.374033052039383</v>
      </c>
      <c r="N91" s="662">
        <f>1/N90</f>
        <v>-1630.6098901098901</v>
      </c>
      <c r="O91" s="701">
        <f>M91</f>
        <v>27.374033052039383</v>
      </c>
      <c r="P91" s="701">
        <f t="shared" ref="P91:T91" si="85">O91</f>
        <v>27.374033052039383</v>
      </c>
      <c r="Q91" s="701">
        <f t="shared" si="85"/>
        <v>27.374033052039383</v>
      </c>
      <c r="R91" s="701">
        <f t="shared" si="85"/>
        <v>27.374033052039383</v>
      </c>
      <c r="S91" s="701">
        <f t="shared" si="85"/>
        <v>27.374033052039383</v>
      </c>
      <c r="T91" s="701">
        <f t="shared" si="85"/>
        <v>27.374033052039383</v>
      </c>
    </row>
    <row r="92" spans="1:20">
      <c r="B92" s="717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9"/>
      <c r="O92" s="718"/>
      <c r="P92" s="718"/>
      <c r="Q92" s="718"/>
      <c r="R92" s="640"/>
      <c r="S92" s="640"/>
      <c r="T92" s="640"/>
    </row>
    <row r="93" spans="1:20"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720"/>
      <c r="O93" s="640"/>
      <c r="P93" s="640"/>
      <c r="Q93" s="640"/>
      <c r="R93" s="721"/>
      <c r="S93" s="721"/>
      <c r="T93" s="721"/>
    </row>
    <row r="94" spans="1:20" s="722" customFormat="1" ht="13">
      <c r="A94" s="237"/>
      <c r="N94" s="723"/>
    </row>
    <row r="95" spans="1:20" ht="13">
      <c r="B95" s="724" t="s">
        <v>847</v>
      </c>
      <c r="C95" s="864">
        <v>3.1899999999999998E-2</v>
      </c>
      <c r="D95" s="724"/>
      <c r="E95" s="724"/>
      <c r="G95" s="725"/>
      <c r="H95" s="725"/>
      <c r="I95" s="725"/>
      <c r="J95" s="725"/>
      <c r="K95" s="725"/>
      <c r="L95" s="725"/>
      <c r="M95" s="726"/>
      <c r="N95" s="727">
        <v>1</v>
      </c>
      <c r="O95" s="726">
        <f>N95+1</f>
        <v>2</v>
      </c>
      <c r="P95" s="726">
        <f t="shared" ref="P95:T95" si="86">O95+1</f>
        <v>3</v>
      </c>
      <c r="Q95" s="726">
        <f t="shared" si="86"/>
        <v>4</v>
      </c>
      <c r="R95" s="728">
        <f t="shared" si="86"/>
        <v>5</v>
      </c>
      <c r="S95" s="728">
        <f t="shared" si="86"/>
        <v>6</v>
      </c>
      <c r="T95" s="728">
        <f t="shared" si="86"/>
        <v>7</v>
      </c>
    </row>
    <row r="96" spans="1:20" ht="13">
      <c r="B96" s="729" t="s">
        <v>848</v>
      </c>
      <c r="C96" s="730"/>
      <c r="D96" s="731"/>
      <c r="E96" s="731"/>
      <c r="F96" s="732"/>
      <c r="G96" s="732"/>
      <c r="H96" s="732"/>
      <c r="I96" s="732"/>
      <c r="J96" s="732"/>
      <c r="K96" s="733"/>
      <c r="L96" s="733"/>
      <c r="M96" s="733"/>
      <c r="N96" s="734"/>
      <c r="O96" s="733"/>
      <c r="P96" s="733"/>
      <c r="Q96" s="733"/>
      <c r="R96" s="735"/>
      <c r="S96" s="735"/>
      <c r="T96" s="735"/>
    </row>
    <row r="97" spans="1:36" ht="13">
      <c r="B97" s="736" t="s">
        <v>849</v>
      </c>
      <c r="C97" s="237"/>
      <c r="D97" s="737">
        <f t="shared" ref="D97:N97" si="87">D10-C10</f>
        <v>528471</v>
      </c>
      <c r="E97" s="737">
        <f>E10-D10</f>
        <v>161817</v>
      </c>
      <c r="F97" s="737">
        <f t="shared" si="87"/>
        <v>180552</v>
      </c>
      <c r="G97" s="737">
        <f t="shared" si="87"/>
        <v>153614</v>
      </c>
      <c r="H97" s="737">
        <f t="shared" si="87"/>
        <v>692781</v>
      </c>
      <c r="I97" s="737">
        <f t="shared" si="87"/>
        <v>584726</v>
      </c>
      <c r="J97" s="737">
        <f t="shared" si="87"/>
        <v>72066</v>
      </c>
      <c r="K97" s="737">
        <f>K10-J10</f>
        <v>593058</v>
      </c>
      <c r="L97" s="737">
        <f t="shared" si="87"/>
        <v>48236</v>
      </c>
      <c r="M97" s="737">
        <f t="shared" si="87"/>
        <v>79515</v>
      </c>
      <c r="N97" s="738">
        <f t="shared" si="87"/>
        <v>4472406</v>
      </c>
      <c r="O97" s="737">
        <f>-O154+$Y98*(1.03^O$95)</f>
        <v>238639.8848</v>
      </c>
      <c r="P97" s="737">
        <f t="shared" ref="P97:R97" si="88">-P154+$Y98*(1.03^P$95)</f>
        <v>145137.356344</v>
      </c>
      <c r="Q97" s="737">
        <f t="shared" si="88"/>
        <v>165932.38828432001</v>
      </c>
      <c r="R97" s="737">
        <f t="shared" si="88"/>
        <v>181148.07899534958</v>
      </c>
      <c r="S97" s="737">
        <f>-S154+$Y98*(1.03^S$95)</f>
        <v>185042.87769333509</v>
      </c>
      <c r="T97" s="737">
        <f>-T154+$Y98*(1.03^T$95)</f>
        <v>171713.4794342914</v>
      </c>
      <c r="U97" s="640" t="s">
        <v>850</v>
      </c>
      <c r="V97" s="199">
        <v>2022</v>
      </c>
      <c r="W97" s="199">
        <v>2023</v>
      </c>
      <c r="X97" s="199">
        <v>2024</v>
      </c>
      <c r="Y97" s="879" t="s">
        <v>851</v>
      </c>
    </row>
    <row r="98" spans="1:36" ht="13">
      <c r="B98" s="736" t="s">
        <v>852</v>
      </c>
      <c r="C98" s="237"/>
      <c r="D98" s="237"/>
      <c r="E98" s="237"/>
      <c r="I98" s="740"/>
      <c r="J98" s="740"/>
      <c r="K98" s="740"/>
      <c r="L98" s="740"/>
      <c r="M98" s="740"/>
      <c r="N98" s="741"/>
      <c r="O98" s="740"/>
      <c r="P98" s="740"/>
      <c r="Q98" s="740"/>
      <c r="R98" s="740"/>
      <c r="S98" s="740"/>
      <c r="T98" s="740"/>
      <c r="U98" s="742" t="s">
        <v>853</v>
      </c>
      <c r="V98" s="878">
        <v>23538</v>
      </c>
      <c r="W98" s="878">
        <v>34307</v>
      </c>
      <c r="X98" s="878">
        <v>24871</v>
      </c>
      <c r="Y98" s="878">
        <f>AVERAGE(V98:X98)</f>
        <v>27572</v>
      </c>
    </row>
    <row r="99" spans="1:36">
      <c r="B99" s="744" t="s">
        <v>854</v>
      </c>
      <c r="C99" s="234"/>
      <c r="D99" s="234"/>
      <c r="E99" s="234"/>
      <c r="I99" s="737"/>
      <c r="J99" s="737"/>
      <c r="K99" s="737"/>
      <c r="L99" s="745"/>
      <c r="M99" s="737"/>
      <c r="N99" s="738"/>
      <c r="O99" s="737">
        <f>$O$97/$O$141*0.5</f>
        <v>7234.0659962064892</v>
      </c>
      <c r="P99" s="737">
        <f t="shared" ref="P99:T99" si="89">$O$97/$O$141</f>
        <v>14468.131992412978</v>
      </c>
      <c r="Q99" s="737">
        <f t="shared" si="89"/>
        <v>14468.131992412978</v>
      </c>
      <c r="R99" s="737">
        <f t="shared" si="89"/>
        <v>14468.131992412978</v>
      </c>
      <c r="S99" s="737">
        <f t="shared" si="89"/>
        <v>14468.131992412978</v>
      </c>
      <c r="T99" s="737">
        <f t="shared" si="89"/>
        <v>14468.131992412978</v>
      </c>
      <c r="W99" s="268"/>
      <c r="X99" s="268"/>
      <c r="Y99" s="268"/>
      <c r="AE99" s="746"/>
      <c r="AF99" s="746"/>
      <c r="AG99" s="746"/>
      <c r="AH99" s="746"/>
      <c r="AI99" s="746"/>
      <c r="AJ99" s="746"/>
    </row>
    <row r="100" spans="1:36">
      <c r="B100" s="744" t="s">
        <v>855</v>
      </c>
      <c r="C100" s="234"/>
      <c r="D100" s="234"/>
      <c r="E100" s="234"/>
      <c r="I100" s="737"/>
      <c r="J100" s="737"/>
      <c r="K100" s="737"/>
      <c r="L100" s="737"/>
      <c r="M100" s="737"/>
      <c r="N100" s="738"/>
      <c r="O100" s="737"/>
      <c r="P100" s="737">
        <f>$P$97/$P$141*0.5</f>
        <v>4399.6552176823488</v>
      </c>
      <c r="Q100" s="737">
        <f t="shared" ref="Q100:T100" si="90">$P$97/$P$141</f>
        <v>8799.3104353646977</v>
      </c>
      <c r="R100" s="737">
        <f t="shared" si="90"/>
        <v>8799.3104353646977</v>
      </c>
      <c r="S100" s="737">
        <f t="shared" si="90"/>
        <v>8799.3104353646977</v>
      </c>
      <c r="T100" s="737">
        <f t="shared" si="90"/>
        <v>8799.3104353646977</v>
      </c>
      <c r="V100" s="268"/>
      <c r="W100" s="268"/>
      <c r="X100" s="268"/>
      <c r="Y100" s="268"/>
    </row>
    <row r="101" spans="1:36">
      <c r="B101" s="744" t="s">
        <v>856</v>
      </c>
      <c r="C101" s="234"/>
      <c r="D101" s="234"/>
      <c r="E101" s="234"/>
      <c r="I101" s="737"/>
      <c r="J101" s="737"/>
      <c r="K101" s="737"/>
      <c r="L101" s="737"/>
      <c r="M101" s="737"/>
      <c r="N101" s="738"/>
      <c r="O101" s="737"/>
      <c r="P101" s="737"/>
      <c r="Q101" s="737">
        <f>$Q$97/$Q$141*0.5</f>
        <v>5030.0302850168464</v>
      </c>
      <c r="R101" s="737">
        <f t="shared" ref="R101:T101" si="91">$Q$97/$Q$141</f>
        <v>10060.060570033693</v>
      </c>
      <c r="S101" s="737">
        <f t="shared" si="91"/>
        <v>10060.060570033693</v>
      </c>
      <c r="T101" s="737">
        <f t="shared" si="91"/>
        <v>10060.060570033693</v>
      </c>
      <c r="V101" s="268"/>
      <c r="W101" s="268"/>
      <c r="X101" s="268"/>
      <c r="Y101" s="268"/>
    </row>
    <row r="102" spans="1:36" ht="13.5" customHeight="1">
      <c r="B102" s="744" t="s">
        <v>857</v>
      </c>
      <c r="C102" s="234"/>
      <c r="D102" s="234"/>
      <c r="E102" s="234"/>
      <c r="I102" s="737"/>
      <c r="J102" s="737"/>
      <c r="K102" s="737"/>
      <c r="L102" s="737"/>
      <c r="M102" s="737"/>
      <c r="N102" s="738"/>
      <c r="O102" s="737"/>
      <c r="P102" s="737"/>
      <c r="Q102" s="737"/>
      <c r="R102" s="737">
        <f>$R$97/$R$141*0.5</f>
        <v>5491.2746862773602</v>
      </c>
      <c r="S102" s="737">
        <f>$R$97/$R$141</f>
        <v>10982.54937255472</v>
      </c>
      <c r="T102" s="737">
        <f>$R$97/$R$141</f>
        <v>10982.54937255472</v>
      </c>
      <c r="V102" s="268"/>
      <c r="W102" s="268"/>
      <c r="X102" s="268"/>
      <c r="Y102" s="268"/>
    </row>
    <row r="103" spans="1:36" ht="13.5" customHeight="1">
      <c r="B103" s="744" t="s">
        <v>858</v>
      </c>
      <c r="C103" s="234"/>
      <c r="D103" s="234"/>
      <c r="E103" s="234"/>
      <c r="I103" s="737"/>
      <c r="J103" s="737"/>
      <c r="K103" s="737"/>
      <c r="L103" s="737"/>
      <c r="M103" s="737"/>
      <c r="N103" s="738"/>
      <c r="O103" s="737"/>
      <c r="P103" s="737"/>
      <c r="Q103" s="737"/>
      <c r="R103" s="737"/>
      <c r="S103" s="737">
        <f>S97/S141*0.5</f>
        <v>5609.3405780991716</v>
      </c>
      <c r="T103" s="737">
        <f>S97/S141</f>
        <v>11218.681156198343</v>
      </c>
      <c r="V103" s="268"/>
      <c r="W103" s="268"/>
      <c r="X103" s="268"/>
      <c r="Y103" s="268"/>
    </row>
    <row r="104" spans="1:36" ht="13.5" customHeight="1">
      <c r="B104" s="744" t="s">
        <v>947</v>
      </c>
      <c r="C104" s="234"/>
      <c r="D104" s="234"/>
      <c r="E104" s="234"/>
      <c r="I104" s="737"/>
      <c r="J104" s="737"/>
      <c r="K104" s="737"/>
      <c r="L104" s="737"/>
      <c r="M104" s="737"/>
      <c r="N104" s="738"/>
      <c r="O104" s="737"/>
      <c r="P104" s="737"/>
      <c r="Q104" s="737"/>
      <c r="R104" s="737"/>
      <c r="S104" s="737"/>
      <c r="T104" s="737">
        <f>T97/T141*0.5</f>
        <v>5205.2767445264444</v>
      </c>
      <c r="V104" s="268"/>
      <c r="W104" s="268"/>
      <c r="X104" s="268"/>
      <c r="Y104" s="268"/>
    </row>
    <row r="105" spans="1:36" s="722" customFormat="1" ht="13">
      <c r="A105" s="237"/>
      <c r="B105" s="736" t="s">
        <v>859</v>
      </c>
      <c r="C105" s="237"/>
      <c r="D105" s="237"/>
      <c r="E105" s="237"/>
      <c r="F105" s="237"/>
      <c r="G105" s="237"/>
      <c r="H105" s="237"/>
      <c r="I105" s="747"/>
      <c r="J105" s="747"/>
      <c r="K105" s="747"/>
      <c r="L105" s="747"/>
      <c r="M105" s="747"/>
      <c r="N105" s="748"/>
      <c r="O105" s="749">
        <f>SUM(O99:O104)</f>
        <v>7234.0659962064892</v>
      </c>
      <c r="P105" s="749">
        <f t="shared" ref="P105:S105" si="92">SUM(P99:P104)</f>
        <v>18867.787210095328</v>
      </c>
      <c r="Q105" s="749">
        <f t="shared" si="92"/>
        <v>28297.472712794523</v>
      </c>
      <c r="R105" s="749">
        <f t="shared" si="92"/>
        <v>38818.777684088738</v>
      </c>
      <c r="S105" s="749">
        <f t="shared" si="92"/>
        <v>49919.392948465269</v>
      </c>
      <c r="T105" s="749">
        <f>SUM(T99:T104)</f>
        <v>60734.010271090883</v>
      </c>
      <c r="V105" s="201"/>
      <c r="W105" s="201"/>
      <c r="X105" s="201"/>
      <c r="Y105" s="201"/>
    </row>
    <row r="106" spans="1:36" s="722" customFormat="1" ht="13">
      <c r="A106" s="237"/>
      <c r="B106" s="736"/>
      <c r="C106" s="237"/>
      <c r="D106" s="237"/>
      <c r="E106" s="237"/>
      <c r="F106" s="237"/>
      <c r="G106" s="237"/>
      <c r="H106" s="237"/>
      <c r="I106" s="747"/>
      <c r="J106" s="747"/>
      <c r="K106" s="747"/>
      <c r="L106" s="747"/>
      <c r="M106" s="747"/>
      <c r="N106" s="748"/>
      <c r="O106" s="747"/>
      <c r="P106" s="747"/>
      <c r="Q106" s="747"/>
      <c r="R106" s="747"/>
      <c r="S106" s="747"/>
      <c r="T106" s="747"/>
      <c r="V106" s="879">
        <f>V97</f>
        <v>2022</v>
      </c>
      <c r="W106" s="879">
        <f>W97</f>
        <v>2023</v>
      </c>
      <c r="X106" s="879">
        <f>X97</f>
        <v>2024</v>
      </c>
      <c r="Y106" s="879" t="s">
        <v>851</v>
      </c>
    </row>
    <row r="107" spans="1:36" ht="13">
      <c r="B107" s="736" t="s">
        <v>860</v>
      </c>
      <c r="C107" s="237"/>
      <c r="D107" s="237"/>
      <c r="E107" s="237"/>
      <c r="I107" s="737"/>
      <c r="J107" s="737"/>
      <c r="K107" s="737"/>
      <c r="L107" s="737"/>
      <c r="M107" s="737"/>
      <c r="N107" s="738"/>
      <c r="O107" s="737">
        <f>-O155+($Y107)*(1.03^O$95)</f>
        <v>16594.327966666668</v>
      </c>
      <c r="P107" s="737">
        <f t="shared" ref="P107:R107" si="93">-P155+($Y107)*(1.03^P$95)</f>
        <v>20309.667805666668</v>
      </c>
      <c r="Q107" s="737">
        <f t="shared" si="93"/>
        <v>22727.075339836665</v>
      </c>
      <c r="R107" s="737">
        <f t="shared" si="93"/>
        <v>17230.144475031768</v>
      </c>
      <c r="S107" s="737">
        <f>-S155+($Y107)*(1.03^S$95)</f>
        <v>19284.862403032719</v>
      </c>
      <c r="T107" s="737">
        <f>-T155+($Y107)*(1.03^T$95)</f>
        <v>19959.5827673112</v>
      </c>
      <c r="U107" s="742" t="s">
        <v>853</v>
      </c>
      <c r="V107" s="880">
        <v>238</v>
      </c>
      <c r="W107" s="880">
        <v>716</v>
      </c>
      <c r="X107" s="880">
        <v>1517</v>
      </c>
      <c r="Y107" s="877">
        <f>AVERAGE(V107:X107)</f>
        <v>823.66666666666663</v>
      </c>
    </row>
    <row r="108" spans="1:36" ht="13">
      <c r="B108" s="736" t="s">
        <v>861</v>
      </c>
      <c r="C108" s="237"/>
      <c r="D108" s="237"/>
      <c r="E108" s="237"/>
      <c r="I108" s="737"/>
      <c r="J108" s="737"/>
      <c r="K108" s="737"/>
      <c r="L108" s="737"/>
      <c r="M108" s="750"/>
      <c r="N108" s="751"/>
      <c r="O108" s="740"/>
      <c r="P108" s="740"/>
      <c r="Q108" s="740"/>
      <c r="R108" s="740"/>
      <c r="S108" s="740"/>
      <c r="T108" s="740"/>
      <c r="V108" s="268"/>
      <c r="W108" s="268"/>
      <c r="X108" s="268"/>
      <c r="Y108" s="268"/>
    </row>
    <row r="109" spans="1:36">
      <c r="B109" s="744" t="s">
        <v>854</v>
      </c>
      <c r="C109" s="234"/>
      <c r="D109" s="234"/>
      <c r="E109" s="234"/>
      <c r="I109" s="737"/>
      <c r="J109" s="737"/>
      <c r="K109" s="737"/>
      <c r="L109" s="737"/>
      <c r="M109" s="745"/>
      <c r="N109" s="752"/>
      <c r="O109" s="745">
        <f>$O$107/$O$142*0.5</f>
        <v>1317.5842917129382</v>
      </c>
      <c r="P109" s="745">
        <f t="shared" ref="P109:T109" si="94">$O$107/$O$142</f>
        <v>2635.1685834258765</v>
      </c>
      <c r="Q109" s="745">
        <f t="shared" si="94"/>
        <v>2635.1685834258765</v>
      </c>
      <c r="R109" s="745">
        <f t="shared" si="94"/>
        <v>2635.1685834258765</v>
      </c>
      <c r="S109" s="745">
        <f t="shared" si="94"/>
        <v>2635.1685834258765</v>
      </c>
      <c r="T109" s="745">
        <f t="shared" si="94"/>
        <v>2635.1685834258765</v>
      </c>
      <c r="V109" s="268"/>
      <c r="W109" s="268"/>
      <c r="X109" s="268"/>
      <c r="Y109" s="268"/>
    </row>
    <row r="110" spans="1:36">
      <c r="B110" s="744" t="str">
        <f>B100</f>
        <v>New assets in 2027</v>
      </c>
      <c r="C110" s="234"/>
      <c r="D110" s="234"/>
      <c r="E110" s="234"/>
      <c r="I110" s="737"/>
      <c r="J110" s="737"/>
      <c r="K110" s="737"/>
      <c r="L110" s="737"/>
      <c r="M110" s="737"/>
      <c r="N110" s="752"/>
      <c r="O110" s="745"/>
      <c r="P110" s="745">
        <f>$P$107/$P$142*0.5</f>
        <v>1612.5810773661387</v>
      </c>
      <c r="Q110" s="745">
        <f t="shared" ref="Q110:T110" si="95">$P$107/$P$142</f>
        <v>3225.1621547322775</v>
      </c>
      <c r="R110" s="745">
        <f t="shared" si="95"/>
        <v>3225.1621547322775</v>
      </c>
      <c r="S110" s="745">
        <f t="shared" si="95"/>
        <v>3225.1621547322775</v>
      </c>
      <c r="T110" s="745">
        <f t="shared" si="95"/>
        <v>3225.1621547322775</v>
      </c>
      <c r="V110" s="268"/>
      <c r="W110" s="268"/>
      <c r="X110" s="268"/>
      <c r="Y110" s="268"/>
    </row>
    <row r="111" spans="1:36">
      <c r="B111" s="744" t="str">
        <f t="shared" ref="B111:B114" si="96">B101</f>
        <v>New assets in 2028</v>
      </c>
      <c r="C111" s="234"/>
      <c r="D111" s="234"/>
      <c r="E111" s="234"/>
      <c r="I111" s="737"/>
      <c r="J111" s="737"/>
      <c r="K111" s="737"/>
      <c r="L111" s="737"/>
      <c r="M111" s="737"/>
      <c r="N111" s="752"/>
      <c r="O111" s="745"/>
      <c r="P111" s="745"/>
      <c r="Q111" s="745">
        <f>$Q$107/$Q$142*0.5</f>
        <v>1804.5224563776264</v>
      </c>
      <c r="R111" s="745">
        <f t="shared" ref="R111:T111" si="97">$Q$107/$Q$142</f>
        <v>3609.0449127552529</v>
      </c>
      <c r="S111" s="745">
        <f>$Q$107/$Q$142</f>
        <v>3609.0449127552529</v>
      </c>
      <c r="T111" s="745">
        <f t="shared" si="97"/>
        <v>3609.0449127552529</v>
      </c>
      <c r="V111" s="268"/>
      <c r="W111" s="268"/>
      <c r="X111" s="268"/>
      <c r="Y111" s="268"/>
    </row>
    <row r="112" spans="1:36">
      <c r="B112" s="744" t="str">
        <f t="shared" si="96"/>
        <v>New assets in 2029</v>
      </c>
      <c r="C112" s="234"/>
      <c r="D112" s="234"/>
      <c r="E112" s="234"/>
      <c r="I112" s="737"/>
      <c r="J112" s="737"/>
      <c r="K112" s="737"/>
      <c r="L112" s="737"/>
      <c r="M112" s="737"/>
      <c r="N112" s="752"/>
      <c r="O112" s="745"/>
      <c r="P112" s="745"/>
      <c r="Q112" s="745"/>
      <c r="R112" s="745">
        <f>$R$107/$R$142*0.5</f>
        <v>1368.06791753475</v>
      </c>
      <c r="S112" s="745">
        <f>$R$107/$R$142</f>
        <v>2736.1358350695</v>
      </c>
      <c r="T112" s="745">
        <f>$R$107/$R$142</f>
        <v>2736.1358350695</v>
      </c>
      <c r="V112" s="268"/>
      <c r="W112" s="268"/>
      <c r="X112" s="268"/>
      <c r="Y112" s="268"/>
    </row>
    <row r="113" spans="2:26" ht="13">
      <c r="B113" s="744" t="str">
        <f t="shared" si="96"/>
        <v>New assets in 2030</v>
      </c>
      <c r="C113" s="234"/>
      <c r="D113" s="234"/>
      <c r="E113" s="234"/>
      <c r="I113" s="737"/>
      <c r="J113" s="737"/>
      <c r="K113" s="737"/>
      <c r="L113" s="747"/>
      <c r="M113" s="737"/>
      <c r="N113" s="752"/>
      <c r="O113" s="745"/>
      <c r="P113" s="745"/>
      <c r="Q113" s="745"/>
      <c r="R113" s="745"/>
      <c r="S113" s="745">
        <f>S107/S142*0.5</f>
        <v>1531.211858721952</v>
      </c>
      <c r="T113" s="745">
        <f>S107/S142</f>
        <v>3062.423717443904</v>
      </c>
      <c r="V113" s="268"/>
      <c r="W113" s="268"/>
      <c r="X113" s="268"/>
      <c r="Y113" s="268"/>
    </row>
    <row r="114" spans="2:26" ht="13">
      <c r="B114" s="744" t="str">
        <f t="shared" si="96"/>
        <v>New assets in 2031</v>
      </c>
      <c r="C114" s="234"/>
      <c r="D114" s="234"/>
      <c r="E114" s="234"/>
      <c r="I114" s="737"/>
      <c r="J114" s="737"/>
      <c r="K114" s="737"/>
      <c r="L114" s="747"/>
      <c r="M114" s="737"/>
      <c r="N114" s="752"/>
      <c r="O114" s="745"/>
      <c r="P114" s="745"/>
      <c r="Q114" s="745"/>
      <c r="R114" s="745"/>
      <c r="S114" s="745"/>
      <c r="T114" s="745">
        <f>T107/T142*0.5</f>
        <v>1584.7844381634281</v>
      </c>
      <c r="V114" s="268"/>
      <c r="W114" s="268"/>
      <c r="X114" s="268"/>
      <c r="Y114" s="268"/>
    </row>
    <row r="115" spans="2:26" ht="13">
      <c r="B115" s="736" t="s">
        <v>862</v>
      </c>
      <c r="C115" s="237"/>
      <c r="D115" s="237"/>
      <c r="E115" s="237"/>
      <c r="I115" s="737"/>
      <c r="J115" s="737"/>
      <c r="K115" s="747"/>
      <c r="L115" s="747"/>
      <c r="M115" s="753"/>
      <c r="N115" s="754"/>
      <c r="O115" s="755">
        <f>SUM(O109:O114)</f>
        <v>1317.5842917129382</v>
      </c>
      <c r="P115" s="755">
        <f t="shared" ref="P115:S115" si="98">SUM(P109:P114)</f>
        <v>4247.7496607920148</v>
      </c>
      <c r="Q115" s="755">
        <f t="shared" si="98"/>
        <v>7664.8531945357809</v>
      </c>
      <c r="R115" s="755">
        <f t="shared" si="98"/>
        <v>10837.443568448158</v>
      </c>
      <c r="S115" s="755">
        <f t="shared" si="98"/>
        <v>13736.72334470486</v>
      </c>
      <c r="T115" s="755">
        <f>SUM(T109:T114)</f>
        <v>16852.71964159024</v>
      </c>
      <c r="V115" s="268"/>
      <c r="W115" s="268"/>
      <c r="X115" s="268"/>
      <c r="Y115" s="268"/>
    </row>
    <row r="116" spans="2:26" ht="13">
      <c r="B116" s="736"/>
      <c r="C116" s="237"/>
      <c r="D116" s="237"/>
      <c r="E116" s="237"/>
      <c r="I116" s="737"/>
      <c r="J116" s="737"/>
      <c r="K116" s="747"/>
      <c r="L116" s="747"/>
      <c r="M116" s="753"/>
      <c r="N116" s="754"/>
      <c r="O116" s="753"/>
      <c r="P116" s="753"/>
      <c r="Q116" s="753"/>
      <c r="R116" s="753"/>
      <c r="S116" s="753"/>
      <c r="T116" s="753"/>
      <c r="V116" s="268"/>
      <c r="W116" s="268"/>
      <c r="X116" s="268"/>
      <c r="Y116" s="268"/>
    </row>
    <row r="117" spans="2:26" ht="13">
      <c r="B117" s="736"/>
      <c r="C117" s="237"/>
      <c r="D117" s="237"/>
      <c r="E117" s="237"/>
      <c r="I117" s="737"/>
      <c r="J117" s="737"/>
      <c r="K117" s="747"/>
      <c r="L117" s="747"/>
      <c r="M117" s="753"/>
      <c r="N117" s="754"/>
      <c r="O117" s="753"/>
      <c r="P117" s="753"/>
      <c r="Q117" s="753"/>
      <c r="R117" s="753"/>
      <c r="S117" s="753"/>
      <c r="T117" s="753"/>
      <c r="U117" s="722"/>
      <c r="V117" s="879">
        <v>2021</v>
      </c>
      <c r="W117" s="879">
        <v>2022</v>
      </c>
      <c r="X117" s="879">
        <f>X106</f>
        <v>2024</v>
      </c>
      <c r="Y117" s="879" t="s">
        <v>851</v>
      </c>
    </row>
    <row r="118" spans="2:26" ht="13">
      <c r="B118" s="736" t="s">
        <v>863</v>
      </c>
      <c r="C118" s="237"/>
      <c r="D118" s="237"/>
      <c r="E118" s="237"/>
      <c r="I118" s="737"/>
      <c r="J118" s="737"/>
      <c r="K118" s="737"/>
      <c r="L118" s="737"/>
      <c r="M118" s="737"/>
      <c r="N118" s="738"/>
      <c r="O118" s="737">
        <f t="shared" ref="O118:R118" si="99">-O165+($Y118)*(1.03^O$95)</f>
        <v>0</v>
      </c>
      <c r="P118" s="737">
        <f t="shared" si="99"/>
        <v>0</v>
      </c>
      <c r="Q118" s="737">
        <f t="shared" si="99"/>
        <v>0</v>
      </c>
      <c r="R118" s="737">
        <f t="shared" si="99"/>
        <v>0</v>
      </c>
      <c r="S118" s="737"/>
      <c r="T118" s="737"/>
      <c r="U118" s="742" t="s">
        <v>853</v>
      </c>
      <c r="V118" s="187">
        <v>0</v>
      </c>
      <c r="W118" s="187">
        <v>0</v>
      </c>
      <c r="X118" s="187">
        <v>0</v>
      </c>
      <c r="Y118" s="876">
        <f>AVERAGE(V118:X118)</f>
        <v>0</v>
      </c>
      <c r="Z118" s="187"/>
    </row>
    <row r="119" spans="2:26" ht="13">
      <c r="B119" s="736" t="s">
        <v>864</v>
      </c>
      <c r="C119" s="237"/>
      <c r="D119" s="237"/>
      <c r="E119" s="237"/>
      <c r="I119" s="737"/>
      <c r="J119" s="737"/>
      <c r="K119" s="737"/>
      <c r="L119" s="737"/>
      <c r="M119" s="750"/>
      <c r="N119" s="751"/>
      <c r="O119" s="740"/>
      <c r="P119" s="740"/>
      <c r="Q119" s="740"/>
      <c r="R119" s="740"/>
      <c r="S119" s="740"/>
      <c r="T119" s="740"/>
      <c r="U119" s="742"/>
      <c r="V119" s="268"/>
      <c r="W119" s="187"/>
      <c r="X119" s="187"/>
      <c r="Y119" s="876"/>
      <c r="Z119" s="187"/>
    </row>
    <row r="120" spans="2:26">
      <c r="B120" s="744" t="str">
        <f>B109</f>
        <v>New assets in 2026</v>
      </c>
      <c r="C120" s="234"/>
      <c r="D120" s="234"/>
      <c r="E120" s="234"/>
      <c r="I120" s="737"/>
      <c r="J120" s="737"/>
      <c r="K120" s="737"/>
      <c r="L120" s="737"/>
      <c r="M120" s="737"/>
      <c r="N120" s="738"/>
      <c r="O120" s="737">
        <f t="shared" ref="O120:R122" si="100">IFERROR(O$118/O$143,0)</f>
        <v>0</v>
      </c>
      <c r="P120" s="737">
        <f t="shared" si="100"/>
        <v>0</v>
      </c>
      <c r="Q120" s="737">
        <f t="shared" si="100"/>
        <v>0</v>
      </c>
      <c r="R120" s="737">
        <f t="shared" si="100"/>
        <v>0</v>
      </c>
      <c r="S120" s="737"/>
      <c r="T120" s="737"/>
      <c r="W120" s="187"/>
      <c r="X120" s="187"/>
      <c r="Y120" s="187"/>
      <c r="Z120" s="187"/>
    </row>
    <row r="121" spans="2:26">
      <c r="B121" s="744" t="str">
        <f t="shared" ref="B121:B125" si="101">B110</f>
        <v>New assets in 2027</v>
      </c>
      <c r="C121" s="234"/>
      <c r="D121" s="234"/>
      <c r="E121" s="234"/>
      <c r="I121" s="737"/>
      <c r="J121" s="737"/>
      <c r="K121" s="737"/>
      <c r="L121" s="737"/>
      <c r="M121" s="737"/>
      <c r="N121" s="738"/>
      <c r="O121" s="737">
        <f t="shared" si="100"/>
        <v>0</v>
      </c>
      <c r="P121" s="737">
        <f t="shared" si="100"/>
        <v>0</v>
      </c>
      <c r="Q121" s="737">
        <f t="shared" si="100"/>
        <v>0</v>
      </c>
      <c r="R121" s="737">
        <f t="shared" si="100"/>
        <v>0</v>
      </c>
      <c r="S121" s="737"/>
      <c r="T121" s="737"/>
      <c r="W121" s="187"/>
      <c r="X121" s="187"/>
      <c r="Y121" s="187"/>
      <c r="Z121" s="187"/>
    </row>
    <row r="122" spans="2:26">
      <c r="B122" s="744" t="str">
        <f t="shared" si="101"/>
        <v>New assets in 2028</v>
      </c>
      <c r="C122" s="234"/>
      <c r="D122" s="234"/>
      <c r="E122" s="234"/>
      <c r="I122" s="737"/>
      <c r="J122" s="737"/>
      <c r="K122" s="737"/>
      <c r="L122" s="737"/>
      <c r="M122" s="737"/>
      <c r="N122" s="752"/>
      <c r="O122" s="737">
        <f t="shared" si="100"/>
        <v>0</v>
      </c>
      <c r="P122" s="737">
        <f t="shared" si="100"/>
        <v>0</v>
      </c>
      <c r="Q122" s="737">
        <f t="shared" si="100"/>
        <v>0</v>
      </c>
      <c r="R122" s="737">
        <f t="shared" si="100"/>
        <v>0</v>
      </c>
      <c r="S122" s="737"/>
      <c r="T122" s="737"/>
    </row>
    <row r="123" spans="2:26">
      <c r="B123" s="744" t="str">
        <f t="shared" si="101"/>
        <v>New assets in 2029</v>
      </c>
      <c r="C123" s="234"/>
      <c r="D123" s="234"/>
      <c r="E123" s="234"/>
      <c r="I123" s="737"/>
      <c r="J123" s="737"/>
      <c r="K123" s="737"/>
      <c r="L123" s="737"/>
      <c r="M123" s="737"/>
      <c r="N123" s="752"/>
      <c r="O123" s="745"/>
      <c r="P123" s="737">
        <f>IFERROR(P$118/P$143,0)</f>
        <v>0</v>
      </c>
      <c r="Q123" s="737">
        <f>IFERROR(Q$118/Q$143,0)</f>
        <v>0</v>
      </c>
      <c r="R123" s="737">
        <f>IFERROR(R$118/R$143,0)</f>
        <v>0</v>
      </c>
      <c r="S123" s="737"/>
      <c r="T123" s="737"/>
    </row>
    <row r="124" spans="2:26" ht="13">
      <c r="B124" s="744" t="str">
        <f t="shared" si="101"/>
        <v>New assets in 2030</v>
      </c>
      <c r="C124" s="234"/>
      <c r="D124" s="234"/>
      <c r="E124" s="234"/>
      <c r="I124" s="737"/>
      <c r="J124" s="737"/>
      <c r="K124" s="737"/>
      <c r="L124" s="747"/>
      <c r="M124" s="737"/>
      <c r="N124" s="752"/>
      <c r="O124" s="745"/>
      <c r="P124" s="745"/>
      <c r="Q124" s="737">
        <f>IFERROR(Q$118/Q$143,0)</f>
        <v>0</v>
      </c>
      <c r="R124" s="737">
        <f>IFERROR(R$118/R$143,0)</f>
        <v>0</v>
      </c>
      <c r="S124" s="737"/>
      <c r="T124" s="737"/>
    </row>
    <row r="125" spans="2:26" ht="13">
      <c r="B125" s="744" t="str">
        <f t="shared" si="101"/>
        <v>New assets in 2031</v>
      </c>
      <c r="C125" s="234"/>
      <c r="D125" s="234"/>
      <c r="E125" s="234"/>
      <c r="I125" s="737"/>
      <c r="J125" s="737"/>
      <c r="K125" s="737"/>
      <c r="L125" s="747"/>
      <c r="M125" s="737"/>
      <c r="N125" s="752"/>
      <c r="O125" s="745"/>
      <c r="P125" s="745"/>
      <c r="Q125" s="737"/>
      <c r="R125" s="737"/>
      <c r="S125" s="737"/>
      <c r="T125" s="737"/>
    </row>
    <row r="126" spans="2:26" ht="13">
      <c r="B126" s="736" t="s">
        <v>862</v>
      </c>
      <c r="C126" s="237"/>
      <c r="D126" s="237"/>
      <c r="E126" s="237"/>
      <c r="I126" s="737"/>
      <c r="J126" s="737"/>
      <c r="K126" s="747"/>
      <c r="L126" s="747"/>
      <c r="M126" s="753"/>
      <c r="N126" s="754"/>
      <c r="O126" s="755">
        <f t="shared" ref="O126:Q126" si="102">SUM(O120:O124)</f>
        <v>0</v>
      </c>
      <c r="P126" s="755">
        <f t="shared" si="102"/>
        <v>0</v>
      </c>
      <c r="Q126" s="755">
        <f t="shared" si="102"/>
        <v>0</v>
      </c>
      <c r="R126" s="755">
        <f t="shared" ref="R126" si="103">SUM(R120:R124)</f>
        <v>0</v>
      </c>
      <c r="S126" s="755"/>
      <c r="T126" s="755"/>
    </row>
    <row r="127" spans="2:26" ht="13">
      <c r="B127" s="736"/>
      <c r="C127" s="237"/>
      <c r="D127" s="237"/>
      <c r="E127" s="237"/>
      <c r="I127" s="737"/>
      <c r="J127" s="737"/>
      <c r="K127" s="747"/>
      <c r="L127" s="747"/>
      <c r="M127" s="753"/>
      <c r="N127" s="754"/>
      <c r="O127" s="753"/>
      <c r="P127" s="753"/>
      <c r="Q127" s="753"/>
      <c r="R127" s="753"/>
      <c r="S127" s="753"/>
      <c r="T127" s="753"/>
    </row>
    <row r="128" spans="2:26" ht="13">
      <c r="B128" s="736"/>
      <c r="C128" s="237"/>
      <c r="D128" s="237"/>
      <c r="E128" s="237"/>
      <c r="I128" s="737"/>
      <c r="J128" s="737"/>
      <c r="K128" s="747"/>
      <c r="L128" s="747"/>
      <c r="M128" s="753"/>
      <c r="N128" s="754"/>
      <c r="O128" s="753"/>
      <c r="P128" s="753"/>
      <c r="Q128" s="753"/>
      <c r="R128" s="753"/>
      <c r="S128" s="753"/>
      <c r="T128" s="753"/>
      <c r="V128" s="739">
        <v>2021</v>
      </c>
      <c r="W128" s="739">
        <v>2022</v>
      </c>
      <c r="X128" s="739">
        <f>X117</f>
        <v>2024</v>
      </c>
      <c r="Y128" s="739" t="s">
        <v>851</v>
      </c>
    </row>
    <row r="129" spans="1:31" ht="13">
      <c r="B129" s="736" t="s">
        <v>865</v>
      </c>
      <c r="C129" s="237"/>
      <c r="D129" s="237"/>
      <c r="E129" s="237"/>
      <c r="I129" s="737"/>
      <c r="J129" s="737"/>
      <c r="K129" s="747"/>
      <c r="L129" s="747"/>
      <c r="M129" s="737"/>
      <c r="N129" s="738"/>
      <c r="O129" s="737">
        <f t="shared" ref="O129:T129" si="104">-O156+($Y129)*(1.03^O$95)</f>
        <v>217.83813333333333</v>
      </c>
      <c r="P129" s="737">
        <f t="shared" si="104"/>
        <v>224.37327733333333</v>
      </c>
      <c r="Q129" s="737">
        <f t="shared" si="104"/>
        <v>231.10447565333334</v>
      </c>
      <c r="R129" s="737">
        <f t="shared" si="104"/>
        <v>238.03760992293331</v>
      </c>
      <c r="S129" s="737">
        <f t="shared" si="104"/>
        <v>245.17873822062134</v>
      </c>
      <c r="T129" s="737">
        <f t="shared" si="104"/>
        <v>252.53410036723997</v>
      </c>
      <c r="U129" s="742" t="s">
        <v>853</v>
      </c>
      <c r="V129" s="640">
        <v>0</v>
      </c>
      <c r="W129" s="640">
        <v>0</v>
      </c>
      <c r="X129" s="640">
        <v>616</v>
      </c>
      <c r="Y129" s="743">
        <f>AVERAGE(V129:X129)</f>
        <v>205.33333333333334</v>
      </c>
    </row>
    <row r="130" spans="1:31" ht="13">
      <c r="B130" s="736" t="s">
        <v>866</v>
      </c>
      <c r="C130" s="237"/>
      <c r="D130" s="237"/>
      <c r="E130" s="237"/>
      <c r="I130" s="737"/>
      <c r="J130" s="737"/>
      <c r="K130" s="747"/>
      <c r="L130" s="747"/>
      <c r="M130" s="747"/>
      <c r="N130" s="748"/>
      <c r="O130" s="747"/>
      <c r="P130" s="747"/>
      <c r="Q130" s="747"/>
      <c r="R130" s="747"/>
      <c r="S130" s="747"/>
      <c r="T130" s="747"/>
    </row>
    <row r="131" spans="1:31" ht="13">
      <c r="B131" s="744" t="str">
        <f>B99</f>
        <v>New assets in 2026</v>
      </c>
      <c r="C131" s="234"/>
      <c r="D131" s="234"/>
      <c r="E131" s="234"/>
      <c r="I131" s="737"/>
      <c r="J131" s="737"/>
      <c r="K131" s="747"/>
      <c r="L131" s="737"/>
      <c r="M131" s="737"/>
      <c r="N131" s="738"/>
      <c r="O131" s="737">
        <f t="shared" ref="O131:R133" si="105">IFERROR(O$129/O$144,0)</f>
        <v>7.9578384711968573</v>
      </c>
      <c r="P131" s="737">
        <f t="shared" si="105"/>
        <v>8.1965736253327641</v>
      </c>
      <c r="Q131" s="737">
        <f t="shared" si="105"/>
        <v>8.442470834092747</v>
      </c>
      <c r="R131" s="737">
        <f>IFERROR(R$129/R$144,0)</f>
        <v>8.6957449591155278</v>
      </c>
      <c r="S131" s="737"/>
      <c r="T131" s="737"/>
    </row>
    <row r="132" spans="1:31" ht="13">
      <c r="B132" s="744" t="str">
        <f t="shared" ref="B132:B136" si="106">B100</f>
        <v>New assets in 2027</v>
      </c>
      <c r="C132" s="234"/>
      <c r="D132" s="234"/>
      <c r="E132" s="234"/>
      <c r="I132" s="737"/>
      <c r="J132" s="737"/>
      <c r="K132" s="747"/>
      <c r="L132" s="737"/>
      <c r="M132" s="737"/>
      <c r="N132" s="738"/>
      <c r="O132" s="737">
        <f t="shared" si="105"/>
        <v>7.9578384711968573</v>
      </c>
      <c r="P132" s="737">
        <f t="shared" si="105"/>
        <v>8.1965736253327641</v>
      </c>
      <c r="Q132" s="737">
        <f t="shared" si="105"/>
        <v>8.442470834092747</v>
      </c>
      <c r="R132" s="737">
        <f t="shared" si="105"/>
        <v>8.6957449591155278</v>
      </c>
      <c r="S132" s="737"/>
      <c r="T132" s="737"/>
    </row>
    <row r="133" spans="1:31" ht="13">
      <c r="B133" s="744" t="str">
        <f t="shared" si="106"/>
        <v>New assets in 2028</v>
      </c>
      <c r="C133" s="234"/>
      <c r="D133" s="234"/>
      <c r="E133" s="234"/>
      <c r="I133" s="737"/>
      <c r="J133" s="737"/>
      <c r="K133" s="747"/>
      <c r="L133" s="737"/>
      <c r="M133" s="737"/>
      <c r="N133" s="738"/>
      <c r="O133" s="737">
        <f t="shared" si="105"/>
        <v>7.9578384711968573</v>
      </c>
      <c r="P133" s="737">
        <f t="shared" si="105"/>
        <v>8.1965736253327641</v>
      </c>
      <c r="Q133" s="737">
        <f t="shared" si="105"/>
        <v>8.442470834092747</v>
      </c>
      <c r="R133" s="737">
        <f t="shared" si="105"/>
        <v>8.6957449591155278</v>
      </c>
      <c r="S133" s="737"/>
      <c r="T133" s="737"/>
    </row>
    <row r="134" spans="1:31" ht="13">
      <c r="B134" s="744" t="str">
        <f t="shared" si="106"/>
        <v>New assets in 2029</v>
      </c>
      <c r="C134" s="234"/>
      <c r="D134" s="234"/>
      <c r="E134" s="234"/>
      <c r="I134" s="737"/>
      <c r="J134" s="737"/>
      <c r="K134" s="747"/>
      <c r="L134" s="737"/>
      <c r="M134" s="737"/>
      <c r="N134" s="738"/>
      <c r="O134" s="737"/>
      <c r="P134" s="737">
        <f>IFERROR(P$129/P$144,0)</f>
        <v>8.1965736253327641</v>
      </c>
      <c r="Q134" s="737">
        <f>IFERROR(Q$129/Q$144,0)</f>
        <v>8.442470834092747</v>
      </c>
      <c r="R134" s="737">
        <f>IFERROR(R$129/R$144,0)</f>
        <v>8.6957449591155278</v>
      </c>
      <c r="S134" s="737"/>
      <c r="T134" s="737"/>
    </row>
    <row r="135" spans="1:31" ht="13">
      <c r="B135" s="744" t="str">
        <f t="shared" si="106"/>
        <v>New assets in 2030</v>
      </c>
      <c r="C135" s="234"/>
      <c r="D135" s="234"/>
      <c r="E135" s="234"/>
      <c r="I135" s="737"/>
      <c r="J135" s="737"/>
      <c r="K135" s="747"/>
      <c r="L135" s="737"/>
      <c r="M135" s="737"/>
      <c r="N135" s="738"/>
      <c r="O135" s="737"/>
      <c r="P135" s="737"/>
      <c r="Q135" s="737">
        <f>IFERROR(Q$129/Q$144,0)</f>
        <v>8.442470834092747</v>
      </c>
      <c r="R135" s="737">
        <f>IFERROR(R$129/R$144,0)</f>
        <v>8.6957449591155278</v>
      </c>
      <c r="S135" s="737"/>
      <c r="T135" s="737"/>
    </row>
    <row r="136" spans="1:31" ht="13">
      <c r="B136" s="744" t="str">
        <f t="shared" si="106"/>
        <v>New assets in 2031</v>
      </c>
      <c r="C136" s="234"/>
      <c r="D136" s="234"/>
      <c r="E136" s="234"/>
      <c r="I136" s="737"/>
      <c r="J136" s="737"/>
      <c r="K136" s="747"/>
      <c r="L136" s="737"/>
      <c r="M136" s="737"/>
      <c r="N136" s="738"/>
      <c r="O136" s="737"/>
      <c r="P136" s="737"/>
      <c r="Q136" s="737"/>
      <c r="R136" s="737"/>
      <c r="S136" s="737"/>
      <c r="T136" s="737"/>
    </row>
    <row r="137" spans="1:31" s="722" customFormat="1" ht="13">
      <c r="A137" s="237"/>
      <c r="B137" s="736" t="s">
        <v>859</v>
      </c>
      <c r="C137" s="237"/>
      <c r="D137" s="237"/>
      <c r="E137" s="237"/>
      <c r="F137" s="237"/>
      <c r="G137" s="237"/>
      <c r="H137" s="237"/>
      <c r="I137" s="747"/>
      <c r="J137" s="747"/>
      <c r="K137" s="747"/>
      <c r="L137" s="747"/>
      <c r="M137" s="747"/>
      <c r="N137" s="748"/>
      <c r="O137" s="749">
        <v>0</v>
      </c>
      <c r="P137" s="749">
        <v>0</v>
      </c>
      <c r="Q137" s="749">
        <v>0</v>
      </c>
      <c r="R137" s="749">
        <v>0</v>
      </c>
      <c r="S137" s="749"/>
      <c r="T137" s="749"/>
    </row>
    <row r="138" spans="1:31" ht="13">
      <c r="B138" s="736"/>
      <c r="C138" s="237"/>
      <c r="D138" s="237"/>
      <c r="E138" s="237"/>
      <c r="I138" s="737"/>
      <c r="J138" s="737"/>
      <c r="K138" s="737"/>
      <c r="L138" s="737"/>
      <c r="M138" s="737"/>
      <c r="N138" s="738"/>
    </row>
    <row r="139" spans="1:31" ht="13">
      <c r="B139" s="736" t="s">
        <v>867</v>
      </c>
      <c r="C139" s="237"/>
      <c r="D139" s="237"/>
      <c r="E139" s="237"/>
      <c r="I139" s="737"/>
      <c r="J139" s="737"/>
      <c r="K139" s="737"/>
      <c r="L139" s="737"/>
      <c r="M139" s="737"/>
      <c r="N139" s="738"/>
    </row>
    <row r="140" spans="1:31">
      <c r="B140" s="756" t="s">
        <v>868</v>
      </c>
      <c r="I140" s="737"/>
      <c r="J140" s="757"/>
      <c r="L140" s="758"/>
      <c r="M140" s="759"/>
      <c r="N140" s="760"/>
      <c r="O140" s="759"/>
      <c r="P140" s="759"/>
      <c r="Q140" s="759"/>
      <c r="R140" s="759"/>
      <c r="S140" s="759"/>
      <c r="T140" s="759"/>
    </row>
    <row r="141" spans="1:31">
      <c r="B141" s="744" t="s">
        <v>869</v>
      </c>
      <c r="C141" s="234"/>
      <c r="D141" s="234"/>
      <c r="E141" s="234"/>
      <c r="I141" s="737"/>
      <c r="J141" s="757"/>
      <c r="K141" s="761"/>
      <c r="L141" s="761">
        <f>L55</f>
        <v>21.72858878449761</v>
      </c>
      <c r="M141" s="761">
        <f t="shared" ref="M141" si="107">M55</f>
        <v>23.768539671019806</v>
      </c>
      <c r="N141" s="762">
        <f>N55</f>
        <v>3.9853931841403467</v>
      </c>
      <c r="O141" s="763">
        <f>AVERAGE(L141:N141)</f>
        <v>16.494173879885921</v>
      </c>
      <c r="P141" s="763">
        <f t="shared" ref="P141:T144" si="108">O141</f>
        <v>16.494173879885921</v>
      </c>
      <c r="Q141" s="763">
        <f t="shared" si="108"/>
        <v>16.494173879885921</v>
      </c>
      <c r="R141" s="763">
        <f t="shared" si="108"/>
        <v>16.494173879885921</v>
      </c>
      <c r="S141" s="763">
        <f t="shared" si="108"/>
        <v>16.494173879885921</v>
      </c>
      <c r="T141" s="763">
        <f t="shared" si="108"/>
        <v>16.494173879885921</v>
      </c>
      <c r="U141" s="764"/>
      <c r="V141" s="764"/>
      <c r="W141" s="764"/>
      <c r="X141" s="764"/>
      <c r="Y141" s="764"/>
      <c r="Z141" s="764"/>
      <c r="AA141" s="764"/>
      <c r="AB141" s="764"/>
      <c r="AC141" s="764"/>
      <c r="AD141" s="764"/>
      <c r="AE141" s="764"/>
    </row>
    <row r="142" spans="1:31">
      <c r="B142" s="744" t="s">
        <v>870</v>
      </c>
      <c r="C142" s="234"/>
      <c r="D142" s="234"/>
      <c r="E142" s="234"/>
      <c r="I142" s="737"/>
      <c r="J142" s="757"/>
      <c r="K142" s="761"/>
      <c r="L142" s="761">
        <f>L74</f>
        <v>18.69484649122807</v>
      </c>
      <c r="M142" s="761">
        <f t="shared" ref="M142:N142" si="109">M74</f>
        <v>6.4273708120386148</v>
      </c>
      <c r="N142" s="762">
        <f t="shared" si="109"/>
        <v>6.1671387544749994</v>
      </c>
      <c r="O142" s="763">
        <f>AVERAGE(M142:N142)</f>
        <v>6.2972547832568075</v>
      </c>
      <c r="P142" s="763">
        <f t="shared" si="108"/>
        <v>6.2972547832568075</v>
      </c>
      <c r="Q142" s="763">
        <f t="shared" si="108"/>
        <v>6.2972547832568075</v>
      </c>
      <c r="R142" s="763">
        <f t="shared" si="108"/>
        <v>6.2972547832568075</v>
      </c>
      <c r="S142" s="763">
        <f t="shared" si="108"/>
        <v>6.2972547832568075</v>
      </c>
      <c r="T142" s="763">
        <f t="shared" si="108"/>
        <v>6.2972547832568075</v>
      </c>
      <c r="U142" s="764"/>
      <c r="V142" s="764"/>
      <c r="W142" s="764"/>
      <c r="X142" s="764"/>
      <c r="Y142" s="764"/>
      <c r="Z142" s="764"/>
      <c r="AA142" s="764"/>
      <c r="AB142" s="764"/>
      <c r="AC142" s="764"/>
      <c r="AD142" s="764"/>
      <c r="AE142" s="764"/>
    </row>
    <row r="143" spans="1:31">
      <c r="B143" s="744" t="s">
        <v>844</v>
      </c>
      <c r="C143" s="234"/>
      <c r="D143" s="234"/>
      <c r="E143" s="234"/>
      <c r="I143" s="737"/>
      <c r="J143" s="757"/>
      <c r="K143" s="761"/>
      <c r="L143" s="761">
        <f>L82</f>
        <v>33.189866156787765</v>
      </c>
      <c r="M143" s="761">
        <f>M82</f>
        <v>33.094947569113444</v>
      </c>
      <c r="N143" s="762">
        <f t="shared" ref="N143" si="110">N82</f>
        <v>33.183521315236092</v>
      </c>
      <c r="O143" s="763">
        <f>AVERAGE(M143:N143)</f>
        <v>33.139234442174768</v>
      </c>
      <c r="P143" s="763">
        <f t="shared" si="108"/>
        <v>33.139234442174768</v>
      </c>
      <c r="Q143" s="763">
        <f t="shared" si="108"/>
        <v>33.139234442174768</v>
      </c>
      <c r="R143" s="763">
        <f t="shared" si="108"/>
        <v>33.139234442174768</v>
      </c>
      <c r="S143" s="763">
        <f t="shared" si="108"/>
        <v>33.139234442174768</v>
      </c>
      <c r="T143" s="763">
        <f t="shared" si="108"/>
        <v>33.139234442174768</v>
      </c>
    </row>
    <row r="144" spans="1:31">
      <c r="B144" s="765" t="s">
        <v>865</v>
      </c>
      <c r="C144" s="766"/>
      <c r="D144" s="766"/>
      <c r="E144" s="766"/>
      <c r="F144" s="210"/>
      <c r="G144" s="210"/>
      <c r="H144" s="210"/>
      <c r="I144" s="210"/>
      <c r="J144" s="210"/>
      <c r="K144" s="210"/>
      <c r="L144" s="767">
        <f>L91</f>
        <v>110.91939829366861</v>
      </c>
      <c r="M144" s="767">
        <f>M91</f>
        <v>27.374033052039383</v>
      </c>
      <c r="N144" s="768">
        <f>N91</f>
        <v>-1630.6098901098901</v>
      </c>
      <c r="O144" s="769">
        <f>M144</f>
        <v>27.374033052039383</v>
      </c>
      <c r="P144" s="769">
        <f t="shared" si="108"/>
        <v>27.374033052039383</v>
      </c>
      <c r="Q144" s="769">
        <f t="shared" si="108"/>
        <v>27.374033052039383</v>
      </c>
      <c r="R144" s="769">
        <f t="shared" si="108"/>
        <v>27.374033052039383</v>
      </c>
      <c r="S144" s="769">
        <f t="shared" si="108"/>
        <v>27.374033052039383</v>
      </c>
      <c r="T144" s="769">
        <f t="shared" si="108"/>
        <v>27.374033052039383</v>
      </c>
    </row>
    <row r="148" spans="2:20">
      <c r="B148" s="770"/>
      <c r="C148" s="770"/>
      <c r="D148" s="770"/>
      <c r="E148" s="770"/>
      <c r="F148" s="771"/>
      <c r="G148" s="772"/>
      <c r="H148" s="773"/>
      <c r="I148" s="773"/>
      <c r="J148" s="773"/>
      <c r="K148" s="773"/>
      <c r="L148" s="771" t="s">
        <v>871</v>
      </c>
      <c r="M148" s="716"/>
      <c r="N148" s="715"/>
      <c r="O148" s="716"/>
      <c r="P148" s="716"/>
      <c r="Q148" s="716"/>
      <c r="R148" s="716"/>
      <c r="S148" s="716"/>
      <c r="T148" s="716"/>
    </row>
    <row r="149" spans="2:20">
      <c r="B149" s="770"/>
      <c r="C149" s="770"/>
      <c r="D149" s="770"/>
      <c r="E149" s="770"/>
      <c r="F149" s="771"/>
      <c r="G149" s="772"/>
      <c r="H149" s="773"/>
      <c r="I149" s="773"/>
      <c r="J149" s="773"/>
      <c r="K149" s="773"/>
      <c r="L149" s="771"/>
      <c r="M149" s="716"/>
      <c r="N149" s="715"/>
      <c r="O149" s="716"/>
      <c r="P149" s="716"/>
      <c r="Q149" s="716"/>
      <c r="R149" s="716"/>
      <c r="S149" s="716"/>
      <c r="T149" s="716"/>
    </row>
    <row r="150" spans="2:20">
      <c r="B150" s="234"/>
      <c r="C150" s="234"/>
      <c r="D150" s="234"/>
      <c r="E150" s="234"/>
      <c r="I150" s="774"/>
      <c r="J150" s="775"/>
      <c r="K150" s="740"/>
      <c r="L150" s="740"/>
      <c r="M150" s="740"/>
      <c r="N150" s="776"/>
      <c r="O150" s="777"/>
      <c r="P150" s="740"/>
      <c r="Q150" s="740"/>
      <c r="R150" s="740"/>
      <c r="S150" s="740"/>
      <c r="T150" s="740"/>
    </row>
    <row r="151" spans="2:20" ht="13">
      <c r="B151" s="778" t="s">
        <v>872</v>
      </c>
      <c r="C151" s="779"/>
      <c r="D151" s="779"/>
      <c r="E151" s="779"/>
      <c r="F151" s="780"/>
      <c r="G151" s="780"/>
      <c r="H151" s="780"/>
      <c r="I151" s="780"/>
      <c r="J151" s="780"/>
      <c r="K151" s="780"/>
      <c r="L151" s="781"/>
      <c r="M151" s="780"/>
      <c r="N151" s="782"/>
      <c r="O151" s="780"/>
      <c r="P151" s="780"/>
      <c r="Q151" s="780"/>
      <c r="R151" s="780"/>
      <c r="S151" s="781"/>
      <c r="T151" s="781"/>
    </row>
    <row r="152" spans="2:20" ht="13">
      <c r="B152" s="783" t="s">
        <v>564</v>
      </c>
      <c r="C152" s="784"/>
      <c r="D152" s="785"/>
      <c r="E152" s="786">
        <v>80875</v>
      </c>
      <c r="F152" s="786">
        <f>E158</f>
        <v>76866</v>
      </c>
      <c r="G152" s="786">
        <f t="shared" ref="G152:N152" si="111">F158</f>
        <v>111505</v>
      </c>
      <c r="H152" s="786">
        <f t="shared" si="111"/>
        <v>144377</v>
      </c>
      <c r="I152" s="786">
        <f t="shared" si="111"/>
        <v>307773</v>
      </c>
      <c r="J152" s="786">
        <f t="shared" si="111"/>
        <v>28138</v>
      </c>
      <c r="K152" s="786">
        <f t="shared" si="111"/>
        <v>551470</v>
      </c>
      <c r="L152" s="786">
        <f t="shared" si="111"/>
        <v>133548</v>
      </c>
      <c r="M152" s="786">
        <f t="shared" si="111"/>
        <v>143919</v>
      </c>
      <c r="N152" s="786">
        <f t="shared" si="111"/>
        <v>122014</v>
      </c>
      <c r="O152" s="786">
        <f t="shared" ref="O152:T152" si="112">N158</f>
        <v>141443</v>
      </c>
      <c r="P152" s="786">
        <f t="shared" si="112"/>
        <v>114344.25</v>
      </c>
      <c r="Q152" s="786">
        <f t="shared" si="112"/>
        <v>151999.0625</v>
      </c>
      <c r="R152" s="786">
        <f t="shared" si="112"/>
        <v>160853.078125</v>
      </c>
      <c r="S152" s="786">
        <f t="shared" si="112"/>
        <v>173346.84765625</v>
      </c>
      <c r="T152" s="786">
        <f t="shared" si="112"/>
        <v>181322.8095703125</v>
      </c>
    </row>
    <row r="153" spans="2:20">
      <c r="B153" s="744" t="s">
        <v>873</v>
      </c>
      <c r="C153" s="234"/>
      <c r="D153" s="234"/>
      <c r="E153" s="218">
        <v>153943</v>
      </c>
      <c r="F153" s="218">
        <v>109531</v>
      </c>
      <c r="G153" s="218">
        <v>143200</v>
      </c>
      <c r="H153" s="470">
        <v>259570</v>
      </c>
      <c r="I153" s="470">
        <v>300190</v>
      </c>
      <c r="J153" s="470">
        <v>576174</v>
      </c>
      <c r="K153" s="470">
        <v>301760</v>
      </c>
      <c r="L153" s="866">
        <v>198150</v>
      </c>
      <c r="M153" s="595">
        <v>115955</v>
      </c>
      <c r="N153" s="867">
        <v>176177</v>
      </c>
      <c r="O153" s="787">
        <f>AVERAGE(K153:N153)</f>
        <v>198010.5</v>
      </c>
      <c r="P153" s="787">
        <f t="shared" ref="P153:T155" si="113">AVERAGE(L153:O153)</f>
        <v>172073.125</v>
      </c>
      <c r="Q153" s="787">
        <f t="shared" si="113"/>
        <v>165553.90625</v>
      </c>
      <c r="R153" s="787">
        <f t="shared" si="113"/>
        <v>177953.6328125</v>
      </c>
      <c r="S153" s="787">
        <f t="shared" si="113"/>
        <v>178397.791015625</v>
      </c>
      <c r="T153" s="787">
        <f t="shared" si="113"/>
        <v>173494.61376953125</v>
      </c>
    </row>
    <row r="154" spans="2:20">
      <c r="B154" s="744" t="s">
        <v>874</v>
      </c>
      <c r="C154" s="234"/>
      <c r="D154" s="234"/>
      <c r="E154" s="218">
        <v>-157952</v>
      </c>
      <c r="F154" s="218">
        <v>-69271</v>
      </c>
      <c r="G154" s="218">
        <v>-109860</v>
      </c>
      <c r="H154" s="470">
        <v>-87260</v>
      </c>
      <c r="I154" s="470">
        <v>-573717</v>
      </c>
      <c r="J154" s="470">
        <v>-52246</v>
      </c>
      <c r="K154" s="470">
        <v>-586909</v>
      </c>
      <c r="L154" s="866">
        <v>-35444</v>
      </c>
      <c r="M154" s="595">
        <v>-77761</v>
      </c>
      <c r="N154" s="867">
        <v>-137441</v>
      </c>
      <c r="O154" s="787">
        <f>AVERAGE(K154:N154)</f>
        <v>-209388.75</v>
      </c>
      <c r="P154" s="787">
        <f t="shared" si="113"/>
        <v>-115008.6875</v>
      </c>
      <c r="Q154" s="787">
        <f t="shared" si="113"/>
        <v>-134899.859375</v>
      </c>
      <c r="R154" s="787">
        <f t="shared" si="113"/>
        <v>-149184.57421875</v>
      </c>
      <c r="S154" s="787">
        <f t="shared" si="113"/>
        <v>-152120.4677734375</v>
      </c>
      <c r="T154" s="787">
        <f t="shared" si="113"/>
        <v>-137803.39721679688</v>
      </c>
    </row>
    <row r="155" spans="2:20">
      <c r="B155" s="744" t="s">
        <v>875</v>
      </c>
      <c r="C155" s="234"/>
      <c r="D155" s="234"/>
      <c r="E155" s="218">
        <v>0</v>
      </c>
      <c r="F155" s="218">
        <v>0</v>
      </c>
      <c r="G155" s="218">
        <v>-467</v>
      </c>
      <c r="H155" s="470">
        <v>0</v>
      </c>
      <c r="I155" s="470">
        <v>-1062</v>
      </c>
      <c r="J155" s="470">
        <v>-2</v>
      </c>
      <c r="K155" s="470">
        <v>-964</v>
      </c>
      <c r="L155" s="866">
        <v>-9848</v>
      </c>
      <c r="M155" s="595">
        <v>-43899</v>
      </c>
      <c r="N155" s="867">
        <v>-8171</v>
      </c>
      <c r="O155" s="787">
        <f>AVERAGE(K155:N155)</f>
        <v>-15720.5</v>
      </c>
      <c r="P155" s="787">
        <f t="shared" si="113"/>
        <v>-19409.625</v>
      </c>
      <c r="Q155" s="787">
        <f t="shared" si="113"/>
        <v>-21800.03125</v>
      </c>
      <c r="R155" s="787">
        <f t="shared" si="113"/>
        <v>-16275.2890625</v>
      </c>
      <c r="S155" s="787">
        <f t="shared" si="113"/>
        <v>-18301.361328125</v>
      </c>
      <c r="T155" s="787">
        <f t="shared" si="113"/>
        <v>-18946.57666015625</v>
      </c>
    </row>
    <row r="156" spans="2:20">
      <c r="B156" s="744" t="s">
        <v>876</v>
      </c>
      <c r="C156" s="234"/>
      <c r="D156" s="234"/>
      <c r="E156" s="218">
        <v>0</v>
      </c>
      <c r="F156" s="218">
        <v>0</v>
      </c>
      <c r="G156" s="218">
        <v>0</v>
      </c>
      <c r="H156" s="470">
        <v>0</v>
      </c>
      <c r="I156" s="470">
        <v>0</v>
      </c>
      <c r="J156" s="470">
        <v>0</v>
      </c>
      <c r="K156" s="470">
        <v>-111615</v>
      </c>
      <c r="L156" s="866">
        <v>-133537</v>
      </c>
      <c r="M156" s="866"/>
      <c r="N156" s="867">
        <v>0</v>
      </c>
    </row>
    <row r="157" spans="2:20">
      <c r="B157" s="744" t="s">
        <v>877</v>
      </c>
      <c r="C157" s="234"/>
      <c r="D157" s="234"/>
      <c r="E157" s="218">
        <v>0</v>
      </c>
      <c r="F157" s="218">
        <v>-5621</v>
      </c>
      <c r="G157" s="218">
        <v>0</v>
      </c>
      <c r="H157" s="470">
        <v>-8914</v>
      </c>
      <c r="I157" s="470">
        <v>-5046</v>
      </c>
      <c r="J157" s="470">
        <v>-593</v>
      </c>
      <c r="K157" s="470">
        <v>-20194</v>
      </c>
      <c r="L157" s="866">
        <v>-8950</v>
      </c>
      <c r="M157" s="595">
        <v>-16200</v>
      </c>
      <c r="N157" s="867">
        <v>-11136</v>
      </c>
    </row>
    <row r="158" spans="2:20" ht="13">
      <c r="B158" s="783" t="s">
        <v>573</v>
      </c>
      <c r="C158" s="785"/>
      <c r="D158" s="785"/>
      <c r="E158" s="865">
        <f>SUM(E152:E157)</f>
        <v>76866</v>
      </c>
      <c r="F158" s="865">
        <f t="shared" ref="F158" si="114">SUM(F152:F157)</f>
        <v>111505</v>
      </c>
      <c r="G158" s="865">
        <f>SUM(G152:G157)-1</f>
        <v>144377</v>
      </c>
      <c r="H158" s="788">
        <f>SUM(H152:H157)</f>
        <v>307773</v>
      </c>
      <c r="I158" s="788">
        <f>SUM(I152:I157)</f>
        <v>28138</v>
      </c>
      <c r="J158" s="788">
        <f>SUM(J152:J157)-1</f>
        <v>551470</v>
      </c>
      <c r="K158" s="788">
        <f t="shared" ref="K158:P158" si="115">SUM(K152:K157)</f>
        <v>133548</v>
      </c>
      <c r="L158" s="788">
        <f t="shared" si="115"/>
        <v>143919</v>
      </c>
      <c r="M158" s="788">
        <f>SUM(M152:M157)</f>
        <v>122014</v>
      </c>
      <c r="N158" s="789">
        <f>SUM(N152:N157)</f>
        <v>141443</v>
      </c>
      <c r="O158" s="788">
        <f>SUM(O152:O157)</f>
        <v>114344.25</v>
      </c>
      <c r="P158" s="788">
        <f t="shared" si="115"/>
        <v>151999.0625</v>
      </c>
      <c r="Q158" s="788">
        <f t="shared" ref="Q158:T158" si="116">SUM(Q152:Q157)</f>
        <v>160853.078125</v>
      </c>
      <c r="R158" s="788">
        <f t="shared" si="116"/>
        <v>173346.84765625</v>
      </c>
      <c r="S158" s="788">
        <f t="shared" si="116"/>
        <v>181322.8095703125</v>
      </c>
      <c r="T158" s="788">
        <f t="shared" si="116"/>
        <v>198067.44946289063</v>
      </c>
    </row>
    <row r="159" spans="2:20" ht="14">
      <c r="B159" s="790"/>
      <c r="C159" s="791"/>
      <c r="D159" s="791"/>
      <c r="E159" s="791"/>
      <c r="F159" s="792"/>
      <c r="G159" s="792"/>
      <c r="H159" s="793"/>
      <c r="I159" s="76"/>
      <c r="J159" s="76"/>
      <c r="K159" s="793"/>
      <c r="L159" s="793"/>
      <c r="M159" s="793"/>
      <c r="N159" s="794"/>
      <c r="O159" s="793"/>
      <c r="P159" s="793"/>
      <c r="Q159" s="793"/>
      <c r="R159" s="793"/>
      <c r="S159" s="210"/>
      <c r="T159" s="793"/>
    </row>
    <row r="161" spans="1:20" ht="14">
      <c r="E161" s="172">
        <f>ROUND('1BS'!F54-FA!E158,0)</f>
        <v>1</v>
      </c>
      <c r="F161" s="172">
        <f>ROUND('1BS'!G54-FA!F158,0)</f>
        <v>1</v>
      </c>
      <c r="G161" s="172">
        <f>ROUND('1BS'!H54-FA!G158,0)</f>
        <v>1</v>
      </c>
      <c r="H161" s="172">
        <f>ROUND('1BS'!I54-FA!H158,0)</f>
        <v>1</v>
      </c>
      <c r="I161" s="172">
        <f>ROUND('1BS'!J54-FA!I158,0)</f>
        <v>1</v>
      </c>
      <c r="J161" s="172">
        <f>ROUND('1BS'!K54-FA!J158,0)</f>
        <v>1</v>
      </c>
      <c r="K161" s="172">
        <f>ROUND('1BS'!L54-FA!K158,0)</f>
        <v>0</v>
      </c>
      <c r="L161" s="172">
        <f>ROUND('1BS'!M54-FA!L158,0)</f>
        <v>0</v>
      </c>
      <c r="M161" s="172">
        <f>ROUND('1BS'!N54-FA!M158,0)</f>
        <v>0</v>
      </c>
      <c r="N161" s="186">
        <f>ROUND('1BS'!O54-FA!N158,0)</f>
        <v>0</v>
      </c>
      <c r="O161" s="172">
        <f>ROUND('1BS'!P54-FA!O158,0)</f>
        <v>0</v>
      </c>
      <c r="P161" s="172">
        <f>ROUND('1BS'!Q54-FA!P158,0)</f>
        <v>0</v>
      </c>
      <c r="Q161" s="172">
        <f>ROUND('1BS'!R54-FA!Q158,0)</f>
        <v>0</v>
      </c>
      <c r="R161" s="172">
        <f>ROUND('1BS'!S54-FA!R158,0)</f>
        <v>0</v>
      </c>
      <c r="S161" s="172">
        <f>ROUND('1BS'!T54-FA!S158,0)</f>
        <v>0</v>
      </c>
      <c r="T161" s="172">
        <f>ROUND('1BS'!U54-FA!T158,0)</f>
        <v>0</v>
      </c>
    </row>
    <row r="164" spans="1:20" ht="13">
      <c r="B164" s="237" t="s">
        <v>878</v>
      </c>
    </row>
    <row r="166" spans="1:20" ht="13">
      <c r="B166" s="640"/>
      <c r="J166" s="922"/>
      <c r="K166" s="922"/>
      <c r="L166" s="923" t="s">
        <v>471</v>
      </c>
      <c r="S166" s="640"/>
      <c r="T166" s="640"/>
    </row>
    <row r="167" spans="1:20">
      <c r="J167" s="922" t="s">
        <v>879</v>
      </c>
      <c r="K167" s="922"/>
      <c r="L167" s="922"/>
      <c r="S167" s="640"/>
      <c r="T167" s="640"/>
    </row>
    <row r="168" spans="1:20">
      <c r="J168" s="922" t="s">
        <v>880</v>
      </c>
      <c r="K168" s="922"/>
      <c r="L168" s="922"/>
      <c r="S168" s="640"/>
      <c r="T168" s="640"/>
    </row>
    <row r="169" spans="1:20">
      <c r="J169" s="922" t="s">
        <v>881</v>
      </c>
      <c r="K169" s="922"/>
      <c r="L169" s="922"/>
      <c r="S169" s="640"/>
      <c r="T169" s="640"/>
    </row>
    <row r="170" spans="1:20" s="722" customFormat="1" ht="13">
      <c r="A170" s="237"/>
      <c r="B170" s="237"/>
      <c r="C170" s="237"/>
      <c r="D170" s="237"/>
      <c r="E170" s="237"/>
      <c r="F170" s="237"/>
      <c r="G170" s="237"/>
      <c r="H170" s="237"/>
      <c r="I170" s="237"/>
      <c r="J170" s="922" t="s">
        <v>882</v>
      </c>
      <c r="K170" s="923"/>
      <c r="L170" s="923"/>
      <c r="M170" s="237"/>
      <c r="N170" s="504"/>
      <c r="O170" s="237"/>
      <c r="P170" s="237"/>
      <c r="Q170" s="237"/>
      <c r="R170" s="237"/>
    </row>
    <row r="171" spans="1:20">
      <c r="J171" s="922" t="s">
        <v>572</v>
      </c>
      <c r="K171" s="922"/>
      <c r="L171" s="922"/>
      <c r="S171" s="640"/>
      <c r="T171" s="640"/>
    </row>
    <row r="172" spans="1:20">
      <c r="J172" s="922"/>
      <c r="K172" s="922"/>
      <c r="L172" s="922"/>
      <c r="S172" s="640"/>
      <c r="T172" s="640"/>
    </row>
    <row r="175" spans="1:20" ht="13">
      <c r="B175" s="237"/>
      <c r="C175" s="237"/>
      <c r="D175" s="237"/>
      <c r="E175" s="237"/>
      <c r="I175" s="740"/>
      <c r="J175" s="740"/>
      <c r="K175" s="740"/>
      <c r="L175" s="740"/>
      <c r="M175" s="740"/>
      <c r="N175" s="881"/>
      <c r="O175" s="740"/>
      <c r="P175" s="740"/>
      <c r="Q175" s="740"/>
      <c r="R175" s="740"/>
      <c r="S175" s="740"/>
    </row>
    <row r="178" spans="26:30" ht="13">
      <c r="AD178" s="743"/>
    </row>
    <row r="179" spans="26:30">
      <c r="Z179" s="746"/>
      <c r="AA179" s="746"/>
      <c r="AB179" s="746"/>
      <c r="AC179" s="746"/>
      <c r="AD179" s="746"/>
    </row>
    <row r="180" spans="26:30">
      <c r="Z180" s="746"/>
      <c r="AA180" s="746"/>
    </row>
    <row r="184" spans="26:30" ht="13">
      <c r="Z184" s="722"/>
      <c r="AA184" s="722"/>
      <c r="AB184" s="722"/>
      <c r="AC184" s="722"/>
      <c r="AD184" s="722"/>
    </row>
    <row r="185" spans="26:30" ht="13">
      <c r="Z185" s="722"/>
      <c r="AA185" s="722"/>
      <c r="AB185" s="722"/>
      <c r="AC185" s="722"/>
      <c r="AD185" s="722"/>
    </row>
    <row r="187" spans="26:30" ht="13">
      <c r="AD187" s="743"/>
    </row>
  </sheetData>
  <mergeCells count="2">
    <mergeCell ref="G3:N3"/>
    <mergeCell ref="O3:T3"/>
  </mergeCells>
  <phoneticPr fontId="73" type="noConversion"/>
  <conditionalFormatting sqref="E161:T161">
    <cfRule type="cellIs" dxfId="7" priority="1" operator="notEqual">
      <formula>0</formula>
    </cfRule>
    <cfRule type="cellIs" dxfId="6" priority="2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3C28-86BB-4F62-96D4-FB71CE4AF366}">
  <sheetPr>
    <tabColor theme="5" tint="0.59999389629810485"/>
  </sheetPr>
  <dimension ref="B2:AG102"/>
  <sheetViews>
    <sheetView zoomScale="60" zoomScaleNormal="60"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A31" sqref="A31:XFD48"/>
    </sheetView>
  </sheetViews>
  <sheetFormatPr defaultRowHeight="14" outlineLevelRow="1"/>
  <cols>
    <col min="1" max="1" width="3.4140625" customWidth="1"/>
    <col min="2" max="2" width="42.4140625" customWidth="1"/>
    <col min="3" max="4" width="9.9140625" bestFit="1" customWidth="1"/>
    <col min="5" max="5" width="10.25" bestFit="1" customWidth="1"/>
    <col min="6" max="7" width="8.75" bestFit="1" customWidth="1"/>
    <col min="8" max="8" width="9.9140625" bestFit="1" customWidth="1"/>
    <col min="9" max="10" width="9.1640625" bestFit="1" customWidth="1"/>
    <col min="11" max="11" width="9.9140625" bestFit="1" customWidth="1"/>
    <col min="12" max="13" width="9.1640625" bestFit="1" customWidth="1"/>
    <col min="14" max="14" width="9.1640625" style="40" bestFit="1" customWidth="1"/>
    <col min="15" max="20" width="9.75" customWidth="1"/>
    <col min="21" max="21" width="22.25" bestFit="1" customWidth="1"/>
  </cols>
  <sheetData>
    <row r="2" spans="2:26">
      <c r="B2" s="116"/>
      <c r="H2" s="795"/>
      <c r="I2" s="795"/>
      <c r="J2" s="795"/>
      <c r="K2" s="795"/>
      <c r="L2" s="795"/>
      <c r="M2" s="795"/>
      <c r="N2" s="796"/>
      <c r="O2" s="795"/>
      <c r="P2" s="795"/>
      <c r="Q2" s="795"/>
      <c r="R2" s="795"/>
    </row>
    <row r="3" spans="2:26">
      <c r="B3" s="169" t="s">
        <v>883</v>
      </c>
      <c r="H3" s="797"/>
      <c r="I3" s="798">
        <f>I5/H5-1</f>
        <v>-0.19931669372535732</v>
      </c>
      <c r="J3" s="798">
        <f t="shared" ref="J3:K3" si="0">J5/I5-1</f>
        <v>-0.28308277126769477</v>
      </c>
      <c r="K3" s="798">
        <f t="shared" si="0"/>
        <v>1.0470371038023782</v>
      </c>
      <c r="L3" s="799">
        <f>L5/K5-1</f>
        <v>-0.19509858402188796</v>
      </c>
      <c r="M3" s="177"/>
      <c r="N3" s="800"/>
      <c r="O3" s="177"/>
      <c r="P3" s="177"/>
      <c r="Q3" s="177"/>
      <c r="R3" s="177"/>
      <c r="S3" s="76"/>
      <c r="T3" s="76"/>
    </row>
    <row r="4" spans="2:26">
      <c r="B4" s="801" t="s">
        <v>883</v>
      </c>
      <c r="C4" s="606">
        <v>2014</v>
      </c>
      <c r="D4" s="606">
        <f>C4+1</f>
        <v>2015</v>
      </c>
      <c r="E4" s="606">
        <f t="shared" ref="E4:Q4" si="1">D4+1</f>
        <v>2016</v>
      </c>
      <c r="F4" s="606">
        <f t="shared" si="1"/>
        <v>2017</v>
      </c>
      <c r="G4" s="606">
        <f t="shared" si="1"/>
        <v>2018</v>
      </c>
      <c r="H4" s="606">
        <f t="shared" si="1"/>
        <v>2019</v>
      </c>
      <c r="I4" s="606">
        <f t="shared" si="1"/>
        <v>2020</v>
      </c>
      <c r="J4" s="606">
        <f t="shared" si="1"/>
        <v>2021</v>
      </c>
      <c r="K4" s="606">
        <f t="shared" si="1"/>
        <v>2022</v>
      </c>
      <c r="L4" s="606">
        <f t="shared" si="1"/>
        <v>2023</v>
      </c>
      <c r="M4" s="606">
        <f t="shared" si="1"/>
        <v>2024</v>
      </c>
      <c r="N4" s="607">
        <f t="shared" si="1"/>
        <v>2025</v>
      </c>
      <c r="O4" s="606">
        <f t="shared" si="1"/>
        <v>2026</v>
      </c>
      <c r="P4" s="606">
        <f t="shared" si="1"/>
        <v>2027</v>
      </c>
      <c r="Q4" s="606">
        <f t="shared" si="1"/>
        <v>2028</v>
      </c>
      <c r="R4" s="608">
        <f>Q4+1</f>
        <v>2029</v>
      </c>
      <c r="S4" s="608">
        <f t="shared" ref="S4" si="2">R4+1</f>
        <v>2030</v>
      </c>
      <c r="T4" s="607">
        <f>S4+1</f>
        <v>2031</v>
      </c>
    </row>
    <row r="5" spans="2:26">
      <c r="B5" s="802" t="s">
        <v>884</v>
      </c>
      <c r="C5" s="882">
        <f t="shared" ref="C5:Q5" si="3">SUM(C6:C9)</f>
        <v>437367</v>
      </c>
      <c r="D5" s="882">
        <f t="shared" si="3"/>
        <v>1051664</v>
      </c>
      <c r="E5" s="882">
        <f t="shared" si="3"/>
        <v>1042309</v>
      </c>
      <c r="F5" s="882">
        <f t="shared" si="3"/>
        <v>722903</v>
      </c>
      <c r="G5" s="882">
        <f t="shared" si="3"/>
        <v>594242</v>
      </c>
      <c r="H5" s="869">
        <f t="shared" si="3"/>
        <v>560510</v>
      </c>
      <c r="I5" s="869">
        <f t="shared" si="3"/>
        <v>448791</v>
      </c>
      <c r="J5" s="869">
        <f t="shared" si="3"/>
        <v>321746</v>
      </c>
      <c r="K5" s="869">
        <f t="shared" si="3"/>
        <v>658626</v>
      </c>
      <c r="L5" s="869">
        <f t="shared" si="3"/>
        <v>530129</v>
      </c>
      <c r="M5" s="869">
        <f>SUM(M6:M8)</f>
        <v>245383</v>
      </c>
      <c r="N5" s="870">
        <f>SUM(N6:N9)</f>
        <v>267584</v>
      </c>
      <c r="O5" s="803">
        <f t="shared" si="3"/>
        <v>293301.6330389636</v>
      </c>
      <c r="P5" s="803">
        <f t="shared" si="3"/>
        <v>319701.62997069088</v>
      </c>
      <c r="Q5" s="803">
        <f t="shared" si="3"/>
        <v>348490.16372803884</v>
      </c>
      <c r="R5" s="803">
        <f t="shared" ref="R5:T5" si="4">SUM(R6:R9)</f>
        <v>379883.33691821987</v>
      </c>
      <c r="S5" s="803">
        <f t="shared" si="4"/>
        <v>414116.80400812178</v>
      </c>
      <c r="T5" s="804">
        <f t="shared" si="4"/>
        <v>451447.54027666652</v>
      </c>
    </row>
    <row r="6" spans="2:26">
      <c r="B6" s="163" t="s">
        <v>885</v>
      </c>
      <c r="C6" s="883">
        <v>279216</v>
      </c>
      <c r="D6" s="883">
        <v>757245</v>
      </c>
      <c r="E6" s="883">
        <v>1030104</v>
      </c>
      <c r="F6" s="883">
        <v>720042</v>
      </c>
      <c r="G6" s="883">
        <v>584502</v>
      </c>
      <c r="H6" s="872">
        <v>504913</v>
      </c>
      <c r="I6" s="868">
        <v>439214</v>
      </c>
      <c r="J6" s="868">
        <v>313076</v>
      </c>
      <c r="K6" s="868">
        <v>634983</v>
      </c>
      <c r="L6" s="868">
        <v>528900</v>
      </c>
      <c r="M6" s="868">
        <v>244000</v>
      </c>
      <c r="N6" s="871">
        <v>266076</v>
      </c>
      <c r="O6" s="899">
        <f t="shared" ref="O6:T6" si="5">O24</f>
        <v>291793.6330389636</v>
      </c>
      <c r="P6" s="899">
        <f t="shared" si="5"/>
        <v>318193.62997069088</v>
      </c>
      <c r="Q6" s="899">
        <f t="shared" si="5"/>
        <v>346982.16372803884</v>
      </c>
      <c r="R6" s="899">
        <f t="shared" si="5"/>
        <v>378375.33691821987</v>
      </c>
      <c r="S6" s="899">
        <f t="shared" si="5"/>
        <v>412608.80400812178</v>
      </c>
      <c r="T6" s="918">
        <f t="shared" si="5"/>
        <v>449939.54027666652</v>
      </c>
    </row>
    <row r="7" spans="2:26">
      <c r="B7" s="163" t="s">
        <v>886</v>
      </c>
      <c r="C7" s="883">
        <v>158151</v>
      </c>
      <c r="D7" s="883">
        <v>294419</v>
      </c>
      <c r="E7" s="883">
        <v>12205</v>
      </c>
      <c r="F7" s="883">
        <v>2861</v>
      </c>
      <c r="G7" s="883">
        <v>9740</v>
      </c>
      <c r="H7" s="872">
        <v>55597</v>
      </c>
      <c r="I7" s="868">
        <v>9577</v>
      </c>
      <c r="J7" s="868">
        <v>7598</v>
      </c>
      <c r="K7" s="868">
        <v>22475</v>
      </c>
      <c r="L7" s="805">
        <v>0</v>
      </c>
      <c r="M7" s="868">
        <v>0</v>
      </c>
      <c r="N7" s="871">
        <v>0</v>
      </c>
      <c r="O7" s="899">
        <f t="shared" ref="O7:T7" si="6">-O57</f>
        <v>0</v>
      </c>
      <c r="P7" s="899">
        <f t="shared" si="6"/>
        <v>0</v>
      </c>
      <c r="Q7" s="899">
        <f t="shared" si="6"/>
        <v>0</v>
      </c>
      <c r="R7" s="899">
        <f t="shared" si="6"/>
        <v>0</v>
      </c>
      <c r="S7" s="899">
        <f t="shared" si="6"/>
        <v>0</v>
      </c>
      <c r="T7" s="918">
        <f t="shared" si="6"/>
        <v>0</v>
      </c>
    </row>
    <row r="8" spans="2:26">
      <c r="B8" s="163" t="s">
        <v>887</v>
      </c>
      <c r="C8" s="884">
        <v>0</v>
      </c>
      <c r="D8" s="884">
        <v>0</v>
      </c>
      <c r="E8" s="884">
        <v>0</v>
      </c>
      <c r="F8" s="884">
        <v>0</v>
      </c>
      <c r="G8" s="884">
        <v>0</v>
      </c>
      <c r="H8" s="805">
        <v>0</v>
      </c>
      <c r="I8" s="805">
        <v>0</v>
      </c>
      <c r="J8" s="868">
        <v>1072</v>
      </c>
      <c r="K8" s="868">
        <v>1168</v>
      </c>
      <c r="L8" s="868">
        <v>1229</v>
      </c>
      <c r="M8" s="868">
        <v>1383</v>
      </c>
      <c r="N8" s="871">
        <v>1508</v>
      </c>
      <c r="O8" s="899">
        <f t="shared" ref="O8:T8" si="7">-O64</f>
        <v>1508</v>
      </c>
      <c r="P8" s="899">
        <f t="shared" si="7"/>
        <v>1508</v>
      </c>
      <c r="Q8" s="899">
        <f t="shared" si="7"/>
        <v>1508</v>
      </c>
      <c r="R8" s="899">
        <f t="shared" si="7"/>
        <v>1508</v>
      </c>
      <c r="S8" s="899">
        <f t="shared" si="7"/>
        <v>1508</v>
      </c>
      <c r="T8" s="918">
        <f t="shared" si="7"/>
        <v>1508</v>
      </c>
    </row>
    <row r="9" spans="2:26">
      <c r="B9" s="808" t="s">
        <v>888</v>
      </c>
      <c r="C9" s="805">
        <v>0</v>
      </c>
      <c r="D9" s="805">
        <v>0</v>
      </c>
      <c r="E9" s="805">
        <v>0</v>
      </c>
      <c r="F9" s="805">
        <v>0</v>
      </c>
      <c r="G9" s="805">
        <v>0</v>
      </c>
      <c r="H9" s="805">
        <v>0</v>
      </c>
      <c r="I9" s="805">
        <v>0</v>
      </c>
      <c r="J9" s="805">
        <v>0</v>
      </c>
      <c r="K9" s="805">
        <v>0</v>
      </c>
      <c r="L9" s="805">
        <v>0</v>
      </c>
      <c r="M9" s="805">
        <v>0</v>
      </c>
      <c r="N9" s="855">
        <v>0</v>
      </c>
      <c r="O9" s="806">
        <v>0</v>
      </c>
      <c r="P9" s="806">
        <v>0</v>
      </c>
      <c r="Q9" s="806">
        <v>0</v>
      </c>
      <c r="R9" s="806">
        <v>0</v>
      </c>
      <c r="S9" s="806">
        <v>0</v>
      </c>
      <c r="T9" s="807">
        <v>0</v>
      </c>
    </row>
    <row r="10" spans="2:26">
      <c r="B10" s="808"/>
      <c r="C10" s="159"/>
      <c r="D10" s="159"/>
      <c r="E10" s="159"/>
      <c r="F10" s="159"/>
      <c r="G10" s="159"/>
      <c r="H10" s="159"/>
      <c r="I10" s="159"/>
      <c r="J10" s="806"/>
      <c r="K10" s="806"/>
      <c r="L10" s="806"/>
      <c r="M10" s="806"/>
      <c r="N10" s="807"/>
      <c r="O10" s="806"/>
      <c r="P10" s="806"/>
      <c r="Q10" s="806"/>
      <c r="R10" s="806"/>
      <c r="S10" s="806"/>
      <c r="T10" s="807"/>
    </row>
    <row r="11" spans="2:26">
      <c r="B11" s="809" t="s">
        <v>889</v>
      </c>
      <c r="C11" s="172">
        <f>ROUND('1BS'!D80-Debt!C5,0)</f>
        <v>1</v>
      </c>
      <c r="D11" s="172">
        <f>ROUND('1BS'!E80-Debt!D5,0)</f>
        <v>1</v>
      </c>
      <c r="E11" s="172">
        <f>ROUND('1BS'!F80-Debt!E5,0)</f>
        <v>1</v>
      </c>
      <c r="F11" s="172">
        <f>ROUND('1BS'!G80-Debt!F5,0)</f>
        <v>1</v>
      </c>
      <c r="G11" s="172">
        <f>ROUND('1BS'!H80-Debt!G5,0)</f>
        <v>1</v>
      </c>
      <c r="H11" s="172">
        <f>ROUND('1BS'!I80-Debt!H5,0)</f>
        <v>1</v>
      </c>
      <c r="I11" s="172">
        <f>ROUND('1BS'!J80-Debt!I5,0)</f>
        <v>1</v>
      </c>
      <c r="J11" s="172">
        <f>ROUND('1BS'!K80-Debt!J5,0)</f>
        <v>0</v>
      </c>
      <c r="K11" s="172">
        <f>ROUND('1BS'!L80-Debt!K5,0)</f>
        <v>0</v>
      </c>
      <c r="L11" s="172">
        <f>ROUND('1BS'!M80-Debt!L5,0)</f>
        <v>0</v>
      </c>
      <c r="M11" s="172">
        <f>ROUND('1BS'!N80-Debt!M5,0)</f>
        <v>1</v>
      </c>
      <c r="N11" s="186">
        <f>ROUND('1BS'!O80-Debt!N5,0)</f>
        <v>0</v>
      </c>
      <c r="O11" s="172">
        <f>ROUND('1BS'!P80-Debt!O5,0)</f>
        <v>0</v>
      </c>
      <c r="P11" s="172">
        <f>ROUND('1BS'!Q80-Debt!P5,0)</f>
        <v>0</v>
      </c>
      <c r="Q11" s="172">
        <f>ROUND('1BS'!R80-Debt!Q5,0)</f>
        <v>0</v>
      </c>
      <c r="R11" s="172">
        <f>ROUND('1BS'!S80-Debt!R5,0)</f>
        <v>0</v>
      </c>
      <c r="S11" s="172">
        <f>ROUND('1BS'!T80-Debt!S5,0)</f>
        <v>0</v>
      </c>
      <c r="T11" s="186">
        <f>ROUND('1BS'!U80-Debt!T5,0)</f>
        <v>0</v>
      </c>
      <c r="U11">
        <v>2022</v>
      </c>
      <c r="V11">
        <v>2023</v>
      </c>
      <c r="W11">
        <v>2024</v>
      </c>
      <c r="X11">
        <v>2025</v>
      </c>
      <c r="Y11">
        <v>2026</v>
      </c>
      <c r="Z11">
        <v>2027</v>
      </c>
    </row>
    <row r="12" spans="2:26">
      <c r="B12" s="808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810"/>
      <c r="O12" s="159"/>
      <c r="P12" s="159"/>
      <c r="Q12" s="159"/>
      <c r="R12" s="159"/>
      <c r="S12" s="811"/>
      <c r="T12" s="812"/>
      <c r="U12">
        <v>10</v>
      </c>
      <c r="V12">
        <v>2</v>
      </c>
      <c r="W12">
        <v>2</v>
      </c>
      <c r="X12">
        <v>2</v>
      </c>
      <c r="Y12">
        <v>2</v>
      </c>
      <c r="Z12">
        <v>2</v>
      </c>
    </row>
    <row r="13" spans="2:26">
      <c r="B13" s="813" t="s">
        <v>675</v>
      </c>
      <c r="C13" s="885">
        <f t="shared" ref="C13:K13" si="8">SUM(C14:C15)</f>
        <v>912244</v>
      </c>
      <c r="D13" s="885">
        <f t="shared" si="8"/>
        <v>610451</v>
      </c>
      <c r="E13" s="885">
        <f t="shared" si="8"/>
        <v>164412</v>
      </c>
      <c r="F13" s="885">
        <f t="shared" si="8"/>
        <v>1941</v>
      </c>
      <c r="G13" s="885">
        <f t="shared" si="8"/>
        <v>14618</v>
      </c>
      <c r="H13" s="885">
        <f t="shared" si="8"/>
        <v>494244</v>
      </c>
      <c r="I13" s="885">
        <f t="shared" si="8"/>
        <v>526264</v>
      </c>
      <c r="J13" s="885">
        <f t="shared" si="8"/>
        <v>341226</v>
      </c>
      <c r="K13" s="885">
        <f t="shared" si="8"/>
        <v>374433</v>
      </c>
      <c r="L13" s="885">
        <f>SUM(L14:L15)</f>
        <v>170828</v>
      </c>
      <c r="M13" s="885">
        <f>SUM(M14:M15)</f>
        <v>169444</v>
      </c>
      <c r="N13" s="919">
        <f>SUM(N14:N15)</f>
        <v>167935</v>
      </c>
      <c r="O13" s="1092">
        <f>SUM(O14:O15)</f>
        <v>164919</v>
      </c>
      <c r="P13" s="1092">
        <f t="shared" ref="P13:T13" si="9">SUM(P14:P15)</f>
        <v>161903</v>
      </c>
      <c r="Q13" s="1092">
        <f t="shared" si="9"/>
        <v>158887</v>
      </c>
      <c r="R13" s="1092">
        <f t="shared" si="9"/>
        <v>155871</v>
      </c>
      <c r="S13" s="1092">
        <f t="shared" si="9"/>
        <v>152855</v>
      </c>
      <c r="T13" s="1093">
        <f t="shared" si="9"/>
        <v>149839</v>
      </c>
      <c r="U13" t="s">
        <v>890</v>
      </c>
      <c r="V13">
        <v>4</v>
      </c>
      <c r="W13">
        <f>V13-V14</f>
        <v>2</v>
      </c>
      <c r="X13">
        <f t="shared" ref="X13" si="10">W13-W14</f>
        <v>0</v>
      </c>
      <c r="Y13">
        <v>0</v>
      </c>
      <c r="Z13">
        <v>0</v>
      </c>
    </row>
    <row r="14" spans="2:26">
      <c r="B14" s="163" t="s">
        <v>885</v>
      </c>
      <c r="C14" s="886">
        <v>912244</v>
      </c>
      <c r="D14" s="868">
        <v>610451</v>
      </c>
      <c r="E14" s="868">
        <v>164412</v>
      </c>
      <c r="F14" s="868">
        <v>1941</v>
      </c>
      <c r="G14" s="868">
        <v>14618</v>
      </c>
      <c r="H14" s="868">
        <v>494244</v>
      </c>
      <c r="I14" s="868">
        <f>367175-9577</f>
        <v>357598</v>
      </c>
      <c r="J14" s="868">
        <f>175597-7597</f>
        <v>168000</v>
      </c>
      <c r="K14" s="868">
        <f>224849-22474</f>
        <v>202375</v>
      </c>
      <c r="L14" s="868">
        <v>0</v>
      </c>
      <c r="M14" s="868">
        <v>0</v>
      </c>
      <c r="N14" s="871">
        <v>0</v>
      </c>
      <c r="O14" s="117">
        <f t="shared" ref="O14:T14" si="11">O55</f>
        <v>0</v>
      </c>
      <c r="P14" s="117">
        <f t="shared" si="11"/>
        <v>0</v>
      </c>
      <c r="Q14" s="117">
        <f t="shared" si="11"/>
        <v>0</v>
      </c>
      <c r="R14" s="117">
        <f t="shared" si="11"/>
        <v>0</v>
      </c>
      <c r="S14" s="117">
        <f t="shared" si="11"/>
        <v>0</v>
      </c>
      <c r="T14" s="120">
        <f t="shared" si="11"/>
        <v>0</v>
      </c>
      <c r="U14" t="s">
        <v>891</v>
      </c>
      <c r="V14">
        <v>2</v>
      </c>
      <c r="W14">
        <f>V14</f>
        <v>2</v>
      </c>
      <c r="X14">
        <f t="shared" ref="X14" si="12">W14</f>
        <v>2</v>
      </c>
      <c r="Y14">
        <v>0</v>
      </c>
      <c r="Z14">
        <v>0</v>
      </c>
    </row>
    <row r="15" spans="2:26">
      <c r="B15" s="163" t="s">
        <v>892</v>
      </c>
      <c r="C15" s="805">
        <v>0</v>
      </c>
      <c r="D15" s="805">
        <v>0</v>
      </c>
      <c r="E15" s="805">
        <v>0</v>
      </c>
      <c r="F15" s="805">
        <v>0</v>
      </c>
      <c r="G15" s="805">
        <v>0</v>
      </c>
      <c r="H15" s="805">
        <v>0</v>
      </c>
      <c r="I15" s="868">
        <v>168666</v>
      </c>
      <c r="J15" s="868">
        <f>174297-1071</f>
        <v>173226</v>
      </c>
      <c r="K15" s="868">
        <f>173226-1168</f>
        <v>172058</v>
      </c>
      <c r="L15" s="868">
        <f>172057-1229</f>
        <v>170828</v>
      </c>
      <c r="M15" s="868">
        <v>169444</v>
      </c>
      <c r="N15" s="871">
        <v>167935</v>
      </c>
      <c r="O15" s="117">
        <f>O62</f>
        <v>164919</v>
      </c>
      <c r="P15" s="117">
        <f t="shared" ref="P15:T15" si="13">P62</f>
        <v>161903</v>
      </c>
      <c r="Q15" s="117">
        <f t="shared" si="13"/>
        <v>158887</v>
      </c>
      <c r="R15" s="117">
        <f t="shared" si="13"/>
        <v>155871</v>
      </c>
      <c r="S15" s="117">
        <f t="shared" si="13"/>
        <v>152855</v>
      </c>
      <c r="T15" s="120">
        <f t="shared" si="13"/>
        <v>149839</v>
      </c>
    </row>
    <row r="16" spans="2:26">
      <c r="B16" s="814"/>
      <c r="C16" s="815"/>
      <c r="D16" s="815"/>
      <c r="E16" s="815"/>
      <c r="F16" s="815"/>
      <c r="G16" s="815"/>
      <c r="H16" s="816"/>
      <c r="I16" s="815"/>
      <c r="J16" s="817"/>
      <c r="K16" s="817"/>
      <c r="L16" s="816"/>
      <c r="M16" s="920"/>
      <c r="N16" s="921"/>
      <c r="O16" s="811"/>
      <c r="P16" s="811"/>
      <c r="Q16" s="811"/>
      <c r="R16" s="811"/>
      <c r="S16" s="811"/>
      <c r="T16" s="812"/>
    </row>
    <row r="17" spans="2:21">
      <c r="C17" s="159"/>
      <c r="D17" s="159"/>
      <c r="E17" s="159"/>
      <c r="F17" s="159"/>
      <c r="G17" s="159"/>
      <c r="H17" s="818"/>
      <c r="I17" s="159"/>
      <c r="J17" s="806"/>
      <c r="K17" s="806"/>
      <c r="L17" s="818"/>
      <c r="M17" s="818"/>
      <c r="O17" s="159"/>
      <c r="P17" s="159"/>
      <c r="Q17" s="159"/>
      <c r="R17" s="159"/>
      <c r="S17" s="159"/>
      <c r="T17" s="159"/>
    </row>
    <row r="18" spans="2:21">
      <c r="B18" s="561" t="s">
        <v>889</v>
      </c>
      <c r="C18" s="172">
        <f>ROUND('1BS'!D93-Debt!C13,0)</f>
        <v>0</v>
      </c>
      <c r="D18" s="172">
        <f>ROUND('1BS'!E93-Debt!D13,0)</f>
        <v>0</v>
      </c>
      <c r="E18" s="172">
        <f>ROUND('1BS'!F93-Debt!E13,0)</f>
        <v>0</v>
      </c>
      <c r="F18" s="172">
        <f>ROUND('1BS'!G93-Debt!F13,0)</f>
        <v>1</v>
      </c>
      <c r="G18" s="172">
        <f>ROUND('1BS'!H93-Debt!G13,0)</f>
        <v>0</v>
      </c>
      <c r="H18" s="172">
        <f>ROUND('1BS'!I93-Debt!H13,0)</f>
        <v>1</v>
      </c>
      <c r="I18" s="172">
        <f>ROUND('1BS'!J93-Debt!I13,0)</f>
        <v>0</v>
      </c>
      <c r="J18" s="172">
        <f>ROUND('1BS'!K93-Debt!J13,0)</f>
        <v>0</v>
      </c>
      <c r="K18" s="172">
        <f>ROUND('1BS'!L93-Debt!K13,0)</f>
        <v>0</v>
      </c>
      <c r="L18" s="172">
        <f>ROUND('1BS'!M93-Debt!L13,0)</f>
        <v>0</v>
      </c>
      <c r="M18" s="172">
        <f>ROUND('1BS'!N93-Debt!M13,0)</f>
        <v>0</v>
      </c>
      <c r="N18" s="172">
        <f>ROUND('1BS'!O93-Debt!N13,0)</f>
        <v>1</v>
      </c>
      <c r="O18" s="159"/>
      <c r="P18" s="159"/>
      <c r="Q18" s="159"/>
      <c r="R18" s="159"/>
      <c r="S18" s="159"/>
      <c r="T18" s="159"/>
    </row>
    <row r="19" spans="2:21">
      <c r="I19" s="2">
        <f>SUM(I5,I13)</f>
        <v>975055</v>
      </c>
      <c r="J19" s="2">
        <f t="shared" ref="J19:N19" si="14">SUM(J5,J13)</f>
        <v>662972</v>
      </c>
      <c r="K19" s="2">
        <f t="shared" si="14"/>
        <v>1033059</v>
      </c>
      <c r="L19" s="2">
        <f t="shared" si="14"/>
        <v>700957</v>
      </c>
      <c r="M19" s="2">
        <f t="shared" si="14"/>
        <v>414827</v>
      </c>
      <c r="N19" s="2">
        <f t="shared" si="14"/>
        <v>435519</v>
      </c>
    </row>
    <row r="20" spans="2:21">
      <c r="B20" s="169" t="s">
        <v>893</v>
      </c>
      <c r="G20" s="159"/>
      <c r="H20" s="159"/>
      <c r="I20" s="50">
        <f>I5/I19</f>
        <v>0.46027249744886184</v>
      </c>
      <c r="J20" s="50">
        <f t="shared" ref="J20:N20" si="15">J5/J19</f>
        <v>0.48530858015119793</v>
      </c>
      <c r="K20" s="50">
        <f t="shared" si="15"/>
        <v>0.63754925904522397</v>
      </c>
      <c r="L20" s="50">
        <f t="shared" si="15"/>
        <v>0.75629318203541729</v>
      </c>
      <c r="M20" s="50">
        <f t="shared" si="15"/>
        <v>0.59153092735043766</v>
      </c>
      <c r="N20" s="50">
        <f t="shared" si="15"/>
        <v>0.61440258633951672</v>
      </c>
    </row>
    <row r="21" spans="2:21">
      <c r="B21" s="169"/>
      <c r="G21" s="159"/>
      <c r="H21" s="159"/>
      <c r="I21" s="50">
        <f>I13/I19</f>
        <v>0.53972750255113811</v>
      </c>
      <c r="J21" s="50">
        <f t="shared" ref="J21:N21" si="16">J13/J19</f>
        <v>0.51469141984880207</v>
      </c>
      <c r="K21" s="50">
        <f t="shared" si="16"/>
        <v>0.36245074095477609</v>
      </c>
      <c r="L21" s="50">
        <f t="shared" si="16"/>
        <v>0.24370681796458271</v>
      </c>
      <c r="M21" s="50">
        <f t="shared" si="16"/>
        <v>0.40846907264956234</v>
      </c>
      <c r="N21" s="50">
        <f t="shared" si="16"/>
        <v>0.38559741366048322</v>
      </c>
    </row>
    <row r="22" spans="2:21">
      <c r="B22" s="169" t="s">
        <v>894</v>
      </c>
    </row>
    <row r="23" spans="2:21">
      <c r="B23" s="41"/>
      <c r="C23" s="819">
        <f>C4</f>
        <v>2014</v>
      </c>
      <c r="D23" s="606">
        <f>C23+1</f>
        <v>2015</v>
      </c>
      <c r="E23" s="606">
        <f t="shared" ref="E23:T23" si="17">D23+1</f>
        <v>2016</v>
      </c>
      <c r="F23" s="606">
        <f t="shared" si="17"/>
        <v>2017</v>
      </c>
      <c r="G23" s="606">
        <f t="shared" si="17"/>
        <v>2018</v>
      </c>
      <c r="H23" s="606">
        <f t="shared" si="17"/>
        <v>2019</v>
      </c>
      <c r="I23" s="606">
        <f t="shared" si="17"/>
        <v>2020</v>
      </c>
      <c r="J23" s="606">
        <f t="shared" si="17"/>
        <v>2021</v>
      </c>
      <c r="K23" s="606">
        <f t="shared" si="17"/>
        <v>2022</v>
      </c>
      <c r="L23" s="606">
        <f t="shared" si="17"/>
        <v>2023</v>
      </c>
      <c r="M23" s="606">
        <f t="shared" si="17"/>
        <v>2024</v>
      </c>
      <c r="N23" s="607">
        <f t="shared" si="17"/>
        <v>2025</v>
      </c>
      <c r="O23" s="606">
        <f t="shared" si="17"/>
        <v>2026</v>
      </c>
      <c r="P23" s="606">
        <f t="shared" si="17"/>
        <v>2027</v>
      </c>
      <c r="Q23" s="606">
        <f t="shared" si="17"/>
        <v>2028</v>
      </c>
      <c r="R23" s="606">
        <f t="shared" si="17"/>
        <v>2029</v>
      </c>
      <c r="S23" s="606">
        <f t="shared" si="17"/>
        <v>2030</v>
      </c>
      <c r="T23" s="607">
        <f t="shared" si="17"/>
        <v>2031</v>
      </c>
    </row>
    <row r="24" spans="2:21">
      <c r="B24" s="84" t="s">
        <v>884</v>
      </c>
      <c r="C24" s="886">
        <f t="shared" ref="C24:L26" si="18">C5</f>
        <v>437367</v>
      </c>
      <c r="D24" s="868">
        <f t="shared" si="18"/>
        <v>1051664</v>
      </c>
      <c r="E24" s="868">
        <f t="shared" si="18"/>
        <v>1042309</v>
      </c>
      <c r="F24" s="868">
        <f t="shared" si="18"/>
        <v>722903</v>
      </c>
      <c r="G24" s="868">
        <f t="shared" si="18"/>
        <v>594242</v>
      </c>
      <c r="H24" s="868">
        <f t="shared" si="18"/>
        <v>560510</v>
      </c>
      <c r="I24" s="868">
        <f t="shared" si="18"/>
        <v>448791</v>
      </c>
      <c r="J24" s="868">
        <f t="shared" si="18"/>
        <v>321746</v>
      </c>
      <c r="K24" s="868">
        <f t="shared" si="18"/>
        <v>658626</v>
      </c>
      <c r="L24" s="868">
        <f t="shared" si="18"/>
        <v>530129</v>
      </c>
      <c r="M24" s="887">
        <f>M5</f>
        <v>245383</v>
      </c>
      <c r="N24" s="888">
        <f>N5</f>
        <v>267584</v>
      </c>
      <c r="O24" s="605">
        <f t="shared" ref="O24:S24" si="19">N24*(1+O28)</f>
        <v>291793.6330389636</v>
      </c>
      <c r="P24" s="605">
        <f t="shared" si="19"/>
        <v>318193.62997069088</v>
      </c>
      <c r="Q24" s="605">
        <f t="shared" si="19"/>
        <v>346982.16372803884</v>
      </c>
      <c r="R24" s="605">
        <f t="shared" si="19"/>
        <v>378375.33691821987</v>
      </c>
      <c r="S24" s="605">
        <f t="shared" si="19"/>
        <v>412608.80400812178</v>
      </c>
      <c r="T24" s="1094">
        <f>S24*(1+T28)</f>
        <v>449939.54027666652</v>
      </c>
    </row>
    <row r="25" spans="2:21">
      <c r="B25" s="84" t="s">
        <v>895</v>
      </c>
      <c r="C25" s="886">
        <f t="shared" si="18"/>
        <v>279216</v>
      </c>
      <c r="D25" s="868">
        <f t="shared" si="18"/>
        <v>757245</v>
      </c>
      <c r="E25" s="868">
        <f t="shared" si="18"/>
        <v>1030104</v>
      </c>
      <c r="F25" s="868">
        <f t="shared" si="18"/>
        <v>720042</v>
      </c>
      <c r="G25" s="868">
        <f t="shared" si="18"/>
        <v>584502</v>
      </c>
      <c r="H25" s="868">
        <f t="shared" si="18"/>
        <v>504913</v>
      </c>
      <c r="I25" s="868">
        <f t="shared" si="18"/>
        <v>439214</v>
      </c>
      <c r="J25" s="868">
        <f t="shared" si="18"/>
        <v>313076</v>
      </c>
      <c r="K25" s="868">
        <f t="shared" si="18"/>
        <v>634983</v>
      </c>
      <c r="L25" s="868">
        <f t="shared" si="18"/>
        <v>528900</v>
      </c>
      <c r="M25" s="887">
        <v>530.1</v>
      </c>
      <c r="N25" s="888">
        <v>245.38</v>
      </c>
      <c r="O25" s="172">
        <f>N25*(1+O28)</f>
        <v>267.5807285753292</v>
      </c>
      <c r="P25" s="172">
        <f>O25*(1+P28)</f>
        <v>291.79006563250465</v>
      </c>
      <c r="Q25" s="172">
        <f t="shared" ref="Q25:T25" si="20">P25*(1+Q28)</f>
        <v>318.18973980352399</v>
      </c>
      <c r="R25" s="172">
        <f t="shared" si="20"/>
        <v>346.97792159842436</v>
      </c>
      <c r="S25" s="172">
        <f>R25*(1+S28)</f>
        <v>378.37071098239397</v>
      </c>
      <c r="T25" s="186">
        <f t="shared" si="20"/>
        <v>412.60375954125965</v>
      </c>
      <c r="U25" s="820"/>
    </row>
    <row r="26" spans="2:21">
      <c r="B26" s="47" t="s">
        <v>886</v>
      </c>
      <c r="C26" s="886">
        <f t="shared" si="18"/>
        <v>158151</v>
      </c>
      <c r="D26" s="868">
        <f t="shared" si="18"/>
        <v>294419</v>
      </c>
      <c r="E26" s="868">
        <f t="shared" si="18"/>
        <v>12205</v>
      </c>
      <c r="F26" s="868">
        <f t="shared" si="18"/>
        <v>2861</v>
      </c>
      <c r="G26" s="868">
        <f t="shared" si="18"/>
        <v>9740</v>
      </c>
      <c r="H26" s="868">
        <f t="shared" si="18"/>
        <v>55597</v>
      </c>
      <c r="I26" s="868">
        <f t="shared" si="18"/>
        <v>9577</v>
      </c>
      <c r="J26" s="868">
        <f t="shared" si="18"/>
        <v>7598</v>
      </c>
      <c r="K26" s="868">
        <f t="shared" si="18"/>
        <v>22475</v>
      </c>
      <c r="L26" s="868">
        <f t="shared" si="18"/>
        <v>0</v>
      </c>
      <c r="M26" s="887"/>
      <c r="N26" s="888"/>
      <c r="O26" s="172"/>
      <c r="P26" s="172"/>
      <c r="Q26" s="172"/>
      <c r="R26" s="172"/>
      <c r="S26" s="172"/>
      <c r="T26" s="186"/>
      <c r="U26" s="169"/>
    </row>
    <row r="27" spans="2:21">
      <c r="B27" s="47"/>
      <c r="C27" s="821"/>
      <c r="D27" s="822"/>
      <c r="E27" s="822"/>
      <c r="F27" s="822"/>
      <c r="G27" s="822"/>
      <c r="H27" s="823"/>
      <c r="I27" s="824"/>
      <c r="J27" s="824"/>
      <c r="K27" s="824"/>
      <c r="L27" s="824"/>
      <c r="M27" s="825"/>
      <c r="N27" s="826"/>
      <c r="O27" s="177"/>
      <c r="P27" s="177"/>
      <c r="Q27" s="177"/>
      <c r="R27" s="177"/>
      <c r="S27" s="177"/>
      <c r="T27" s="800"/>
    </row>
    <row r="28" spans="2:21">
      <c r="B28" s="84" t="s">
        <v>769</v>
      </c>
      <c r="C28" s="827"/>
      <c r="D28" s="824">
        <f t="shared" ref="D28:N28" si="21">D24/C24-1</f>
        <v>1.4045344070311661</v>
      </c>
      <c r="E28" s="824">
        <f t="shared" si="21"/>
        <v>-8.8954266762008016E-3</v>
      </c>
      <c r="F28" s="824">
        <f t="shared" si="21"/>
        <v>-0.30644079634734034</v>
      </c>
      <c r="G28" s="824">
        <f t="shared" si="21"/>
        <v>-0.17797823497758347</v>
      </c>
      <c r="H28" s="824">
        <f t="shared" si="21"/>
        <v>-5.6764752407268415E-2</v>
      </c>
      <c r="I28" s="824">
        <f t="shared" si="21"/>
        <v>-0.19931669372535732</v>
      </c>
      <c r="J28" s="824">
        <f t="shared" si="21"/>
        <v>-0.28308277126769477</v>
      </c>
      <c r="K28" s="824">
        <f t="shared" si="21"/>
        <v>1.0470371038023782</v>
      </c>
      <c r="L28" s="824">
        <f t="shared" si="21"/>
        <v>-0.19509858402188796</v>
      </c>
      <c r="M28" s="824">
        <f t="shared" si="21"/>
        <v>-0.53712586936387186</v>
      </c>
      <c r="N28" s="828">
        <f t="shared" si="21"/>
        <v>9.0474890273572361E-2</v>
      </c>
      <c r="O28" s="829">
        <f>N28</f>
        <v>9.0474890273572361E-2</v>
      </c>
      <c r="P28" s="829">
        <f t="shared" ref="P28:T28" si="22">O28</f>
        <v>9.0474890273572361E-2</v>
      </c>
      <c r="Q28" s="829">
        <f t="shared" si="22"/>
        <v>9.0474890273572361E-2</v>
      </c>
      <c r="R28" s="829">
        <f t="shared" si="22"/>
        <v>9.0474890273572361E-2</v>
      </c>
      <c r="S28" s="829">
        <f t="shared" si="22"/>
        <v>9.0474890273572361E-2</v>
      </c>
      <c r="T28" s="830">
        <f t="shared" si="22"/>
        <v>9.0474890273572361E-2</v>
      </c>
      <c r="U28" t="s">
        <v>896</v>
      </c>
    </row>
    <row r="29" spans="2:21">
      <c r="B29" s="831"/>
      <c r="C29" s="832"/>
      <c r="D29" s="833"/>
      <c r="E29" s="833"/>
      <c r="F29" s="833"/>
      <c r="G29" s="833"/>
      <c r="H29" s="834"/>
      <c r="I29" s="834"/>
      <c r="J29" s="834"/>
      <c r="K29" s="834"/>
      <c r="L29" s="834"/>
      <c r="M29" s="834"/>
      <c r="N29" s="835"/>
      <c r="O29" s="836"/>
      <c r="P29" s="836"/>
      <c r="Q29" s="836"/>
      <c r="R29" s="836"/>
      <c r="S29" s="836"/>
      <c r="T29" s="837"/>
    </row>
    <row r="31" spans="2:21" hidden="1" outlineLevel="1">
      <c r="B31" s="1102" t="s">
        <v>891</v>
      </c>
      <c r="C31" s="606">
        <v>2013</v>
      </c>
      <c r="D31" s="606">
        <f>C31+1</f>
        <v>2014</v>
      </c>
      <c r="E31" s="606">
        <f t="shared" ref="E31:S31" si="23">D31+1</f>
        <v>2015</v>
      </c>
      <c r="F31" s="606">
        <f t="shared" si="23"/>
        <v>2016</v>
      </c>
      <c r="G31" s="606">
        <f t="shared" si="23"/>
        <v>2017</v>
      </c>
      <c r="H31" s="606">
        <f t="shared" si="23"/>
        <v>2018</v>
      </c>
      <c r="I31" s="606">
        <f t="shared" si="23"/>
        <v>2019</v>
      </c>
      <c r="J31" s="606">
        <f t="shared" si="23"/>
        <v>2020</v>
      </c>
      <c r="K31" s="606">
        <f t="shared" si="23"/>
        <v>2021</v>
      </c>
      <c r="L31" s="606">
        <f t="shared" si="23"/>
        <v>2022</v>
      </c>
      <c r="M31" s="606">
        <f t="shared" si="23"/>
        <v>2023</v>
      </c>
      <c r="N31" s="607">
        <f t="shared" si="23"/>
        <v>2024</v>
      </c>
      <c r="O31" s="606">
        <f t="shared" si="23"/>
        <v>2025</v>
      </c>
      <c r="P31" s="606">
        <f t="shared" si="23"/>
        <v>2026</v>
      </c>
      <c r="Q31" s="606">
        <f t="shared" si="23"/>
        <v>2027</v>
      </c>
      <c r="R31" s="606">
        <f t="shared" si="23"/>
        <v>2028</v>
      </c>
      <c r="S31" s="606">
        <f t="shared" si="23"/>
        <v>2029</v>
      </c>
      <c r="T31" s="608"/>
    </row>
    <row r="32" spans="2:21" hidden="1" outlineLevel="1">
      <c r="B32" s="1103" t="s">
        <v>897</v>
      </c>
      <c r="C32" s="805"/>
      <c r="D32" s="805"/>
      <c r="E32" s="805"/>
      <c r="F32" s="805"/>
      <c r="G32" s="805"/>
      <c r="H32" s="805"/>
      <c r="I32" s="805"/>
      <c r="J32" s="805"/>
      <c r="K32" s="805"/>
      <c r="L32" s="805"/>
      <c r="M32" s="795"/>
      <c r="N32" s="796"/>
      <c r="O32" s="795"/>
      <c r="P32" s="795"/>
      <c r="Q32" s="795"/>
      <c r="R32" s="795"/>
      <c r="S32" s="795"/>
      <c r="T32" s="795"/>
    </row>
    <row r="33" spans="2:20" hidden="1" outlineLevel="1">
      <c r="B33" s="1103" t="s">
        <v>898</v>
      </c>
      <c r="C33" s="805"/>
      <c r="D33" s="805"/>
      <c r="E33" s="805"/>
      <c r="F33" s="805"/>
      <c r="G33" s="805"/>
      <c r="H33" s="805"/>
      <c r="I33" s="805"/>
      <c r="J33" s="805"/>
      <c r="K33" s="805"/>
      <c r="L33" s="805"/>
      <c r="M33" s="795"/>
      <c r="N33" s="796"/>
      <c r="O33" s="795"/>
      <c r="P33" s="795"/>
      <c r="Q33" s="795"/>
      <c r="R33" s="795"/>
      <c r="S33" s="795"/>
      <c r="T33" s="795"/>
    </row>
    <row r="34" spans="2:20" hidden="1" outlineLevel="1">
      <c r="B34" s="1103" t="s">
        <v>899</v>
      </c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795"/>
      <c r="N34" s="796"/>
      <c r="O34" s="795"/>
      <c r="P34" s="795"/>
      <c r="Q34" s="795"/>
      <c r="R34" s="795"/>
      <c r="S34" s="795"/>
      <c r="T34" s="795"/>
    </row>
    <row r="35" spans="2:20" hidden="1" outlineLevel="1">
      <c r="B35" s="1103" t="s">
        <v>900</v>
      </c>
      <c r="C35" s="805"/>
      <c r="D35" s="805"/>
      <c r="E35" s="805"/>
      <c r="F35" s="805"/>
      <c r="G35" s="805"/>
      <c r="H35" s="805"/>
      <c r="I35" s="805"/>
      <c r="J35" s="805"/>
      <c r="K35" s="805"/>
      <c r="L35" s="805"/>
      <c r="M35" s="795"/>
      <c r="N35" s="796"/>
      <c r="O35" s="795"/>
      <c r="P35" s="795"/>
      <c r="Q35" s="795"/>
      <c r="R35" s="795"/>
      <c r="S35" s="795"/>
      <c r="T35" s="795"/>
    </row>
    <row r="36" spans="2:20" hidden="1" outlineLevel="1">
      <c r="B36" s="1103" t="s">
        <v>901</v>
      </c>
      <c r="C36" s="805"/>
      <c r="D36" s="805"/>
      <c r="E36" s="805"/>
      <c r="F36" s="805"/>
      <c r="G36" s="805"/>
      <c r="H36" s="805"/>
      <c r="I36" s="805"/>
      <c r="J36" s="805"/>
      <c r="K36" s="805"/>
      <c r="L36" s="805"/>
      <c r="M36" s="795"/>
      <c r="N36" s="796"/>
      <c r="O36" s="795"/>
      <c r="P36" s="795"/>
      <c r="Q36" s="795"/>
      <c r="R36" s="795"/>
      <c r="S36" s="795"/>
      <c r="T36" s="795"/>
    </row>
    <row r="37" spans="2:20" hidden="1" outlineLevel="1">
      <c r="B37" s="1103" t="s">
        <v>902</v>
      </c>
      <c r="C37" s="805"/>
      <c r="D37" s="805"/>
      <c r="E37" s="805"/>
      <c r="F37" s="805"/>
      <c r="G37" s="805"/>
      <c r="H37" s="805"/>
      <c r="I37" s="805"/>
      <c r="J37" s="805"/>
      <c r="K37" s="805"/>
      <c r="L37" s="805"/>
      <c r="M37" s="795"/>
      <c r="N37" s="796"/>
      <c r="O37" s="795"/>
      <c r="P37" s="795"/>
      <c r="Q37" s="795"/>
      <c r="R37" s="795"/>
      <c r="S37" s="795"/>
      <c r="T37" s="795"/>
    </row>
    <row r="38" spans="2:20" hidden="1" outlineLevel="1">
      <c r="B38" s="1103" t="s">
        <v>903</v>
      </c>
      <c r="C38" s="805"/>
      <c r="D38" s="805"/>
      <c r="E38" s="805"/>
      <c r="F38" s="805"/>
      <c r="G38" s="805"/>
      <c r="H38" s="805"/>
      <c r="I38" s="805"/>
      <c r="J38" s="805"/>
      <c r="K38" s="805"/>
      <c r="L38" s="805"/>
      <c r="M38" s="795"/>
      <c r="N38" s="796"/>
      <c r="O38" s="795"/>
      <c r="P38" s="795"/>
      <c r="Q38" s="795"/>
      <c r="R38" s="795"/>
      <c r="S38" s="795"/>
      <c r="T38" s="795"/>
    </row>
    <row r="39" spans="2:20" hidden="1" outlineLevel="1">
      <c r="B39" s="1103" t="s">
        <v>904</v>
      </c>
      <c r="C39" s="805"/>
      <c r="D39" s="805"/>
      <c r="E39" s="805"/>
      <c r="F39" s="805"/>
      <c r="G39" s="805"/>
      <c r="H39" s="805"/>
      <c r="I39" s="805"/>
      <c r="J39" s="805"/>
      <c r="K39" s="805"/>
      <c r="L39" s="805"/>
    </row>
    <row r="40" spans="2:20" hidden="1" outlineLevel="1">
      <c r="B40" s="1103" t="s">
        <v>905</v>
      </c>
      <c r="C40" s="805"/>
      <c r="D40" s="805"/>
      <c r="E40" s="805"/>
      <c r="F40" s="805"/>
      <c r="G40" s="805"/>
      <c r="H40" s="805"/>
      <c r="I40" s="805"/>
      <c r="J40" s="805"/>
      <c r="K40" s="805"/>
      <c r="L40" s="805"/>
    </row>
    <row r="41" spans="2:20" hidden="1" outlineLevel="1">
      <c r="B41" s="1104"/>
      <c r="C41" s="805"/>
      <c r="D41" s="805"/>
      <c r="E41" s="805"/>
      <c r="F41" s="805"/>
      <c r="G41" s="805"/>
      <c r="H41" s="805"/>
      <c r="I41" s="805"/>
      <c r="J41" s="805"/>
      <c r="K41" s="805"/>
      <c r="L41" s="805"/>
      <c r="M41" s="177"/>
    </row>
    <row r="42" spans="2:20" hidden="1" outlineLevel="1">
      <c r="B42" s="1104"/>
      <c r="C42" s="805"/>
      <c r="D42" s="805"/>
      <c r="E42" s="805"/>
      <c r="F42" s="805"/>
      <c r="G42" s="805"/>
      <c r="H42" s="805"/>
      <c r="I42" s="805"/>
      <c r="J42" s="805"/>
      <c r="K42" s="805"/>
      <c r="L42" s="805"/>
      <c r="M42" s="177"/>
    </row>
    <row r="43" spans="2:20" hidden="1" outlineLevel="1">
      <c r="B43" s="1104"/>
      <c r="C43" s="805"/>
      <c r="D43" s="805"/>
      <c r="E43" s="805"/>
      <c r="F43" s="805"/>
      <c r="G43" s="805"/>
      <c r="H43" s="805"/>
      <c r="I43" s="805"/>
      <c r="J43" s="805"/>
      <c r="K43" s="805"/>
      <c r="L43" s="805"/>
      <c r="M43" s="177"/>
    </row>
    <row r="44" spans="2:20" hidden="1" outlineLevel="1">
      <c r="B44" s="1105" t="s">
        <v>906</v>
      </c>
      <c r="C44" s="805"/>
      <c r="D44" s="805"/>
      <c r="E44" s="805"/>
      <c r="F44" s="805"/>
      <c r="G44" s="805"/>
      <c r="H44" s="805"/>
      <c r="I44" s="805"/>
      <c r="J44" s="805"/>
      <c r="K44" s="805"/>
      <c r="L44" s="805"/>
    </row>
    <row r="45" spans="2:20" hidden="1" outlineLevel="1">
      <c r="B45" s="1105" t="s">
        <v>907</v>
      </c>
      <c r="C45" s="805"/>
      <c r="D45" s="805"/>
      <c r="E45" s="805"/>
      <c r="F45" s="805"/>
      <c r="G45" s="805"/>
      <c r="H45" s="805"/>
      <c r="I45" s="805"/>
      <c r="J45" s="805"/>
      <c r="K45" s="805"/>
      <c r="L45" s="805"/>
    </row>
    <row r="46" spans="2:20" hidden="1" outlineLevel="1">
      <c r="B46" s="1106" t="s">
        <v>768</v>
      </c>
      <c r="C46" s="838"/>
      <c r="D46" s="838"/>
      <c r="E46" s="838"/>
      <c r="F46" s="838"/>
      <c r="G46" s="838"/>
      <c r="H46" s="838"/>
      <c r="I46" s="838"/>
      <c r="J46" s="838"/>
      <c r="K46" s="838"/>
      <c r="L46" s="838"/>
    </row>
    <row r="47" spans="2:20" hidden="1" outlineLevel="1">
      <c r="B47" s="1107"/>
      <c r="C47" s="803"/>
      <c r="D47" s="803"/>
      <c r="E47" s="803"/>
      <c r="F47" s="803"/>
      <c r="G47" s="803"/>
      <c r="H47" s="803"/>
      <c r="I47" s="803"/>
      <c r="J47" s="803"/>
      <c r="K47" s="803"/>
      <c r="L47" s="803"/>
    </row>
    <row r="48" spans="2:20" hidden="1" outlineLevel="1">
      <c r="B48" s="97" t="s">
        <v>889</v>
      </c>
      <c r="C48" s="110"/>
      <c r="D48" s="110">
        <f t="shared" ref="D48:L48" si="24">D6-D46</f>
        <v>757245</v>
      </c>
      <c r="E48" s="110">
        <f t="shared" si="24"/>
        <v>1030104</v>
      </c>
      <c r="F48" s="110">
        <f t="shared" si="24"/>
        <v>720042</v>
      </c>
      <c r="G48" s="110">
        <f t="shared" si="24"/>
        <v>584502</v>
      </c>
      <c r="H48" s="110">
        <f t="shared" si="24"/>
        <v>504913</v>
      </c>
      <c r="I48" s="110">
        <f t="shared" si="24"/>
        <v>439214</v>
      </c>
      <c r="J48" s="110">
        <f t="shared" si="24"/>
        <v>313076</v>
      </c>
      <c r="K48" s="110">
        <f t="shared" si="24"/>
        <v>634983</v>
      </c>
      <c r="L48" s="110">
        <f t="shared" si="24"/>
        <v>528900</v>
      </c>
    </row>
    <row r="49" spans="2:33" outlineLevel="1"/>
    <row r="50" spans="2:33" outlineLevel="1"/>
    <row r="53" spans="2:33">
      <c r="B53" s="169" t="s">
        <v>908</v>
      </c>
    </row>
    <row r="54" spans="2:33">
      <c r="B54" s="41" t="s">
        <v>909</v>
      </c>
      <c r="C54" s="606">
        <f>C4</f>
        <v>2014</v>
      </c>
      <c r="D54" s="606">
        <f>C54+1</f>
        <v>2015</v>
      </c>
      <c r="E54" s="606">
        <f t="shared" ref="E54:T54" si="25">D54+1</f>
        <v>2016</v>
      </c>
      <c r="F54" s="606">
        <f t="shared" si="25"/>
        <v>2017</v>
      </c>
      <c r="G54" s="606">
        <f t="shared" si="25"/>
        <v>2018</v>
      </c>
      <c r="H54" s="606">
        <f t="shared" si="25"/>
        <v>2019</v>
      </c>
      <c r="I54" s="606">
        <f t="shared" si="25"/>
        <v>2020</v>
      </c>
      <c r="J54" s="606">
        <f t="shared" si="25"/>
        <v>2021</v>
      </c>
      <c r="K54" s="606">
        <f t="shared" si="25"/>
        <v>2022</v>
      </c>
      <c r="L54" s="606">
        <f t="shared" si="25"/>
        <v>2023</v>
      </c>
      <c r="M54" s="606">
        <f t="shared" si="25"/>
        <v>2024</v>
      </c>
      <c r="N54" s="607">
        <f t="shared" si="25"/>
        <v>2025</v>
      </c>
      <c r="O54" s="606">
        <f t="shared" si="25"/>
        <v>2026</v>
      </c>
      <c r="P54" s="606">
        <f t="shared" si="25"/>
        <v>2027</v>
      </c>
      <c r="Q54" s="606">
        <f t="shared" si="25"/>
        <v>2028</v>
      </c>
      <c r="R54" s="606">
        <f t="shared" si="25"/>
        <v>2029</v>
      </c>
      <c r="S54" s="606">
        <f t="shared" si="25"/>
        <v>2030</v>
      </c>
      <c r="T54" s="606">
        <f t="shared" si="25"/>
        <v>2031</v>
      </c>
    </row>
    <row r="55" spans="2:33" s="843" customFormat="1">
      <c r="B55" s="840" t="s">
        <v>910</v>
      </c>
      <c r="C55" s="841"/>
      <c r="D55" s="841"/>
      <c r="E55" s="841"/>
      <c r="F55" s="908">
        <f>SUM(F56:F57)</f>
        <v>1941</v>
      </c>
      <c r="G55" s="908">
        <f t="shared" ref="G55:T55" si="26">SUM(G56:G57)</f>
        <v>14618</v>
      </c>
      <c r="H55" s="908">
        <f t="shared" si="26"/>
        <v>494244</v>
      </c>
      <c r="I55" s="908">
        <f t="shared" si="26"/>
        <v>357598</v>
      </c>
      <c r="J55" s="908">
        <f t="shared" si="26"/>
        <v>168000</v>
      </c>
      <c r="K55" s="908">
        <f t="shared" si="26"/>
        <v>202375</v>
      </c>
      <c r="L55" s="841">
        <f t="shared" si="26"/>
        <v>0</v>
      </c>
      <c r="M55" s="841">
        <v>0</v>
      </c>
      <c r="N55" s="842">
        <f t="shared" si="26"/>
        <v>0</v>
      </c>
      <c r="O55" s="841">
        <f t="shared" si="26"/>
        <v>0</v>
      </c>
      <c r="P55" s="841">
        <f t="shared" si="26"/>
        <v>0</v>
      </c>
      <c r="Q55" s="841">
        <f t="shared" si="26"/>
        <v>0</v>
      </c>
      <c r="R55" s="841">
        <f t="shared" si="26"/>
        <v>0</v>
      </c>
      <c r="S55" s="841">
        <f t="shared" si="26"/>
        <v>0</v>
      </c>
      <c r="T55" s="841">
        <f t="shared" si="26"/>
        <v>0</v>
      </c>
    </row>
    <row r="56" spans="2:33">
      <c r="B56" s="84" t="s">
        <v>911</v>
      </c>
      <c r="F56" s="632">
        <f t="shared" ref="F56:H56" si="27">F14-F57</f>
        <v>4802</v>
      </c>
      <c r="G56" s="632">
        <f t="shared" si="27"/>
        <v>24358</v>
      </c>
      <c r="H56" s="632">
        <f t="shared" si="27"/>
        <v>549841</v>
      </c>
      <c r="I56" s="632">
        <f>I14-I57</f>
        <v>367175</v>
      </c>
      <c r="J56" s="632">
        <f t="shared" ref="J56" si="28">J14-J57</f>
        <v>175598</v>
      </c>
      <c r="K56" s="632">
        <f>K14-K57</f>
        <v>224850</v>
      </c>
      <c r="L56" s="159">
        <f>L14-L57</f>
        <v>0</v>
      </c>
      <c r="M56" s="159">
        <f t="shared" ref="M56" si="29">M14-M57</f>
        <v>0</v>
      </c>
      <c r="N56" s="120">
        <f>N14-N57</f>
        <v>0</v>
      </c>
      <c r="O56" s="117">
        <f>N56</f>
        <v>0</v>
      </c>
      <c r="P56" s="117">
        <f t="shared" ref="P56:T57" si="30">O56</f>
        <v>0</v>
      </c>
      <c r="Q56" s="117">
        <f t="shared" si="30"/>
        <v>0</v>
      </c>
      <c r="R56" s="117">
        <f t="shared" si="30"/>
        <v>0</v>
      </c>
      <c r="S56" s="117">
        <f t="shared" si="30"/>
        <v>0</v>
      </c>
      <c r="T56" s="117">
        <f t="shared" si="30"/>
        <v>0</v>
      </c>
      <c r="V56" s="561"/>
    </row>
    <row r="57" spans="2:33" ht="14.5">
      <c r="B57" s="47" t="s">
        <v>886</v>
      </c>
      <c r="F57" s="632">
        <f>-F7</f>
        <v>-2861</v>
      </c>
      <c r="G57" s="632">
        <f t="shared" ref="G57:M57" si="31">-G7</f>
        <v>-9740</v>
      </c>
      <c r="H57" s="632">
        <f t="shared" si="31"/>
        <v>-55597</v>
      </c>
      <c r="I57" s="632">
        <f t="shared" si="31"/>
        <v>-9577</v>
      </c>
      <c r="J57" s="632">
        <f t="shared" si="31"/>
        <v>-7598</v>
      </c>
      <c r="K57" s="632">
        <f t="shared" si="31"/>
        <v>-22475</v>
      </c>
      <c r="L57" s="159">
        <f t="shared" si="31"/>
        <v>0</v>
      </c>
      <c r="M57" s="159">
        <f t="shared" si="31"/>
        <v>0</v>
      </c>
      <c r="N57" s="810">
        <f>-N7</f>
        <v>0</v>
      </c>
      <c r="O57" s="159">
        <f>N57</f>
        <v>0</v>
      </c>
      <c r="P57" s="159">
        <f t="shared" si="30"/>
        <v>0</v>
      </c>
      <c r="Q57" s="159">
        <f t="shared" si="30"/>
        <v>0</v>
      </c>
      <c r="R57" s="159">
        <f t="shared" si="30"/>
        <v>0</v>
      </c>
      <c r="S57" s="159">
        <f t="shared" si="30"/>
        <v>0</v>
      </c>
      <c r="T57" s="159">
        <f t="shared" si="30"/>
        <v>0</v>
      </c>
      <c r="U57" s="844"/>
      <c r="V57" s="845"/>
      <c r="W57" s="159"/>
      <c r="X57" s="159"/>
      <c r="AA57" s="159"/>
      <c r="AC57" s="159"/>
      <c r="AD57" s="159"/>
      <c r="AE57" s="159"/>
      <c r="AF57" s="159"/>
      <c r="AG57" s="159"/>
    </row>
    <row r="58" spans="2:33" ht="14.5">
      <c r="B58" s="47" t="s">
        <v>912</v>
      </c>
      <c r="F58" s="159">
        <f>F56/-F57</f>
        <v>1.6784341139461727</v>
      </c>
      <c r="G58" s="159">
        <f t="shared" ref="G58:J58" si="32">G56/-G57</f>
        <v>2.5008213552361398</v>
      </c>
      <c r="H58" s="159">
        <f t="shared" si="32"/>
        <v>9.8897602388618093</v>
      </c>
      <c r="I58" s="159">
        <f t="shared" si="32"/>
        <v>38.339250287146285</v>
      </c>
      <c r="J58" s="159">
        <f t="shared" si="32"/>
        <v>23.11108186364833</v>
      </c>
      <c r="K58" s="159">
        <f>K56/-K57</f>
        <v>10.004449388209121</v>
      </c>
      <c r="L58" s="159">
        <v>4.5</v>
      </c>
      <c r="M58" s="159">
        <v>4.5</v>
      </c>
      <c r="N58" s="810">
        <v>4.5</v>
      </c>
      <c r="O58" s="159">
        <f>N58</f>
        <v>4.5</v>
      </c>
      <c r="P58" s="159">
        <f t="shared" ref="P58:T58" si="33">O58</f>
        <v>4.5</v>
      </c>
      <c r="Q58" s="159">
        <f t="shared" si="33"/>
        <v>4.5</v>
      </c>
      <c r="R58" s="159">
        <f t="shared" si="33"/>
        <v>4.5</v>
      </c>
      <c r="S58" s="159">
        <f>R58</f>
        <v>4.5</v>
      </c>
      <c r="T58" s="159">
        <f t="shared" si="33"/>
        <v>4.5</v>
      </c>
      <c r="U58" s="844"/>
      <c r="V58" s="845"/>
      <c r="W58" s="159"/>
      <c r="X58" s="159"/>
      <c r="AA58" s="159"/>
      <c r="AC58" s="159"/>
      <c r="AD58" s="159"/>
      <c r="AE58" s="159"/>
      <c r="AF58" s="159"/>
      <c r="AG58" s="159"/>
    </row>
    <row r="59" spans="2:33" s="107" customFormat="1">
      <c r="B59" s="839"/>
      <c r="F59" s="162"/>
      <c r="G59" s="162"/>
      <c r="H59" s="162"/>
      <c r="I59" s="162"/>
      <c r="J59" s="162"/>
      <c r="K59" s="162"/>
      <c r="L59" s="162"/>
      <c r="N59" s="846"/>
      <c r="V59" s="162"/>
      <c r="AA59" s="162"/>
      <c r="AC59" s="162"/>
      <c r="AD59" s="162"/>
      <c r="AE59" s="162"/>
      <c r="AF59" s="162"/>
      <c r="AG59" s="162"/>
    </row>
    <row r="60" spans="2:33" s="112" customFormat="1" ht="14.5">
      <c r="F60" s="845"/>
      <c r="G60" s="845"/>
      <c r="H60" s="845"/>
      <c r="I60" s="845"/>
      <c r="J60" s="845"/>
      <c r="K60" s="845"/>
      <c r="N60" s="847"/>
      <c r="AC60" s="845"/>
      <c r="AD60" s="845"/>
      <c r="AE60" s="845"/>
      <c r="AF60" s="845"/>
      <c r="AG60" s="845"/>
    </row>
    <row r="61" spans="2:33">
      <c r="B61" s="97"/>
      <c r="F61" s="159"/>
      <c r="G61" s="159"/>
      <c r="H61" s="159"/>
      <c r="I61" s="159"/>
      <c r="J61" s="159"/>
      <c r="K61" s="159"/>
      <c r="L61" s="159"/>
    </row>
    <row r="62" spans="2:33" s="843" customFormat="1">
      <c r="B62" s="848" t="s">
        <v>914</v>
      </c>
      <c r="C62" s="849"/>
      <c r="D62" s="849"/>
      <c r="E62" s="849"/>
      <c r="F62" s="850">
        <f t="shared" ref="F62:G62" si="34">ROUND(SUM(F63:F65),0)</f>
        <v>0</v>
      </c>
      <c r="G62" s="850">
        <f t="shared" si="34"/>
        <v>0</v>
      </c>
      <c r="H62" s="850">
        <f>ROUND(SUM(H63:H65),0)</f>
        <v>0</v>
      </c>
      <c r="I62" s="889">
        <f t="shared" ref="I62" si="35">ROUND(SUM(I63:I65),0)</f>
        <v>168666</v>
      </c>
      <c r="J62" s="889">
        <f>ROUND(SUM(J63:J64),0)</f>
        <v>173226</v>
      </c>
      <c r="K62" s="889">
        <f>SUM(K63:K64)</f>
        <v>172058</v>
      </c>
      <c r="L62" s="889">
        <f>SUM(L63:L64)</f>
        <v>170828</v>
      </c>
      <c r="M62" s="889">
        <f t="shared" ref="M62:N62" si="36">SUM(M63:M64)</f>
        <v>169444</v>
      </c>
      <c r="N62" s="890">
        <f t="shared" si="36"/>
        <v>167935</v>
      </c>
      <c r="O62" s="849">
        <f t="shared" ref="O62:T62" si="37">SUM(O63:O64)</f>
        <v>164919</v>
      </c>
      <c r="P62" s="849">
        <f t="shared" si="37"/>
        <v>161903</v>
      </c>
      <c r="Q62" s="849">
        <f t="shared" si="37"/>
        <v>158887</v>
      </c>
      <c r="R62" s="849">
        <f t="shared" si="37"/>
        <v>155871</v>
      </c>
      <c r="S62" s="849">
        <f t="shared" si="37"/>
        <v>152855</v>
      </c>
      <c r="T62" s="849">
        <f t="shared" si="37"/>
        <v>149839</v>
      </c>
    </row>
    <row r="63" spans="2:33">
      <c r="B63" s="84" t="s">
        <v>915</v>
      </c>
      <c r="F63" s="159">
        <f t="shared" ref="F63:J63" si="38">F15+F8</f>
        <v>0</v>
      </c>
      <c r="G63" s="159">
        <f t="shared" si="38"/>
        <v>0</v>
      </c>
      <c r="H63" s="159">
        <f t="shared" si="38"/>
        <v>0</v>
      </c>
      <c r="I63" s="117">
        <f t="shared" si="38"/>
        <v>168666</v>
      </c>
      <c r="J63" s="117">
        <f t="shared" si="38"/>
        <v>174298</v>
      </c>
      <c r="K63" s="117">
        <f>K15+K8</f>
        <v>173226</v>
      </c>
      <c r="L63" s="117">
        <f>L15+L8</f>
        <v>172057</v>
      </c>
      <c r="M63" s="117">
        <f>M15+M8</f>
        <v>170827</v>
      </c>
      <c r="N63" s="120">
        <f>N15+N8</f>
        <v>169443</v>
      </c>
      <c r="O63" s="117">
        <f>N62+O64</f>
        <v>166427</v>
      </c>
      <c r="P63" s="117">
        <f t="shared" ref="P63:T63" si="39">O62+P64</f>
        <v>163411</v>
      </c>
      <c r="Q63" s="117">
        <f>P62+Q64</f>
        <v>160395</v>
      </c>
      <c r="R63" s="117">
        <f>Q62+R64</f>
        <v>157379</v>
      </c>
      <c r="S63" s="117">
        <f t="shared" si="39"/>
        <v>154363</v>
      </c>
      <c r="T63" s="117">
        <f t="shared" si="39"/>
        <v>151347</v>
      </c>
    </row>
    <row r="64" spans="2:33">
      <c r="B64" s="163" t="s">
        <v>887</v>
      </c>
      <c r="F64" s="117">
        <f t="shared" ref="F64:G64" si="40">-F8</f>
        <v>0</v>
      </c>
      <c r="G64" s="117">
        <f t="shared" si="40"/>
        <v>0</v>
      </c>
      <c r="H64" s="117">
        <f>-H8</f>
        <v>0</v>
      </c>
      <c r="I64" s="117">
        <f t="shared" ref="I64:J64" si="41">-I8</f>
        <v>0</v>
      </c>
      <c r="J64" s="117">
        <f t="shared" si="41"/>
        <v>-1072</v>
      </c>
      <c r="K64" s="117">
        <f>-K8</f>
        <v>-1168</v>
      </c>
      <c r="L64" s="117">
        <f>-L8</f>
        <v>-1229</v>
      </c>
      <c r="M64" s="117">
        <f>-M8</f>
        <v>-1383</v>
      </c>
      <c r="N64" s="120">
        <f>-N8</f>
        <v>-1508</v>
      </c>
      <c r="O64" s="117">
        <f t="shared" ref="O64:T64" si="42">N64</f>
        <v>-1508</v>
      </c>
      <c r="P64" s="117">
        <f t="shared" si="42"/>
        <v>-1508</v>
      </c>
      <c r="Q64" s="117">
        <f t="shared" si="42"/>
        <v>-1508</v>
      </c>
      <c r="R64" s="117">
        <f t="shared" si="42"/>
        <v>-1508</v>
      </c>
      <c r="S64" s="117">
        <f t="shared" si="42"/>
        <v>-1508</v>
      </c>
      <c r="T64" s="117">
        <f t="shared" si="42"/>
        <v>-1508</v>
      </c>
    </row>
    <row r="65" spans="2:18">
      <c r="B65" s="97"/>
      <c r="K65" s="159"/>
      <c r="L65" s="159"/>
      <c r="M65" s="159"/>
      <c r="N65" s="810"/>
      <c r="O65" s="159"/>
      <c r="P65" s="159"/>
      <c r="Q65" s="159"/>
      <c r="R65" s="159"/>
    </row>
    <row r="68" spans="2:18" hidden="1" outlineLevel="1">
      <c r="B68" s="107" t="s">
        <v>501</v>
      </c>
    </row>
    <row r="69" spans="2:18" hidden="1" outlineLevel="1">
      <c r="B69" t="s">
        <v>916</v>
      </c>
    </row>
    <row r="70" spans="2:18" hidden="1" outlineLevel="1">
      <c r="B70" t="s">
        <v>917</v>
      </c>
    </row>
    <row r="71" spans="2:18" hidden="1" outlineLevel="1">
      <c r="B71" t="s">
        <v>918</v>
      </c>
    </row>
    <row r="72" spans="2:18" hidden="1" outlineLevel="1">
      <c r="B72" t="s">
        <v>919</v>
      </c>
    </row>
    <row r="73" spans="2:18" hidden="1" outlineLevel="1">
      <c r="B73" t="s">
        <v>920</v>
      </c>
    </row>
    <row r="74" spans="2:18" hidden="1" outlineLevel="1">
      <c r="B74" t="s">
        <v>913</v>
      </c>
    </row>
    <row r="75" spans="2:18" hidden="1" outlineLevel="1">
      <c r="B75" t="s">
        <v>921</v>
      </c>
    </row>
    <row r="76" spans="2:18" hidden="1" outlineLevel="1">
      <c r="B76" t="s">
        <v>922</v>
      </c>
    </row>
    <row r="77" spans="2:18" s="561" customFormat="1" hidden="1" outlineLevel="1">
      <c r="B77" s="851" t="s">
        <v>768</v>
      </c>
      <c r="C77" s="851"/>
      <c r="D77" s="851"/>
      <c r="E77" s="851"/>
      <c r="F77" s="851">
        <f>SUM(F69:F76)</f>
        <v>0</v>
      </c>
      <c r="G77" s="851">
        <f t="shared" ref="G77:L77" si="43">SUM(G69:G76)</f>
        <v>0</v>
      </c>
      <c r="H77" s="851">
        <f t="shared" si="43"/>
        <v>0</v>
      </c>
      <c r="I77" s="851">
        <f t="shared" si="43"/>
        <v>0</v>
      </c>
      <c r="J77" s="851">
        <f t="shared" si="43"/>
        <v>0</v>
      </c>
      <c r="K77" s="851">
        <f t="shared" si="43"/>
        <v>0</v>
      </c>
      <c r="L77" s="851">
        <f t="shared" si="43"/>
        <v>0</v>
      </c>
      <c r="M77" s="851"/>
      <c r="N77" s="852"/>
      <c r="O77" s="851"/>
      <c r="P77" s="851"/>
      <c r="Q77" s="851"/>
      <c r="R77" s="851"/>
    </row>
    <row r="78" spans="2:18" collapsed="1"/>
    <row r="84" spans="2:20" s="561" customFormat="1">
      <c r="B84" s="561" t="s">
        <v>768</v>
      </c>
      <c r="N84" s="853"/>
    </row>
    <row r="85" spans="2:20">
      <c r="B85" s="854" t="s">
        <v>923</v>
      </c>
    </row>
    <row r="87" spans="2:20">
      <c r="M87" s="39"/>
      <c r="N87" s="912"/>
    </row>
    <row r="88" spans="2:20">
      <c r="B88" s="41"/>
      <c r="C88" s="606">
        <f>C4</f>
        <v>2014</v>
      </c>
      <c r="D88" s="606">
        <f>C88+1</f>
        <v>2015</v>
      </c>
      <c r="E88" s="606">
        <f t="shared" ref="E88:T88" si="44">D88+1</f>
        <v>2016</v>
      </c>
      <c r="F88" s="606">
        <f t="shared" si="44"/>
        <v>2017</v>
      </c>
      <c r="G88" s="606">
        <f t="shared" si="44"/>
        <v>2018</v>
      </c>
      <c r="H88" s="606">
        <f t="shared" si="44"/>
        <v>2019</v>
      </c>
      <c r="I88" s="606">
        <f t="shared" si="44"/>
        <v>2020</v>
      </c>
      <c r="J88" s="606">
        <f t="shared" si="44"/>
        <v>2021</v>
      </c>
      <c r="K88" s="606">
        <f t="shared" si="44"/>
        <v>2022</v>
      </c>
      <c r="L88" s="606">
        <f t="shared" si="44"/>
        <v>2023</v>
      </c>
      <c r="M88" s="606">
        <f t="shared" si="44"/>
        <v>2024</v>
      </c>
      <c r="N88" s="607">
        <f t="shared" si="44"/>
        <v>2025</v>
      </c>
      <c r="O88" s="606">
        <f t="shared" si="44"/>
        <v>2026</v>
      </c>
      <c r="P88" s="606">
        <f t="shared" si="44"/>
        <v>2027</v>
      </c>
      <c r="Q88" s="606">
        <f t="shared" si="44"/>
        <v>2028</v>
      </c>
      <c r="R88" s="606">
        <f t="shared" si="44"/>
        <v>2029</v>
      </c>
      <c r="S88" s="606">
        <f t="shared" si="44"/>
        <v>2030</v>
      </c>
      <c r="T88" s="607">
        <f t="shared" si="44"/>
        <v>2031</v>
      </c>
    </row>
    <row r="89" spans="2:20">
      <c r="B89" s="41" t="s">
        <v>924</v>
      </c>
      <c r="C89" s="909">
        <f>'FI&amp;FE'!C13</f>
        <v>107217</v>
      </c>
      <c r="D89" s="909">
        <f>'FI&amp;FE'!D13</f>
        <v>76591</v>
      </c>
      <c r="E89" s="909">
        <f>'FI&amp;FE'!E13</f>
        <v>82182</v>
      </c>
      <c r="F89" s="909">
        <f>'FI&amp;FE'!F13</f>
        <v>42111</v>
      </c>
      <c r="G89" s="909">
        <f>'FI&amp;FE'!G13</f>
        <v>35245</v>
      </c>
      <c r="H89" s="909">
        <f>'FI&amp;FE'!H13</f>
        <v>37367</v>
      </c>
      <c r="I89" s="909">
        <f>'FI&amp;FE'!I13</f>
        <v>63681</v>
      </c>
      <c r="J89" s="909">
        <f>'FI&amp;FE'!J13</f>
        <v>48739</v>
      </c>
      <c r="K89" s="909">
        <f>'FI&amp;FE'!K13</f>
        <v>45517</v>
      </c>
      <c r="L89" s="909">
        <f>'FI&amp;FE'!L13</f>
        <v>50214</v>
      </c>
      <c r="M89" s="909">
        <f>'FI&amp;FE'!M13</f>
        <v>27449</v>
      </c>
      <c r="N89" s="917">
        <f>'FI&amp;FE'!N13</f>
        <v>34346</v>
      </c>
      <c r="O89" s="915">
        <f>-O92</f>
        <v>33228.323698143628</v>
      </c>
      <c r="P89" s="915">
        <f t="shared" ref="P89:T89" si="45">-P92</f>
        <v>34924.037429432021</v>
      </c>
      <c r="Q89" s="915">
        <f t="shared" si="45"/>
        <v>37866.270555151896</v>
      </c>
      <c r="R89" s="915">
        <f t="shared" si="45"/>
        <v>39228.537711343641</v>
      </c>
      <c r="S89" s="915">
        <f t="shared" si="45"/>
        <v>41647.580308700984</v>
      </c>
      <c r="T89" s="916">
        <f t="shared" si="45"/>
        <v>44356.649507395865</v>
      </c>
    </row>
    <row r="90" spans="2:20">
      <c r="B90" s="84" t="s">
        <v>925</v>
      </c>
      <c r="C90" s="868">
        <f t="shared" ref="C90:K90" si="46">C13+C5</f>
        <v>1349611</v>
      </c>
      <c r="D90" s="868">
        <f t="shared" si="46"/>
        <v>1662115</v>
      </c>
      <c r="E90" s="891">
        <f t="shared" si="46"/>
        <v>1206721</v>
      </c>
      <c r="F90" s="891">
        <f t="shared" si="46"/>
        <v>724844</v>
      </c>
      <c r="G90" s="891">
        <f t="shared" si="46"/>
        <v>608860</v>
      </c>
      <c r="H90" s="891">
        <f t="shared" si="46"/>
        <v>1054754</v>
      </c>
      <c r="I90" s="891">
        <f t="shared" si="46"/>
        <v>975055</v>
      </c>
      <c r="J90" s="891">
        <f t="shared" si="46"/>
        <v>662972</v>
      </c>
      <c r="K90" s="891">
        <f t="shared" si="46"/>
        <v>1033059</v>
      </c>
      <c r="L90" s="891">
        <f>L13+L5</f>
        <v>700957</v>
      </c>
      <c r="M90" s="891">
        <f t="shared" ref="M90" si="47">M13+M5</f>
        <v>414827</v>
      </c>
      <c r="N90" s="892">
        <f>N13+N5</f>
        <v>435519</v>
      </c>
      <c r="O90" s="159"/>
      <c r="P90" s="159"/>
      <c r="Q90" s="159"/>
      <c r="R90" s="159"/>
      <c r="S90" s="159"/>
      <c r="T90" s="810"/>
    </row>
    <row r="91" spans="2:20">
      <c r="B91" s="84" t="s">
        <v>926</v>
      </c>
      <c r="C91" s="824">
        <f>-C89/C90</f>
        <v>-7.9442891322017969E-2</v>
      </c>
      <c r="D91" s="824">
        <f t="shared" ref="D91:G91" si="48">-D89/D90</f>
        <v>-4.6080445697199053E-2</v>
      </c>
      <c r="E91" s="893">
        <f t="shared" si="48"/>
        <v>-6.8103563292592068E-2</v>
      </c>
      <c r="F91" s="893">
        <f t="shared" si="48"/>
        <v>-5.8096638725022215E-2</v>
      </c>
      <c r="G91" s="893">
        <f t="shared" si="48"/>
        <v>-5.7886870544952861E-2</v>
      </c>
      <c r="H91" s="893">
        <f>-H89/H90</f>
        <v>-3.5427218100144681E-2</v>
      </c>
      <c r="I91" s="893">
        <f t="shared" ref="I91:M91" si="49">-I89/I90</f>
        <v>-6.5310161990862051E-2</v>
      </c>
      <c r="J91" s="893">
        <f t="shared" si="49"/>
        <v>-7.3515925257778614E-2</v>
      </c>
      <c r="K91" s="893">
        <f t="shared" si="49"/>
        <v>-4.4060407004827412E-2</v>
      </c>
      <c r="L91" s="910">
        <f t="shared" si="49"/>
        <v>-7.1636348591996371E-2</v>
      </c>
      <c r="M91" s="910">
        <f t="shared" si="49"/>
        <v>-6.6169752692086095E-2</v>
      </c>
      <c r="N91" s="911">
        <f>-N89/N90</f>
        <v>-7.8862231039288758E-2</v>
      </c>
      <c r="O91" s="913">
        <f>AVERAGE(M91:N91)</f>
        <v>-7.2515991865687426E-2</v>
      </c>
      <c r="P91" s="913">
        <f>AVERAGE(M91:O91)+$N$87</f>
        <v>-7.2515991865687426E-2</v>
      </c>
      <c r="Q91" s="913">
        <f t="shared" ref="Q91:T91" si="50">AVERAGE(N91:P91)+$N$87</f>
        <v>-7.4631404923554537E-2</v>
      </c>
      <c r="R91" s="913">
        <f t="shared" si="50"/>
        <v>-7.322112955164313E-2</v>
      </c>
      <c r="S91" s="913">
        <f t="shared" si="50"/>
        <v>-7.3456175446961702E-2</v>
      </c>
      <c r="T91" s="914">
        <f t="shared" si="50"/>
        <v>-7.3769569974053123E-2</v>
      </c>
    </row>
    <row r="92" spans="2:20">
      <c r="B92" s="831" t="s">
        <v>927</v>
      </c>
      <c r="C92" s="833"/>
      <c r="D92" s="833"/>
      <c r="E92" s="894"/>
      <c r="F92" s="894"/>
      <c r="G92" s="894"/>
      <c r="H92" s="894"/>
      <c r="I92" s="894"/>
      <c r="J92" s="894"/>
      <c r="K92" s="894"/>
      <c r="L92" s="894"/>
      <c r="M92" s="895"/>
      <c r="N92" s="896"/>
      <c r="O92" s="1095">
        <f>(O5+O13)*O91</f>
        <v>-33228.323698143628</v>
      </c>
      <c r="P92" s="1095">
        <f t="shared" ref="P92:T92" si="51">(P5+P13)*P91</f>
        <v>-34924.037429432021</v>
      </c>
      <c r="Q92" s="1095">
        <f t="shared" si="51"/>
        <v>-37866.270555151896</v>
      </c>
      <c r="R92" s="1095">
        <f t="shared" si="51"/>
        <v>-39228.537711343641</v>
      </c>
      <c r="S92" s="1095">
        <f t="shared" si="51"/>
        <v>-41647.580308700984</v>
      </c>
      <c r="T92" s="1096">
        <f t="shared" si="51"/>
        <v>-44356.649507395865</v>
      </c>
    </row>
    <row r="93" spans="2:20">
      <c r="M93" s="177"/>
    </row>
    <row r="95" spans="2:20">
      <c r="M95" s="795"/>
      <c r="N95" s="796"/>
      <c r="O95" s="795"/>
      <c r="P95" s="795"/>
      <c r="Q95" s="795"/>
      <c r="R95" s="795"/>
    </row>
    <row r="96" spans="2:20">
      <c r="M96" s="177"/>
      <c r="N96" s="800"/>
      <c r="O96" s="177"/>
      <c r="P96" s="177"/>
      <c r="Q96" s="177"/>
      <c r="R96" s="177"/>
    </row>
    <row r="97" spans="8:18">
      <c r="M97" s="795"/>
      <c r="N97" s="796"/>
      <c r="O97" s="795"/>
      <c r="P97" s="795"/>
      <c r="Q97" s="795"/>
      <c r="R97" s="795"/>
    </row>
    <row r="98" spans="8:18">
      <c r="M98" s="797"/>
      <c r="N98" s="800"/>
      <c r="O98" s="795"/>
      <c r="P98" s="795"/>
      <c r="Q98" s="795"/>
      <c r="R98" s="795"/>
    </row>
    <row r="99" spans="8:18">
      <c r="M99" s="797"/>
      <c r="N99" s="800"/>
      <c r="O99" s="177"/>
      <c r="P99" s="795"/>
      <c r="Q99" s="795"/>
      <c r="R99" s="795"/>
    </row>
    <row r="100" spans="8:18">
      <c r="H100" s="795"/>
      <c r="I100" s="795"/>
      <c r="J100" s="795"/>
      <c r="K100" s="795"/>
      <c r="L100" s="795"/>
      <c r="M100" s="177"/>
      <c r="N100" s="800"/>
      <c r="O100" s="177"/>
      <c r="P100" s="177"/>
      <c r="Q100" s="177"/>
      <c r="R100" s="177"/>
    </row>
    <row r="101" spans="8:18">
      <c r="H101" s="795"/>
      <c r="I101" s="795"/>
      <c r="J101" s="795"/>
      <c r="K101" s="795"/>
      <c r="L101" s="795"/>
      <c r="M101" s="177"/>
      <c r="N101" s="800"/>
      <c r="O101" s="177"/>
      <c r="P101" s="177"/>
      <c r="Q101" s="177"/>
      <c r="R101" s="177"/>
    </row>
    <row r="102" spans="8:18">
      <c r="H102" s="177"/>
      <c r="I102" s="177"/>
      <c r="J102" s="177"/>
      <c r="K102" s="177"/>
      <c r="L102" s="177"/>
      <c r="M102" s="177"/>
      <c r="N102" s="800"/>
      <c r="O102" s="177"/>
      <c r="P102" s="177"/>
      <c r="Q102" s="177"/>
      <c r="R102" s="177"/>
    </row>
  </sheetData>
  <conditionalFormatting sqref="C48:L48">
    <cfRule type="cellIs" dxfId="5" priority="5" operator="notEqual">
      <formula>0</formula>
    </cfRule>
    <cfRule type="cellIs" dxfId="4" priority="6" operator="equal">
      <formula>0</formula>
    </cfRule>
  </conditionalFormatting>
  <conditionalFormatting sqref="C11:T11">
    <cfRule type="cellIs" dxfId="3" priority="3" operator="notEqual">
      <formula>0</formula>
    </cfRule>
    <cfRule type="cellIs" dxfId="2" priority="4" operator="equal">
      <formula>0</formula>
    </cfRule>
  </conditionalFormatting>
  <conditionalFormatting sqref="C18:T18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001B-5347-4B7C-8E92-E4D3CDF233E2}">
  <sheetPr>
    <tabColor theme="5" tint="0.59999389629810485"/>
  </sheetPr>
  <dimension ref="B1:T64"/>
  <sheetViews>
    <sheetView topLeftCell="B1" zoomScale="40" zoomScaleNormal="40" workbookViewId="0">
      <pane xSplit="1" ySplit="1" topLeftCell="M2" activePane="bottomRight" state="frozen"/>
      <selection activeCell="B1" sqref="B1"/>
      <selection pane="topRight" activeCell="C1" sqref="C1"/>
      <selection pane="bottomLeft" activeCell="B2" sqref="B2"/>
      <selection pane="bottomRight" activeCell="U40" sqref="U40"/>
    </sheetView>
  </sheetViews>
  <sheetFormatPr defaultRowHeight="14"/>
  <cols>
    <col min="2" max="2" width="56.75" bestFit="1" customWidth="1"/>
    <col min="3" max="3" width="10.5" bestFit="1" customWidth="1"/>
    <col min="4" max="4" width="8.9140625" bestFit="1" customWidth="1"/>
    <col min="5" max="7" width="10.5" bestFit="1" customWidth="1"/>
    <col min="8" max="13" width="11.58203125" bestFit="1" customWidth="1"/>
    <col min="14" max="14" width="11.58203125" style="40" bestFit="1" customWidth="1"/>
    <col min="15" max="20" width="11.58203125" bestFit="1" customWidth="1"/>
  </cols>
  <sheetData>
    <row r="1" spans="2:20">
      <c r="C1" s="606">
        <v>2014</v>
      </c>
      <c r="D1" s="606">
        <f>C1+1</f>
        <v>2015</v>
      </c>
      <c r="E1" s="606">
        <f t="shared" ref="E1:P1" si="0">D1+1</f>
        <v>2016</v>
      </c>
      <c r="F1" s="606">
        <f t="shared" si="0"/>
        <v>2017</v>
      </c>
      <c r="G1" s="606">
        <f t="shared" si="0"/>
        <v>2018</v>
      </c>
      <c r="H1" s="606">
        <f t="shared" si="0"/>
        <v>2019</v>
      </c>
      <c r="I1" s="606">
        <f t="shared" si="0"/>
        <v>2020</v>
      </c>
      <c r="J1" s="606">
        <f t="shared" si="0"/>
        <v>2021</v>
      </c>
      <c r="K1" s="606">
        <f t="shared" si="0"/>
        <v>2022</v>
      </c>
      <c r="L1" s="606">
        <f t="shared" si="0"/>
        <v>2023</v>
      </c>
      <c r="M1" s="606">
        <f t="shared" si="0"/>
        <v>2024</v>
      </c>
      <c r="N1" s="607">
        <f t="shared" si="0"/>
        <v>2025</v>
      </c>
      <c r="O1" s="606">
        <f t="shared" si="0"/>
        <v>2026</v>
      </c>
      <c r="P1" s="606">
        <f t="shared" si="0"/>
        <v>2027</v>
      </c>
      <c r="Q1" s="606">
        <f t="shared" ref="Q1" si="1">P1+1</f>
        <v>2028</v>
      </c>
      <c r="R1" s="606">
        <f t="shared" ref="R1" si="2">Q1+1</f>
        <v>2029</v>
      </c>
      <c r="S1" s="606">
        <f t="shared" ref="S1" si="3">R1+1</f>
        <v>2030</v>
      </c>
      <c r="T1" s="606">
        <f t="shared" ref="T1" si="4">S1+1</f>
        <v>2031</v>
      </c>
    </row>
    <row r="2" spans="2:20">
      <c r="B2" s="905" t="s">
        <v>377</v>
      </c>
      <c r="C2" s="906">
        <f>SUM(C3:C11)</f>
        <v>367208</v>
      </c>
      <c r="D2" s="906">
        <f>SUM(D3:D11)</f>
        <v>418645</v>
      </c>
      <c r="E2" s="906">
        <f t="shared" ref="E2:K2" si="5">SUM(E3:E11)</f>
        <v>751039</v>
      </c>
      <c r="F2" s="906">
        <f t="shared" si="5"/>
        <v>506106</v>
      </c>
      <c r="G2" s="906">
        <f t="shared" si="5"/>
        <v>630348</v>
      </c>
      <c r="H2" s="906">
        <f t="shared" si="5"/>
        <v>889851</v>
      </c>
      <c r="I2" s="906">
        <f t="shared" si="5"/>
        <v>974400</v>
      </c>
      <c r="J2" s="906">
        <f t="shared" si="5"/>
        <v>1119595</v>
      </c>
      <c r="K2" s="906">
        <f t="shared" si="5"/>
        <v>1090559</v>
      </c>
      <c r="L2" s="906">
        <f>SUM(L3:L11)</f>
        <v>1432567</v>
      </c>
      <c r="M2" s="906">
        <f>SUM(M3:M11)</f>
        <v>1067076</v>
      </c>
      <c r="N2" s="907">
        <f>SUM(N3:N11)</f>
        <v>1006646</v>
      </c>
      <c r="O2" s="157">
        <f t="shared" ref="O2:T2" si="6">SUM(O3:O11)</f>
        <v>977523.69962457812</v>
      </c>
      <c r="P2" s="157">
        <f t="shared" si="6"/>
        <v>927502.69559499959</v>
      </c>
      <c r="Q2" s="157">
        <f t="shared" si="6"/>
        <v>922159.29790540854</v>
      </c>
      <c r="R2" s="157">
        <f t="shared" si="6"/>
        <v>919283.02181077644</v>
      </c>
      <c r="S2" s="157">
        <f t="shared" si="6"/>
        <v>916482.26944071427</v>
      </c>
      <c r="T2" s="157">
        <f t="shared" si="6"/>
        <v>939848.60689847788</v>
      </c>
    </row>
    <row r="3" spans="2:20" ht="14.5">
      <c r="B3" s="844" t="s">
        <v>928</v>
      </c>
      <c r="C3" s="117">
        <v>313766</v>
      </c>
      <c r="D3" s="117">
        <v>387152</v>
      </c>
      <c r="E3" s="117">
        <v>469858</v>
      </c>
      <c r="F3" s="117">
        <v>453751</v>
      </c>
      <c r="G3" s="117">
        <v>605719</v>
      </c>
      <c r="H3" s="117">
        <v>854826</v>
      </c>
      <c r="I3" s="117">
        <v>929227</v>
      </c>
      <c r="J3" s="117">
        <v>848327</v>
      </c>
      <c r="K3" s="117">
        <v>1023929</v>
      </c>
      <c r="L3" s="117">
        <v>1389919</v>
      </c>
      <c r="M3" s="117">
        <v>1044633</v>
      </c>
      <c r="N3" s="120">
        <v>995208</v>
      </c>
      <c r="O3" s="898">
        <f>O29</f>
        <v>960583.19962457812</v>
      </c>
      <c r="P3" s="898">
        <f t="shared" ref="P3:Q3" si="7">P29</f>
        <v>913313.44559499959</v>
      </c>
      <c r="Q3" s="898">
        <f t="shared" si="7"/>
        <v>906594.42290540854</v>
      </c>
      <c r="R3" s="898">
        <f>R29</f>
        <v>904404.95931077644</v>
      </c>
      <c r="S3" s="898">
        <f t="shared" ref="S3:T3" si="8">S29</f>
        <v>901260.30069071427</v>
      </c>
      <c r="T3" s="898">
        <f t="shared" si="8"/>
        <v>924798.59127347788</v>
      </c>
    </row>
    <row r="4" spans="2:20" ht="14.5">
      <c r="B4" s="844" t="s">
        <v>929</v>
      </c>
      <c r="C4" s="117">
        <v>26185</v>
      </c>
      <c r="D4" s="117">
        <v>25926</v>
      </c>
      <c r="E4" s="117">
        <v>0</v>
      </c>
      <c r="F4" s="117">
        <v>0</v>
      </c>
      <c r="G4" s="117">
        <v>0</v>
      </c>
      <c r="H4" s="117">
        <v>0</v>
      </c>
      <c r="I4" s="117">
        <v>0</v>
      </c>
      <c r="J4" s="117">
        <v>0</v>
      </c>
      <c r="K4" s="117">
        <v>0</v>
      </c>
      <c r="L4" s="117">
        <v>0</v>
      </c>
      <c r="M4" s="117">
        <v>0</v>
      </c>
      <c r="N4" s="120">
        <v>0</v>
      </c>
      <c r="O4" s="897">
        <v>0</v>
      </c>
      <c r="P4" s="897">
        <v>0</v>
      </c>
      <c r="Q4" s="897">
        <v>0</v>
      </c>
      <c r="R4" s="897">
        <v>1</v>
      </c>
      <c r="S4" s="897">
        <v>1</v>
      </c>
      <c r="T4" s="897">
        <v>1</v>
      </c>
    </row>
    <row r="5" spans="2:20" ht="14.5">
      <c r="B5" s="844" t="s">
        <v>930</v>
      </c>
      <c r="C5" s="117">
        <v>12937</v>
      </c>
      <c r="D5" s="117">
        <v>836</v>
      </c>
      <c r="E5" s="117">
        <v>55393</v>
      </c>
      <c r="F5" s="117">
        <v>28364</v>
      </c>
      <c r="G5" s="117">
        <v>13833</v>
      </c>
      <c r="H5" s="117">
        <v>7489</v>
      </c>
      <c r="I5" s="117">
        <v>3092</v>
      </c>
      <c r="J5" s="117">
        <v>1383</v>
      </c>
      <c r="K5" s="117">
        <v>2602</v>
      </c>
      <c r="L5" s="117">
        <v>1456</v>
      </c>
      <c r="M5" s="117">
        <v>3553</v>
      </c>
      <c r="N5" s="120">
        <v>2529</v>
      </c>
      <c r="O5" s="897">
        <f t="shared" ref="O5:T11" si="9">AVERAGE(M5:N5)</f>
        <v>3041</v>
      </c>
      <c r="P5" s="897">
        <f t="shared" si="9"/>
        <v>2785</v>
      </c>
      <c r="Q5" s="897">
        <f t="shared" si="9"/>
        <v>2913</v>
      </c>
      <c r="R5" s="897">
        <f t="shared" si="9"/>
        <v>2849</v>
      </c>
      <c r="S5" s="897">
        <f t="shared" si="9"/>
        <v>2881</v>
      </c>
      <c r="T5" s="897">
        <f t="shared" si="9"/>
        <v>2865</v>
      </c>
    </row>
    <row r="6" spans="2:20" ht="14.5">
      <c r="B6" s="844" t="s">
        <v>931</v>
      </c>
      <c r="C6" s="117"/>
      <c r="D6" s="117">
        <v>0</v>
      </c>
      <c r="E6" s="117">
        <v>215654</v>
      </c>
      <c r="F6" s="117">
        <v>22725</v>
      </c>
      <c r="G6" s="117">
        <v>0</v>
      </c>
      <c r="H6" s="117">
        <v>0</v>
      </c>
      <c r="I6" s="117">
        <v>0</v>
      </c>
      <c r="J6" s="117">
        <v>219312</v>
      </c>
      <c r="K6" s="117">
        <v>0</v>
      </c>
      <c r="L6" s="117">
        <v>0</v>
      </c>
      <c r="M6" s="117">
        <v>0</v>
      </c>
      <c r="N6" s="120">
        <v>0</v>
      </c>
      <c r="O6" s="897">
        <f>AVERAGE(M6:N6)</f>
        <v>0</v>
      </c>
      <c r="P6" s="897">
        <f t="shared" si="9"/>
        <v>0</v>
      </c>
      <c r="Q6" s="897">
        <f t="shared" si="9"/>
        <v>0</v>
      </c>
      <c r="R6" s="897">
        <f t="shared" si="9"/>
        <v>0</v>
      </c>
      <c r="S6" s="897">
        <f t="shared" si="9"/>
        <v>0</v>
      </c>
      <c r="T6" s="897">
        <f t="shared" si="9"/>
        <v>0</v>
      </c>
    </row>
    <row r="7" spans="2:20" ht="14.5">
      <c r="B7" s="844" t="s">
        <v>932</v>
      </c>
      <c r="C7" s="117"/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20">
        <v>0</v>
      </c>
      <c r="O7" s="897">
        <f t="shared" si="9"/>
        <v>0</v>
      </c>
      <c r="P7" s="897">
        <f t="shared" si="9"/>
        <v>0</v>
      </c>
      <c r="Q7" s="897">
        <f t="shared" si="9"/>
        <v>0</v>
      </c>
      <c r="R7" s="897">
        <f t="shared" si="9"/>
        <v>0</v>
      </c>
      <c r="S7" s="897">
        <f t="shared" si="9"/>
        <v>0</v>
      </c>
      <c r="T7" s="897">
        <f t="shared" si="9"/>
        <v>0</v>
      </c>
    </row>
    <row r="8" spans="2:20" ht="14.5">
      <c r="B8" s="844" t="s">
        <v>933</v>
      </c>
      <c r="C8" s="117">
        <v>2463</v>
      </c>
      <c r="D8" s="117">
        <v>1667</v>
      </c>
      <c r="E8" s="117">
        <v>5244</v>
      </c>
      <c r="F8" s="117">
        <v>1233</v>
      </c>
      <c r="G8" s="117">
        <v>2183</v>
      </c>
      <c r="H8" s="117">
        <v>27535</v>
      </c>
      <c r="I8" s="117">
        <v>42079</v>
      </c>
      <c r="J8" s="117">
        <v>49947</v>
      </c>
      <c r="K8" s="117">
        <v>64016</v>
      </c>
      <c r="L8" s="117">
        <v>41184</v>
      </c>
      <c r="M8" s="117">
        <v>18887</v>
      </c>
      <c r="N8" s="120">
        <v>8903</v>
      </c>
      <c r="O8" s="897">
        <f>AVERAGE(M8:N8)</f>
        <v>13895</v>
      </c>
      <c r="P8" s="897">
        <f t="shared" si="9"/>
        <v>11399</v>
      </c>
      <c r="Q8" s="897">
        <f t="shared" si="9"/>
        <v>12647</v>
      </c>
      <c r="R8" s="897">
        <f t="shared" si="9"/>
        <v>12023</v>
      </c>
      <c r="S8" s="897">
        <f t="shared" si="9"/>
        <v>12335</v>
      </c>
      <c r="T8" s="897">
        <f t="shared" si="9"/>
        <v>12179</v>
      </c>
    </row>
    <row r="9" spans="2:20" ht="14.5">
      <c r="B9" s="844" t="s">
        <v>934</v>
      </c>
      <c r="C9" s="117">
        <v>1978</v>
      </c>
      <c r="D9" s="117">
        <v>14</v>
      </c>
      <c r="E9" s="117">
        <v>0</v>
      </c>
      <c r="F9" s="117">
        <v>0</v>
      </c>
      <c r="G9" s="117">
        <v>7801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20">
        <v>0</v>
      </c>
      <c r="O9" s="897">
        <f t="shared" si="9"/>
        <v>0</v>
      </c>
      <c r="P9" s="897">
        <f t="shared" si="9"/>
        <v>0</v>
      </c>
      <c r="Q9" s="897">
        <f t="shared" si="9"/>
        <v>0</v>
      </c>
      <c r="R9" s="897">
        <f t="shared" si="9"/>
        <v>0</v>
      </c>
      <c r="S9" s="897">
        <f t="shared" si="9"/>
        <v>0</v>
      </c>
      <c r="T9" s="897">
        <f t="shared" si="9"/>
        <v>0</v>
      </c>
    </row>
    <row r="10" spans="2:20" ht="14.5">
      <c r="B10" s="844" t="s">
        <v>935</v>
      </c>
      <c r="C10" s="117"/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/>
      <c r="J10" s="117">
        <v>0</v>
      </c>
      <c r="K10" s="117">
        <v>0</v>
      </c>
      <c r="L10" s="117">
        <v>0</v>
      </c>
      <c r="M10" s="117">
        <v>0</v>
      </c>
      <c r="N10" s="120">
        <v>0</v>
      </c>
      <c r="O10" s="897">
        <f t="shared" si="9"/>
        <v>0</v>
      </c>
      <c r="P10" s="897">
        <f t="shared" si="9"/>
        <v>0</v>
      </c>
      <c r="Q10" s="897">
        <f t="shared" si="9"/>
        <v>0</v>
      </c>
      <c r="R10" s="897">
        <f t="shared" si="9"/>
        <v>0</v>
      </c>
      <c r="S10" s="897">
        <f t="shared" si="9"/>
        <v>0</v>
      </c>
      <c r="T10" s="897">
        <f t="shared" si="9"/>
        <v>0</v>
      </c>
    </row>
    <row r="11" spans="2:20" ht="14.5">
      <c r="B11" s="844" t="s">
        <v>936</v>
      </c>
      <c r="C11" s="117">
        <v>9879</v>
      </c>
      <c r="D11" s="117">
        <v>3050</v>
      </c>
      <c r="E11" s="117">
        <v>4890</v>
      </c>
      <c r="F11" s="117">
        <v>33</v>
      </c>
      <c r="G11" s="117">
        <v>812</v>
      </c>
      <c r="H11" s="117">
        <v>1</v>
      </c>
      <c r="I11" s="117">
        <v>2</v>
      </c>
      <c r="J11" s="117">
        <v>626</v>
      </c>
      <c r="K11" s="117">
        <v>12</v>
      </c>
      <c r="L11" s="117">
        <v>8</v>
      </c>
      <c r="M11" s="117">
        <v>3</v>
      </c>
      <c r="N11" s="120">
        <v>6</v>
      </c>
      <c r="O11" s="897">
        <f t="shared" si="9"/>
        <v>4.5</v>
      </c>
      <c r="P11" s="897">
        <f t="shared" si="9"/>
        <v>5.25</v>
      </c>
      <c r="Q11" s="897">
        <f t="shared" si="9"/>
        <v>4.875</v>
      </c>
      <c r="R11" s="897">
        <f t="shared" si="9"/>
        <v>5.0625</v>
      </c>
      <c r="S11" s="897">
        <f t="shared" si="9"/>
        <v>4.96875</v>
      </c>
      <c r="T11" s="897">
        <f t="shared" si="9"/>
        <v>5.015625</v>
      </c>
    </row>
    <row r="12" spans="2:20" s="107" customFormat="1">
      <c r="B12" s="905" t="s">
        <v>378</v>
      </c>
      <c r="C12" s="906" t="e">
        <f>SUM(C13:C20)</f>
        <v>#REF!</v>
      </c>
      <c r="D12" s="906" t="e">
        <f>SUM(D13:D20)</f>
        <v>#REF!</v>
      </c>
      <c r="E12" s="906">
        <f t="shared" ref="E12:N12" si="10">SUM(E13:E20)</f>
        <v>68663</v>
      </c>
      <c r="F12" s="906">
        <f t="shared" si="10"/>
        <v>-25807</v>
      </c>
      <c r="G12" s="906">
        <f t="shared" si="10"/>
        <v>74633</v>
      </c>
      <c r="H12" s="906">
        <f t="shared" si="10"/>
        <v>93009</v>
      </c>
      <c r="I12" s="906">
        <f t="shared" si="10"/>
        <v>105448</v>
      </c>
      <c r="J12" s="906">
        <f t="shared" si="10"/>
        <v>22783</v>
      </c>
      <c r="K12" s="906">
        <f t="shared" si="10"/>
        <v>81991</v>
      </c>
      <c r="L12" s="906">
        <f t="shared" si="10"/>
        <v>73432</v>
      </c>
      <c r="M12" s="906">
        <f t="shared" si="10"/>
        <v>24787</v>
      </c>
      <c r="N12" s="907">
        <f t="shared" si="10"/>
        <v>26256</v>
      </c>
      <c r="O12" s="157">
        <f>SUM(O13:O20)</f>
        <v>29677.65703147696</v>
      </c>
      <c r="P12" s="157">
        <f t="shared" ref="P12:Q12" si="11">SUM(P13:P20)</f>
        <v>26823.98187387647</v>
      </c>
      <c r="Q12" s="157">
        <f t="shared" si="11"/>
        <v>29623.779814411155</v>
      </c>
      <c r="R12" s="157">
        <f>SUM(R13:R20)</f>
        <v>32320.091723689322</v>
      </c>
      <c r="S12" s="157">
        <f t="shared" ref="S12:T12" si="12">SUM(S13:S20)</f>
        <v>34037.103714050776</v>
      </c>
      <c r="T12" s="157">
        <f t="shared" si="12"/>
        <v>36700.251316380767</v>
      </c>
    </row>
    <row r="13" spans="2:20">
      <c r="B13" s="97" t="s">
        <v>937</v>
      </c>
      <c r="C13" s="117">
        <v>107217</v>
      </c>
      <c r="D13" s="117">
        <v>76591</v>
      </c>
      <c r="E13" s="117">
        <v>82182</v>
      </c>
      <c r="F13" s="117">
        <v>42111</v>
      </c>
      <c r="G13" s="117">
        <v>35245</v>
      </c>
      <c r="H13" s="117">
        <v>37367</v>
      </c>
      <c r="I13" s="117">
        <v>63681</v>
      </c>
      <c r="J13" s="117">
        <v>48739</v>
      </c>
      <c r="K13" s="117">
        <v>45517</v>
      </c>
      <c r="L13" s="117">
        <v>50214</v>
      </c>
      <c r="M13" s="117">
        <v>27449</v>
      </c>
      <c r="N13" s="120">
        <v>34346</v>
      </c>
      <c r="O13" s="902">
        <f>Debt!O89</f>
        <v>33228.323698143628</v>
      </c>
      <c r="P13" s="902">
        <f>Debt!P89</f>
        <v>34924.037429432021</v>
      </c>
      <c r="Q13" s="902">
        <f>Debt!Q89</f>
        <v>37866.270555151896</v>
      </c>
      <c r="R13" s="902">
        <f>Debt!R89</f>
        <v>39228.537711343641</v>
      </c>
      <c r="S13" s="902">
        <f>Debt!S89</f>
        <v>41647.580308700984</v>
      </c>
      <c r="T13" s="902">
        <f>Debt!T89</f>
        <v>44356.649507395865</v>
      </c>
    </row>
    <row r="14" spans="2:20">
      <c r="B14" s="97" t="s">
        <v>938</v>
      </c>
      <c r="C14" s="117"/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20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2:20">
      <c r="B15" s="97" t="s">
        <v>939</v>
      </c>
      <c r="C15" s="117">
        <v>0</v>
      </c>
      <c r="D15" s="117">
        <v>16526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-14234</v>
      </c>
      <c r="N15" s="120">
        <v>-18688</v>
      </c>
      <c r="O15" s="2">
        <f>AVERAGE(M15:N15)</f>
        <v>-16461</v>
      </c>
      <c r="P15" s="2">
        <f t="shared" ref="P15:T15" si="13">AVERAGE(N15:O15)</f>
        <v>-17574.5</v>
      </c>
      <c r="Q15" s="2">
        <f t="shared" si="13"/>
        <v>-17017.75</v>
      </c>
      <c r="R15" s="2">
        <f t="shared" si="13"/>
        <v>-17296.125</v>
      </c>
      <c r="S15" s="2">
        <f t="shared" si="13"/>
        <v>-17156.9375</v>
      </c>
      <c r="T15" s="2">
        <f t="shared" si="13"/>
        <v>-17226.53125</v>
      </c>
    </row>
    <row r="16" spans="2:20">
      <c r="B16" s="97" t="s">
        <v>940</v>
      </c>
      <c r="C16" s="117"/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20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2:20">
      <c r="B17" s="97" t="s">
        <v>941</v>
      </c>
      <c r="C17" s="117">
        <v>8450</v>
      </c>
      <c r="D17" s="117">
        <v>3016</v>
      </c>
      <c r="E17" s="117">
        <v>1409</v>
      </c>
      <c r="F17" s="117">
        <v>2869</v>
      </c>
      <c r="G17" s="117">
        <v>1366</v>
      </c>
      <c r="H17" s="117">
        <v>3434</v>
      </c>
      <c r="I17" s="117">
        <v>32531</v>
      </c>
      <c r="J17" s="117">
        <v>7376</v>
      </c>
      <c r="K17" s="117">
        <v>36019</v>
      </c>
      <c r="L17" s="117">
        <v>16863</v>
      </c>
      <c r="M17" s="117">
        <v>11572</v>
      </c>
      <c r="N17" s="120">
        <v>3941</v>
      </c>
      <c r="O17" s="2">
        <f>AVERAGE(L17:N17)</f>
        <v>10792</v>
      </c>
      <c r="P17" s="2">
        <f t="shared" ref="P17:T17" si="14">AVERAGE(M17:O17)</f>
        <v>8768.3333333333339</v>
      </c>
      <c r="Q17" s="2">
        <f t="shared" si="14"/>
        <v>7833.7777777777783</v>
      </c>
      <c r="R17" s="2">
        <f t="shared" si="14"/>
        <v>9131.3703703703704</v>
      </c>
      <c r="S17" s="2">
        <f t="shared" si="14"/>
        <v>8577.8271604938273</v>
      </c>
      <c r="T17" s="2">
        <f t="shared" si="14"/>
        <v>8514.325102880659</v>
      </c>
    </row>
    <row r="18" spans="2:20">
      <c r="B18" s="97" t="s">
        <v>942</v>
      </c>
      <c r="C18" s="117">
        <v>502</v>
      </c>
      <c r="D18" s="117">
        <v>398</v>
      </c>
      <c r="E18" s="117">
        <v>1</v>
      </c>
      <c r="F18" s="117">
        <v>105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20">
        <v>6657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  <c r="T18" s="2">
        <v>1</v>
      </c>
    </row>
    <row r="19" spans="2:20">
      <c r="B19" s="97" t="s">
        <v>943</v>
      </c>
      <c r="C19" s="117">
        <v>-38844</v>
      </c>
      <c r="D19" s="117">
        <v>22721</v>
      </c>
      <c r="E19" s="117">
        <v>-15274</v>
      </c>
      <c r="F19" s="117">
        <v>-74325</v>
      </c>
      <c r="G19" s="117">
        <v>37925</v>
      </c>
      <c r="H19" s="117">
        <v>52208</v>
      </c>
      <c r="I19" s="117">
        <v>9023</v>
      </c>
      <c r="J19" s="117">
        <v>-34805</v>
      </c>
      <c r="K19" s="117">
        <v>436</v>
      </c>
      <c r="L19" s="117">
        <v>6196</v>
      </c>
      <c r="M19" s="117">
        <v>0</v>
      </c>
      <c r="N19" s="120">
        <v>0</v>
      </c>
      <c r="O19" s="2">
        <f>AVERAGE(L19:N19)</f>
        <v>2065.3333333333335</v>
      </c>
      <c r="P19" s="2">
        <f t="shared" ref="P19:T20" si="15">AVERAGE(M19:O19)</f>
        <v>688.44444444444446</v>
      </c>
      <c r="Q19" s="2">
        <f t="shared" si="15"/>
        <v>917.92592592592598</v>
      </c>
      <c r="R19" s="2">
        <f t="shared" si="15"/>
        <v>1223.9012345679014</v>
      </c>
      <c r="S19" s="2">
        <f t="shared" si="15"/>
        <v>943.42386831275724</v>
      </c>
      <c r="T19" s="2">
        <f t="shared" si="15"/>
        <v>1028.4170096021949</v>
      </c>
    </row>
    <row r="20" spans="2:20">
      <c r="B20" s="97" t="s">
        <v>936</v>
      </c>
      <c r="C20" s="117" t="e">
        <f>TRUNC(#REF!/1000000)</f>
        <v>#REF!</v>
      </c>
      <c r="D20" s="117" t="e">
        <f>TRUNC(#REF!/1000000)</f>
        <v>#REF!</v>
      </c>
      <c r="E20" s="117">
        <v>345</v>
      </c>
      <c r="F20" s="117">
        <v>3433</v>
      </c>
      <c r="G20" s="117">
        <v>97</v>
      </c>
      <c r="H20" s="117">
        <v>0</v>
      </c>
      <c r="I20" s="117">
        <v>213</v>
      </c>
      <c r="J20" s="117">
        <v>1473</v>
      </c>
      <c r="K20" s="117">
        <v>19</v>
      </c>
      <c r="L20" s="117">
        <v>159</v>
      </c>
      <c r="M20" s="117">
        <v>0</v>
      </c>
      <c r="N20" s="120">
        <v>0</v>
      </c>
      <c r="O20" s="2">
        <f>AVERAGE(L20:N20)</f>
        <v>53</v>
      </c>
      <c r="P20" s="2">
        <f>AVERAGE(M20:O20)</f>
        <v>17.666666666666668</v>
      </c>
      <c r="Q20" s="2">
        <f t="shared" si="15"/>
        <v>23.555555555555557</v>
      </c>
      <c r="R20" s="2">
        <f t="shared" si="15"/>
        <v>31.407407407407408</v>
      </c>
      <c r="S20" s="2">
        <f t="shared" si="15"/>
        <v>24.209876543209877</v>
      </c>
      <c r="T20" s="2">
        <f t="shared" si="15"/>
        <v>26.390946502057613</v>
      </c>
    </row>
    <row r="21" spans="2:20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93"/>
      <c r="O21" s="177"/>
      <c r="P21" s="177"/>
      <c r="Q21" s="177"/>
      <c r="R21" s="177"/>
    </row>
    <row r="22" spans="2:20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903"/>
      <c r="O22" s="177"/>
      <c r="P22" s="177"/>
      <c r="Q22" s="177"/>
      <c r="R22" s="177"/>
    </row>
    <row r="23" spans="2:20">
      <c r="C23" s="606">
        <v>2014</v>
      </c>
      <c r="D23" s="606">
        <f>C23+1</f>
        <v>2015</v>
      </c>
      <c r="E23" s="606">
        <f t="shared" ref="E23:P23" si="16">D23+1</f>
        <v>2016</v>
      </c>
      <c r="F23" s="606">
        <f t="shared" si="16"/>
        <v>2017</v>
      </c>
      <c r="G23" s="606">
        <f t="shared" si="16"/>
        <v>2018</v>
      </c>
      <c r="H23" s="606">
        <f t="shared" si="16"/>
        <v>2019</v>
      </c>
      <c r="I23" s="606">
        <f t="shared" si="16"/>
        <v>2020</v>
      </c>
      <c r="J23" s="606">
        <f t="shared" si="16"/>
        <v>2021</v>
      </c>
      <c r="K23" s="606">
        <f t="shared" si="16"/>
        <v>2022</v>
      </c>
      <c r="L23" s="606">
        <f t="shared" si="16"/>
        <v>2023</v>
      </c>
      <c r="M23" s="606">
        <f t="shared" si="16"/>
        <v>2024</v>
      </c>
      <c r="N23" s="607">
        <f t="shared" si="16"/>
        <v>2025</v>
      </c>
      <c r="O23" s="606">
        <f t="shared" si="16"/>
        <v>2026</v>
      </c>
      <c r="P23" s="606">
        <f t="shared" si="16"/>
        <v>2027</v>
      </c>
      <c r="Q23" s="606">
        <f t="shared" ref="Q23" si="17">P23+1</f>
        <v>2028</v>
      </c>
      <c r="R23" s="606">
        <f t="shared" ref="R23" si="18">Q23+1</f>
        <v>2029</v>
      </c>
      <c r="S23" s="606">
        <f t="shared" ref="S23" si="19">R23+1</f>
        <v>2030</v>
      </c>
      <c r="T23" s="606">
        <f t="shared" ref="T23" si="20">S23+1</f>
        <v>2031</v>
      </c>
    </row>
    <row r="24" spans="2:20">
      <c r="B24" s="609" t="s">
        <v>425</v>
      </c>
      <c r="C24" s="117">
        <f>'1BS'!D7</f>
        <v>5719665</v>
      </c>
      <c r="D24" s="117">
        <f>'1BS'!E7</f>
        <v>942767</v>
      </c>
      <c r="E24" s="117">
        <f>'1BS'!F7</f>
        <v>3174321</v>
      </c>
      <c r="F24" s="117">
        <f>'1BS'!G7</f>
        <v>6558801</v>
      </c>
      <c r="G24" s="117">
        <f>'1BS'!H7</f>
        <v>7544188</v>
      </c>
      <c r="H24" s="117">
        <f>'1BS'!I7</f>
        <v>12393227</v>
      </c>
      <c r="I24" s="117">
        <f>'1BS'!J7</f>
        <v>14547419</v>
      </c>
      <c r="J24" s="117">
        <f>'1BS'!K7</f>
        <v>16991239</v>
      </c>
      <c r="K24" s="117">
        <f>'1BS'!L7</f>
        <v>19411470</v>
      </c>
      <c r="L24" s="117">
        <f>'1BS'!M7</f>
        <v>17741052</v>
      </c>
      <c r="M24" s="117">
        <f>'1BS'!N7</f>
        <v>16566239</v>
      </c>
      <c r="N24" s="120">
        <f>'1BS'!O7</f>
        <v>14985489</v>
      </c>
      <c r="O24" s="899">
        <f>SUM(O25:O27)</f>
        <v>14838768.970646594</v>
      </c>
      <c r="P24" s="899">
        <f t="shared" ref="P24:T24" si="21">SUM(P25:P27)</f>
        <v>14108561.572038809</v>
      </c>
      <c r="Q24" s="899">
        <f t="shared" si="21"/>
        <v>13884886.791609878</v>
      </c>
      <c r="R24" s="899">
        <f t="shared" si="21"/>
        <v>13930853.435541186</v>
      </c>
      <c r="S24" s="899">
        <f t="shared" si="21"/>
        <v>13869148.309500905</v>
      </c>
      <c r="T24" s="899">
        <f t="shared" si="21"/>
        <v>14213259.25771231</v>
      </c>
    </row>
    <row r="25" spans="2:20">
      <c r="B25" s="47" t="s">
        <v>426</v>
      </c>
      <c r="C25" s="117">
        <f>'1BS'!D8</f>
        <v>0</v>
      </c>
      <c r="D25" s="117">
        <f>'1BS'!E8</f>
        <v>0</v>
      </c>
      <c r="E25" s="117">
        <f>'1BS'!F8</f>
        <v>0</v>
      </c>
      <c r="F25" s="117">
        <f>'1BS'!G8</f>
        <v>0</v>
      </c>
      <c r="G25" s="117">
        <f>'1BS'!H8</f>
        <v>0</v>
      </c>
      <c r="H25" s="117">
        <f>'1BS'!I8</f>
        <v>0</v>
      </c>
      <c r="I25" s="117">
        <f>'1BS'!J8</f>
        <v>0</v>
      </c>
      <c r="J25" s="117">
        <f>'1BS'!K8</f>
        <v>0</v>
      </c>
      <c r="K25" s="117">
        <f>'1BS'!L8</f>
        <v>0</v>
      </c>
      <c r="L25" s="117">
        <f>'1BS'!M8</f>
        <v>0</v>
      </c>
      <c r="M25" s="117">
        <f>'1BS'!N8</f>
        <v>0</v>
      </c>
      <c r="N25" s="120">
        <f>'1BS'!O8</f>
        <v>0</v>
      </c>
      <c r="O25" s="899">
        <f>'1BS'!P8</f>
        <v>0</v>
      </c>
      <c r="P25" s="899">
        <f>'1BS'!Q8</f>
        <v>0</v>
      </c>
      <c r="Q25" s="899">
        <f>'1BS'!R8</f>
        <v>0</v>
      </c>
      <c r="R25" s="899">
        <f>'1BS'!S8</f>
        <v>0</v>
      </c>
      <c r="S25" s="899">
        <f>'1BS'!T8</f>
        <v>0</v>
      </c>
      <c r="T25" s="899">
        <f>'1BS'!U8</f>
        <v>0</v>
      </c>
    </row>
    <row r="26" spans="2:20">
      <c r="B26" s="47" t="s">
        <v>427</v>
      </c>
      <c r="C26" s="117">
        <f>'1BS'!D9</f>
        <v>0</v>
      </c>
      <c r="D26" s="117">
        <f>'1BS'!E9</f>
        <v>0</v>
      </c>
      <c r="E26" s="117">
        <f>'1BS'!F9</f>
        <v>0</v>
      </c>
      <c r="F26" s="117">
        <f>'1BS'!G9</f>
        <v>0</v>
      </c>
      <c r="G26" s="117">
        <f>'1BS'!H9</f>
        <v>0</v>
      </c>
      <c r="H26" s="117">
        <f>'1BS'!I9</f>
        <v>0</v>
      </c>
      <c r="I26" s="117">
        <f>'1BS'!J9</f>
        <v>0</v>
      </c>
      <c r="J26" s="117">
        <f>'1BS'!K9</f>
        <v>0</v>
      </c>
      <c r="K26" s="117">
        <f>'1BS'!L9</f>
        <v>0</v>
      </c>
      <c r="L26" s="117">
        <f>'1BS'!M9</f>
        <v>0</v>
      </c>
      <c r="M26" s="117">
        <f>'1BS'!N9</f>
        <v>0</v>
      </c>
      <c r="N26" s="120">
        <f>'1BS'!O9</f>
        <v>0</v>
      </c>
      <c r="O26" s="899">
        <f>'1BS'!P9</f>
        <v>0</v>
      </c>
      <c r="P26" s="899">
        <f>'1BS'!Q9</f>
        <v>0</v>
      </c>
      <c r="Q26" s="899">
        <f>'1BS'!R9</f>
        <v>0</v>
      </c>
      <c r="R26" s="899">
        <f>'1BS'!S9</f>
        <v>0</v>
      </c>
      <c r="S26" s="899">
        <f>'1BS'!T9</f>
        <v>0</v>
      </c>
      <c r="T26" s="899">
        <f>'1BS'!U9</f>
        <v>0</v>
      </c>
    </row>
    <row r="27" spans="2:20">
      <c r="B27" s="47" t="s">
        <v>428</v>
      </c>
      <c r="C27" s="117">
        <f>'1BS'!D10</f>
        <v>5719665</v>
      </c>
      <c r="D27" s="117">
        <f>'1BS'!E10</f>
        <v>942767</v>
      </c>
      <c r="E27" s="117">
        <f>'1BS'!F10</f>
        <v>3174321</v>
      </c>
      <c r="F27" s="117">
        <f>'1BS'!G10</f>
        <v>6558801</v>
      </c>
      <c r="G27" s="117">
        <f>'1BS'!H10</f>
        <v>7544188</v>
      </c>
      <c r="H27" s="117">
        <f>'1BS'!I10</f>
        <v>12393227</v>
      </c>
      <c r="I27" s="117">
        <f>'1BS'!J10</f>
        <v>14547419</v>
      </c>
      <c r="J27" s="117">
        <f>'1BS'!K10</f>
        <v>16991239</v>
      </c>
      <c r="K27" s="117">
        <f>'1BS'!L10</f>
        <v>19411470</v>
      </c>
      <c r="L27" s="117">
        <f>'1BS'!M10</f>
        <v>17741052</v>
      </c>
      <c r="M27" s="117">
        <f>'1BS'!N10</f>
        <v>16566239</v>
      </c>
      <c r="N27" s="120">
        <f>'1BS'!O10</f>
        <v>14985489</v>
      </c>
      <c r="O27" s="899">
        <f>'1BS'!P10</f>
        <v>14838768.970646594</v>
      </c>
      <c r="P27" s="899">
        <f>'1BS'!Q10</f>
        <v>14108561.572038809</v>
      </c>
      <c r="Q27" s="899">
        <f>'1BS'!R10</f>
        <v>13884886.791609878</v>
      </c>
      <c r="R27" s="899">
        <f>'1BS'!S10</f>
        <v>13930853.435541186</v>
      </c>
      <c r="S27" s="899">
        <f>'1BS'!T10</f>
        <v>13869148.309500905</v>
      </c>
      <c r="T27" s="899">
        <f>'1BS'!U10</f>
        <v>14213259.25771231</v>
      </c>
    </row>
    <row r="28" spans="2:20" ht="14.5">
      <c r="B28" s="856" t="s">
        <v>944</v>
      </c>
      <c r="C28" s="857">
        <f>C29/C24</f>
        <v>5.4857408606972614E-2</v>
      </c>
      <c r="D28" s="857">
        <f>D29/D24</f>
        <v>0.41065501868436211</v>
      </c>
      <c r="E28" s="857">
        <f t="shared" ref="E28:M28" si="22">E29/E24</f>
        <v>0.14801842661784992</v>
      </c>
      <c r="F28" s="857">
        <f t="shared" si="22"/>
        <v>6.9182004454777637E-2</v>
      </c>
      <c r="G28" s="857">
        <f t="shared" si="22"/>
        <v>8.0289489074238343E-2</v>
      </c>
      <c r="H28" s="857">
        <f t="shared" si="22"/>
        <v>6.8975255597270996E-2</v>
      </c>
      <c r="I28" s="857">
        <f t="shared" si="22"/>
        <v>6.3875729433516701E-2</v>
      </c>
      <c r="J28" s="857">
        <f t="shared" si="22"/>
        <v>4.992731842568985E-2</v>
      </c>
      <c r="K28" s="857">
        <f t="shared" si="22"/>
        <v>5.2748658396298685E-2</v>
      </c>
      <c r="L28" s="857">
        <f t="shared" si="22"/>
        <v>7.8344790376579695E-2</v>
      </c>
      <c r="M28" s="857">
        <f t="shared" si="22"/>
        <v>6.3057945741335733E-2</v>
      </c>
      <c r="N28" s="858">
        <f>N29/N24</f>
        <v>6.641144643327955E-2</v>
      </c>
      <c r="O28" s="904">
        <f>AVERAGE(M28:N28)</f>
        <v>6.4734696087307642E-2</v>
      </c>
      <c r="P28" s="904">
        <f>AVERAGE(M28:O28)</f>
        <v>6.4734696087307642E-2</v>
      </c>
      <c r="Q28" s="904">
        <f t="shared" ref="Q28:T28" si="23">AVERAGE(N28:P28)</f>
        <v>6.5293612869298287E-2</v>
      </c>
      <c r="R28" s="904">
        <f t="shared" si="23"/>
        <v>6.4921001681304533E-2</v>
      </c>
      <c r="S28" s="904">
        <f t="shared" si="23"/>
        <v>6.4983103545970158E-2</v>
      </c>
      <c r="T28" s="904">
        <f t="shared" si="23"/>
        <v>6.5065906032190993E-2</v>
      </c>
    </row>
    <row r="29" spans="2:20">
      <c r="B29" s="859" t="s">
        <v>928</v>
      </c>
      <c r="C29" s="900">
        <f>C3</f>
        <v>313766</v>
      </c>
      <c r="D29" s="900">
        <f t="shared" ref="D29:N29" si="24">D3</f>
        <v>387152</v>
      </c>
      <c r="E29" s="900">
        <f t="shared" si="24"/>
        <v>469858</v>
      </c>
      <c r="F29" s="900">
        <f t="shared" si="24"/>
        <v>453751</v>
      </c>
      <c r="G29" s="900">
        <f t="shared" si="24"/>
        <v>605719</v>
      </c>
      <c r="H29" s="900">
        <f t="shared" si="24"/>
        <v>854826</v>
      </c>
      <c r="I29" s="900">
        <f t="shared" si="24"/>
        <v>929227</v>
      </c>
      <c r="J29" s="900">
        <f t="shared" si="24"/>
        <v>848327</v>
      </c>
      <c r="K29" s="900">
        <f t="shared" si="24"/>
        <v>1023929</v>
      </c>
      <c r="L29" s="900">
        <f t="shared" si="24"/>
        <v>1389919</v>
      </c>
      <c r="M29" s="900">
        <f t="shared" si="24"/>
        <v>1044633</v>
      </c>
      <c r="N29" s="901">
        <f t="shared" si="24"/>
        <v>995208</v>
      </c>
      <c r="O29" s="900">
        <f>O24*O28</f>
        <v>960583.19962457812</v>
      </c>
      <c r="P29" s="900">
        <f t="shared" ref="P29:T29" si="25">P24*P28</f>
        <v>913313.44559499959</v>
      </c>
      <c r="Q29" s="900">
        <f t="shared" si="25"/>
        <v>906594.42290540854</v>
      </c>
      <c r="R29" s="900">
        <f t="shared" si="25"/>
        <v>904404.95931077644</v>
      </c>
      <c r="S29" s="900">
        <f t="shared" si="25"/>
        <v>901260.30069071427</v>
      </c>
      <c r="T29" s="900">
        <f t="shared" si="25"/>
        <v>924798.59127347788</v>
      </c>
    </row>
    <row r="30" spans="2:20">
      <c r="B30" s="795"/>
      <c r="C30" s="795"/>
      <c r="D30" s="795"/>
      <c r="E30" s="795"/>
      <c r="F30" s="795"/>
      <c r="G30" s="795"/>
      <c r="H30" s="177"/>
      <c r="I30" s="177"/>
      <c r="N30" s="800"/>
      <c r="O30" s="177"/>
      <c r="P30" s="177"/>
    </row>
    <row r="31" spans="2:20">
      <c r="B31" s="795"/>
      <c r="C31" s="795"/>
      <c r="D31" s="795"/>
      <c r="E31" s="795"/>
      <c r="F31" s="795"/>
      <c r="G31" s="795"/>
      <c r="H31" s="177"/>
      <c r="I31" s="177"/>
      <c r="N31" s="800"/>
      <c r="O31" s="177"/>
      <c r="P31" s="177"/>
      <c r="Q31" s="177"/>
      <c r="R31" s="177"/>
    </row>
    <row r="32" spans="2:20">
      <c r="B32" s="41" t="s">
        <v>945</v>
      </c>
      <c r="C32" s="102"/>
      <c r="D32" s="102"/>
      <c r="E32" s="102"/>
      <c r="F32" s="102"/>
      <c r="G32" s="102"/>
      <c r="H32" s="860">
        <f>Debt!I52</f>
        <v>0</v>
      </c>
      <c r="I32" s="102"/>
      <c r="J32" s="102"/>
      <c r="K32" s="102"/>
      <c r="L32" s="102"/>
      <c r="M32" s="102"/>
      <c r="N32" s="103"/>
      <c r="O32" s="102"/>
      <c r="P32" s="102"/>
      <c r="Q32" s="102"/>
      <c r="R32" s="102"/>
      <c r="S32" s="102"/>
      <c r="T32" s="103"/>
    </row>
    <row r="33" spans="2:20">
      <c r="B33" s="98" t="s">
        <v>937</v>
      </c>
      <c r="C33" s="99"/>
      <c r="D33" s="99"/>
      <c r="E33" s="99"/>
      <c r="F33" s="99"/>
      <c r="G33" s="99"/>
      <c r="H33" s="76"/>
      <c r="I33" s="76"/>
      <c r="J33" s="76"/>
      <c r="K33" s="76"/>
      <c r="L33" s="76"/>
      <c r="M33" s="76"/>
      <c r="N33" s="861">
        <f>$H$32*(Debt!N5+Debt!N13)</f>
        <v>0</v>
      </c>
      <c r="O33" s="1097">
        <f>$H$32*(Debt!O5+Debt!O13)</f>
        <v>0</v>
      </c>
      <c r="P33" s="862">
        <f>$H$32*(Debt!P5+Debt!P13)</f>
        <v>0</v>
      </c>
      <c r="Q33" s="862">
        <f>$H$32*(Debt!Q5+Debt!Q13)</f>
        <v>0</v>
      </c>
      <c r="R33" s="862">
        <f>$H$32*(Debt!R5+Debt!R13)</f>
        <v>0</v>
      </c>
      <c r="S33" s="862">
        <f>$H$32*(Debt!S5+Debt!S13)</f>
        <v>0</v>
      </c>
      <c r="T33" s="861">
        <f>$H$32*(Debt!T5+Debt!T13)</f>
        <v>0</v>
      </c>
    </row>
    <row r="39" spans="2:20">
      <c r="M39" s="795"/>
      <c r="N39" s="796"/>
      <c r="O39" s="795"/>
      <c r="P39" s="795"/>
      <c r="Q39" s="795"/>
      <c r="R39" s="795"/>
    </row>
    <row r="40" spans="2:20">
      <c r="H40" s="795"/>
    </row>
    <row r="41" spans="2:20">
      <c r="M41" s="177"/>
      <c r="N41" s="800"/>
      <c r="O41" s="177"/>
      <c r="P41" s="177"/>
      <c r="Q41" s="177"/>
      <c r="R41" s="177"/>
    </row>
    <row r="42" spans="2:20">
      <c r="M42" s="177"/>
      <c r="N42" s="800"/>
      <c r="O42" s="177"/>
      <c r="P42" s="177"/>
      <c r="Q42" s="177"/>
      <c r="R42" s="177"/>
    </row>
    <row r="43" spans="2:20">
      <c r="M43" s="177"/>
      <c r="N43" s="800"/>
      <c r="O43" s="177"/>
      <c r="P43" s="177"/>
      <c r="Q43" s="177"/>
      <c r="R43" s="177"/>
    </row>
    <row r="44" spans="2:20">
      <c r="M44" s="177"/>
    </row>
    <row r="46" spans="2:20">
      <c r="H46" s="795"/>
      <c r="I46" s="795"/>
      <c r="J46" s="795"/>
      <c r="K46" s="795"/>
      <c r="L46" s="795"/>
      <c r="M46" s="795"/>
      <c r="N46" s="796"/>
      <c r="O46" s="795"/>
      <c r="P46" s="795"/>
      <c r="Q46" s="795"/>
      <c r="R46" s="795"/>
    </row>
    <row r="47" spans="2:20">
      <c r="H47" s="795"/>
      <c r="I47" s="795"/>
      <c r="J47" s="795"/>
      <c r="K47" s="795"/>
      <c r="L47" s="795"/>
      <c r="M47" s="177"/>
      <c r="N47" s="800"/>
      <c r="O47" s="177"/>
      <c r="P47" s="177"/>
      <c r="Q47" s="177"/>
      <c r="R47" s="177"/>
    </row>
    <row r="48" spans="2:20">
      <c r="H48" s="795"/>
      <c r="I48" s="795"/>
      <c r="J48" s="795"/>
      <c r="K48" s="795"/>
      <c r="L48" s="795"/>
      <c r="M48" s="795"/>
      <c r="N48" s="796"/>
      <c r="O48" s="795"/>
      <c r="P48" s="795"/>
      <c r="Q48" s="795"/>
      <c r="R48" s="795"/>
    </row>
    <row r="49" spans="8:18">
      <c r="H49" s="795"/>
      <c r="I49" s="795"/>
      <c r="J49" s="795"/>
      <c r="K49" s="797"/>
      <c r="L49" s="797"/>
      <c r="M49" s="797"/>
      <c r="N49" s="800"/>
      <c r="O49" s="795"/>
      <c r="P49" s="795"/>
      <c r="Q49" s="795"/>
      <c r="R49" s="795"/>
    </row>
    <row r="50" spans="8:18">
      <c r="H50" s="795"/>
      <c r="I50" s="795"/>
      <c r="J50" s="795"/>
      <c r="K50" s="797"/>
      <c r="L50" s="797"/>
      <c r="M50" s="797"/>
      <c r="N50" s="800"/>
      <c r="O50" s="177"/>
      <c r="P50" s="795"/>
      <c r="Q50" s="795"/>
      <c r="R50" s="795"/>
    </row>
    <row r="51" spans="8:18">
      <c r="H51" s="795"/>
      <c r="I51" s="795"/>
      <c r="J51" s="795"/>
      <c r="K51" s="795"/>
      <c r="L51" s="795"/>
      <c r="M51" s="177"/>
      <c r="N51" s="800"/>
      <c r="O51" s="177"/>
      <c r="P51" s="177"/>
      <c r="Q51" s="177"/>
      <c r="R51" s="177"/>
    </row>
    <row r="52" spans="8:18">
      <c r="H52" s="795"/>
      <c r="I52" s="795"/>
      <c r="J52" s="795"/>
      <c r="K52" s="795"/>
      <c r="L52" s="795"/>
      <c r="M52" s="177"/>
      <c r="N52" s="800"/>
      <c r="O52" s="177"/>
      <c r="P52" s="177"/>
      <c r="Q52" s="177"/>
      <c r="R52" s="177"/>
    </row>
    <row r="53" spans="8:18">
      <c r="H53" s="177"/>
      <c r="I53" s="177"/>
      <c r="J53" s="177"/>
      <c r="K53" s="177"/>
      <c r="L53" s="177"/>
      <c r="M53" s="177"/>
      <c r="N53" s="800"/>
      <c r="O53" s="177"/>
      <c r="P53" s="177"/>
      <c r="Q53" s="177"/>
      <c r="R53" s="177"/>
    </row>
    <row r="56" spans="8:18">
      <c r="O56" s="177"/>
      <c r="P56" s="177"/>
    </row>
    <row r="57" spans="8:18">
      <c r="H57" s="795"/>
      <c r="I57" s="795"/>
      <c r="J57" s="795"/>
      <c r="K57" s="795"/>
      <c r="L57" s="795"/>
      <c r="M57" s="795"/>
      <c r="N57" s="796"/>
      <c r="O57" s="795"/>
      <c r="P57" s="795"/>
      <c r="Q57" s="795"/>
      <c r="R57" s="795"/>
    </row>
    <row r="58" spans="8:18">
      <c r="I58" s="177"/>
    </row>
    <row r="59" spans="8:18">
      <c r="O59" s="177"/>
      <c r="P59" s="177"/>
      <c r="Q59" s="177"/>
      <c r="R59" s="177"/>
    </row>
    <row r="60" spans="8:18">
      <c r="P60" s="177"/>
      <c r="Q60" s="177"/>
      <c r="R60" s="177"/>
    </row>
    <row r="61" spans="8:18">
      <c r="O61" s="177"/>
      <c r="P61" s="177"/>
      <c r="Q61" s="177"/>
      <c r="R61" s="177"/>
    </row>
    <row r="63" spans="8:18">
      <c r="H63" s="795"/>
      <c r="I63" s="795"/>
      <c r="J63" s="795"/>
      <c r="K63" s="795"/>
      <c r="L63" s="795"/>
      <c r="M63" s="795"/>
      <c r="N63" s="796"/>
      <c r="O63" s="795"/>
      <c r="P63" s="795"/>
      <c r="Q63" s="795"/>
      <c r="R63" s="795"/>
    </row>
    <row r="64" spans="8:18">
      <c r="M64" s="177"/>
      <c r="N64" s="800"/>
      <c r="O64" s="177"/>
      <c r="P64" s="177"/>
      <c r="Q64" s="177"/>
      <c r="R64" s="17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0D15-B4C9-4FE4-9160-044C0BFA4735}">
  <sheetPr>
    <tabColor theme="9" tint="0.59999389629810485"/>
  </sheetPr>
  <dimension ref="A1:S117"/>
  <sheetViews>
    <sheetView workbookViewId="0">
      <pane xSplit="1" ySplit="1" topLeftCell="B80" activePane="bottomRight" state="frozen"/>
      <selection pane="topRight" activeCell="B1" sqref="B1"/>
      <selection pane="bottomLeft" activeCell="A2" sqref="A2"/>
      <selection pane="bottomRight" activeCell="B1" sqref="B1:J1048576"/>
    </sheetView>
  </sheetViews>
  <sheetFormatPr defaultRowHeight="12.5"/>
  <cols>
    <col min="1" max="1" width="35" style="4" customWidth="1"/>
    <col min="2" max="10" width="10.75" style="4" hidden="1" customWidth="1"/>
    <col min="11" max="19" width="10.75" style="4" bestFit="1" customWidth="1"/>
    <col min="20" max="16384" width="8.6640625" style="4"/>
  </cols>
  <sheetData>
    <row r="1" spans="1:19" ht="15" customHeight="1">
      <c r="B1" s="21">
        <v>2008</v>
      </c>
      <c r="C1" s="21">
        <v>2009</v>
      </c>
      <c r="D1" s="21">
        <v>2010</v>
      </c>
      <c r="E1" s="21">
        <v>2011</v>
      </c>
      <c r="F1" s="21">
        <v>2012</v>
      </c>
      <c r="G1" s="21">
        <v>2013</v>
      </c>
      <c r="H1" s="21">
        <v>2014</v>
      </c>
      <c r="I1" s="21">
        <v>2015</v>
      </c>
      <c r="J1" s="21">
        <v>2016</v>
      </c>
      <c r="K1" s="21">
        <v>2017</v>
      </c>
      <c r="L1" s="21">
        <v>2018</v>
      </c>
      <c r="M1" s="21">
        <v>2019</v>
      </c>
      <c r="N1" s="21">
        <v>2020</v>
      </c>
      <c r="O1" s="21">
        <v>2021</v>
      </c>
      <c r="P1" s="21">
        <v>2022</v>
      </c>
      <c r="Q1" s="21">
        <v>2023</v>
      </c>
      <c r="R1" s="21">
        <v>2024</v>
      </c>
      <c r="S1" s="21">
        <v>2025</v>
      </c>
    </row>
    <row r="2" spans="1:19" ht="15" customHeight="1">
      <c r="A2" s="25" t="s">
        <v>76</v>
      </c>
      <c r="B2" s="5">
        <v>4681117</v>
      </c>
      <c r="C2" s="5">
        <v>5736986</v>
      </c>
      <c r="D2" s="5">
        <v>5612756</v>
      </c>
      <c r="E2" s="5">
        <v>6194392</v>
      </c>
      <c r="F2" s="5">
        <v>7676818</v>
      </c>
      <c r="G2" s="5">
        <v>8481709</v>
      </c>
      <c r="H2" s="5">
        <v>10547147</v>
      </c>
      <c r="I2" s="5">
        <v>12194294</v>
      </c>
      <c r="J2" s="5">
        <v>10714346</v>
      </c>
      <c r="K2" s="5">
        <v>13686327</v>
      </c>
      <c r="L2" s="5">
        <v>14690168</v>
      </c>
      <c r="M2" s="5">
        <v>19164603</v>
      </c>
      <c r="N2" s="5">
        <v>19513381</v>
      </c>
      <c r="O2" s="5">
        <v>22877033</v>
      </c>
      <c r="P2" s="5">
        <v>26860225</v>
      </c>
      <c r="Q2" s="5">
        <v>26553406</v>
      </c>
      <c r="R2" s="5">
        <v>25066733</v>
      </c>
      <c r="S2" s="5">
        <v>22140978</v>
      </c>
    </row>
    <row r="3" spans="1:19" ht="15" customHeight="1">
      <c r="A3" s="26" t="s">
        <v>77</v>
      </c>
      <c r="B3" s="6">
        <v>1787333</v>
      </c>
      <c r="C3" s="6">
        <v>3079380</v>
      </c>
      <c r="D3" s="6">
        <v>1530126</v>
      </c>
      <c r="E3" s="6">
        <v>1410978</v>
      </c>
      <c r="F3" s="6">
        <v>1662188</v>
      </c>
      <c r="G3" s="6">
        <v>1848256</v>
      </c>
      <c r="H3" s="6">
        <v>1817059</v>
      </c>
      <c r="I3" s="6">
        <v>7935974</v>
      </c>
      <c r="J3" s="6">
        <v>3444825</v>
      </c>
      <c r="K3" s="6">
        <v>4268599</v>
      </c>
      <c r="L3" s="6">
        <v>4467392</v>
      </c>
      <c r="M3" s="6">
        <v>4115885</v>
      </c>
      <c r="N3" s="6">
        <v>2726137</v>
      </c>
      <c r="O3" s="6">
        <v>3606454</v>
      </c>
      <c r="P3" s="6">
        <v>4069464</v>
      </c>
      <c r="Q3" s="6">
        <v>5039908</v>
      </c>
      <c r="R3" s="6">
        <v>4477502</v>
      </c>
      <c r="S3" s="6">
        <v>4016882</v>
      </c>
    </row>
    <row r="4" spans="1:19" ht="15" customHeight="1">
      <c r="A4" s="27" t="s">
        <v>99</v>
      </c>
      <c r="B4" s="6">
        <v>0</v>
      </c>
      <c r="C4" s="6">
        <v>0</v>
      </c>
      <c r="D4" s="6">
        <v>1324091</v>
      </c>
      <c r="E4" s="6">
        <v>915292</v>
      </c>
      <c r="F4" s="6">
        <v>1083636</v>
      </c>
      <c r="G4" s="6">
        <v>740070</v>
      </c>
      <c r="H4" s="6">
        <v>991789</v>
      </c>
      <c r="I4" s="6">
        <v>746447</v>
      </c>
      <c r="J4" s="6">
        <v>1067588</v>
      </c>
      <c r="K4" s="6">
        <v>1631825</v>
      </c>
      <c r="L4" s="6">
        <v>1595189</v>
      </c>
      <c r="M4" s="6">
        <v>953479</v>
      </c>
      <c r="N4" s="6">
        <v>844203</v>
      </c>
      <c r="O4" s="6">
        <v>685369</v>
      </c>
      <c r="P4" s="6">
        <v>985365</v>
      </c>
      <c r="Q4" s="6">
        <v>1423049</v>
      </c>
      <c r="R4" s="6">
        <v>1337761</v>
      </c>
      <c r="S4" s="6">
        <v>1174863</v>
      </c>
    </row>
    <row r="5" spans="1:19" ht="15" customHeight="1">
      <c r="A5" s="27" t="s">
        <v>100</v>
      </c>
      <c r="B5" s="6">
        <v>0</v>
      </c>
      <c r="C5" s="6">
        <v>0</v>
      </c>
      <c r="D5" s="6">
        <v>206035</v>
      </c>
      <c r="E5" s="6">
        <v>495686</v>
      </c>
      <c r="F5" s="6">
        <v>578552</v>
      </c>
      <c r="G5" s="6">
        <v>1108185</v>
      </c>
      <c r="H5" s="6">
        <v>825269</v>
      </c>
      <c r="I5" s="6">
        <v>7189527</v>
      </c>
      <c r="J5" s="6">
        <v>2377237</v>
      </c>
      <c r="K5" s="6">
        <v>2636774</v>
      </c>
      <c r="L5" s="6">
        <v>2872203</v>
      </c>
      <c r="M5" s="6">
        <v>3162406</v>
      </c>
      <c r="N5" s="6">
        <v>1881934</v>
      </c>
      <c r="O5" s="6">
        <v>2921086</v>
      </c>
      <c r="P5" s="6">
        <v>3084100</v>
      </c>
      <c r="Q5" s="6">
        <v>3616859</v>
      </c>
      <c r="R5" s="6">
        <v>3139740</v>
      </c>
      <c r="S5" s="6">
        <v>2842019</v>
      </c>
    </row>
    <row r="6" spans="1:19" ht="15" customHeight="1">
      <c r="A6" s="26" t="s">
        <v>78</v>
      </c>
      <c r="B6" s="6">
        <v>508870</v>
      </c>
      <c r="C6" s="6">
        <v>1113331</v>
      </c>
      <c r="D6" s="6">
        <v>2435392</v>
      </c>
      <c r="E6" s="6">
        <v>2601076</v>
      </c>
      <c r="F6" s="6">
        <v>3918140</v>
      </c>
      <c r="G6" s="6">
        <v>4054767</v>
      </c>
      <c r="H6" s="6">
        <v>5719665</v>
      </c>
      <c r="I6" s="6">
        <v>942767</v>
      </c>
      <c r="J6" s="6">
        <v>3174321</v>
      </c>
      <c r="K6" s="6">
        <v>6558801</v>
      </c>
      <c r="L6" s="6">
        <v>7544188</v>
      </c>
      <c r="M6" s="6">
        <v>12393227</v>
      </c>
      <c r="N6" s="6">
        <v>14547419</v>
      </c>
      <c r="O6" s="6">
        <v>16991239</v>
      </c>
      <c r="P6" s="6">
        <v>19411470</v>
      </c>
      <c r="Q6" s="6">
        <v>17741052</v>
      </c>
      <c r="R6" s="6">
        <v>16566239</v>
      </c>
      <c r="S6" s="6">
        <v>14985489</v>
      </c>
    </row>
    <row r="7" spans="1:19" ht="15" customHeight="1">
      <c r="A7" s="27" t="s">
        <v>101</v>
      </c>
      <c r="B7" s="6">
        <v>0</v>
      </c>
      <c r="C7" s="6">
        <v>0</v>
      </c>
      <c r="D7" s="6">
        <v>0</v>
      </c>
      <c r="E7" s="6">
        <v>2601078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</row>
    <row r="8" spans="1:19" ht="15" customHeight="1">
      <c r="A8" s="31" t="s">
        <v>102</v>
      </c>
      <c r="B8" s="6">
        <v>0</v>
      </c>
      <c r="C8" s="6">
        <v>0</v>
      </c>
      <c r="D8" s="6">
        <v>0</v>
      </c>
      <c r="E8" s="6">
        <v>-1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</row>
    <row r="9" spans="1:19" ht="15" customHeight="1">
      <c r="A9" s="27" t="s">
        <v>103</v>
      </c>
      <c r="B9" s="6">
        <v>0</v>
      </c>
      <c r="C9" s="6">
        <v>0</v>
      </c>
      <c r="D9" s="6">
        <v>2435392</v>
      </c>
      <c r="E9" s="6">
        <v>0</v>
      </c>
      <c r="F9" s="6">
        <v>3918140</v>
      </c>
      <c r="G9" s="6">
        <v>4054767</v>
      </c>
      <c r="H9" s="6">
        <v>5719665</v>
      </c>
      <c r="I9" s="6">
        <v>942767</v>
      </c>
      <c r="J9" s="6">
        <v>3174321</v>
      </c>
      <c r="K9" s="6">
        <v>6558801</v>
      </c>
      <c r="L9" s="6">
        <v>7544188</v>
      </c>
      <c r="M9" s="6">
        <v>12393227</v>
      </c>
      <c r="N9" s="6">
        <v>14547419</v>
      </c>
      <c r="O9" s="6">
        <v>16991239</v>
      </c>
      <c r="P9" s="6">
        <v>19411470</v>
      </c>
      <c r="Q9" s="6">
        <v>17741052</v>
      </c>
      <c r="R9" s="6">
        <v>16566239</v>
      </c>
      <c r="S9" s="6">
        <v>14985489</v>
      </c>
    </row>
    <row r="10" spans="1:19" ht="15" customHeight="1">
      <c r="A10" s="26" t="s">
        <v>79</v>
      </c>
      <c r="B10" s="6">
        <v>1161921</v>
      </c>
      <c r="C10" s="6">
        <v>572622</v>
      </c>
      <c r="D10" s="6">
        <v>635009</v>
      </c>
      <c r="E10" s="6">
        <v>765743</v>
      </c>
      <c r="F10" s="6">
        <v>801981</v>
      </c>
      <c r="G10" s="6">
        <v>766054</v>
      </c>
      <c r="H10" s="6">
        <v>1031471</v>
      </c>
      <c r="I10" s="6">
        <v>1085027</v>
      </c>
      <c r="J10" s="6">
        <v>1090133</v>
      </c>
      <c r="K10" s="6">
        <v>715326</v>
      </c>
      <c r="L10" s="6">
        <v>765631</v>
      </c>
      <c r="M10" s="6">
        <v>568608</v>
      </c>
      <c r="N10" s="6">
        <v>590846</v>
      </c>
      <c r="O10" s="6">
        <v>467956</v>
      </c>
      <c r="P10" s="6">
        <v>897693</v>
      </c>
      <c r="Q10" s="6">
        <v>1229401</v>
      </c>
      <c r="R10" s="6">
        <v>1818472</v>
      </c>
      <c r="S10" s="6">
        <v>902823</v>
      </c>
    </row>
    <row r="11" spans="1:19" ht="15" customHeight="1">
      <c r="A11" s="31" t="s">
        <v>104</v>
      </c>
      <c r="B11" s="6">
        <v>380230</v>
      </c>
      <c r="C11" s="6">
        <v>293158</v>
      </c>
      <c r="D11" s="6">
        <v>363783</v>
      </c>
      <c r="E11" s="6">
        <v>489603</v>
      </c>
      <c r="F11" s="6">
        <v>451474</v>
      </c>
      <c r="G11" s="6">
        <v>546565</v>
      </c>
      <c r="H11" s="6">
        <v>551396</v>
      </c>
      <c r="I11" s="6">
        <v>621408</v>
      </c>
      <c r="J11" s="6">
        <v>551219</v>
      </c>
      <c r="K11" s="6">
        <v>171321</v>
      </c>
      <c r="L11" s="6">
        <v>244119</v>
      </c>
      <c r="M11" s="6">
        <v>157655</v>
      </c>
      <c r="N11" s="6">
        <v>69332</v>
      </c>
      <c r="O11" s="6">
        <v>100966</v>
      </c>
      <c r="P11" s="6">
        <v>337852</v>
      </c>
      <c r="Q11" s="6">
        <v>467367</v>
      </c>
      <c r="R11" s="6">
        <v>433141</v>
      </c>
      <c r="S11" s="6">
        <v>697568</v>
      </c>
    </row>
    <row r="12" spans="1:19" ht="15" customHeight="1">
      <c r="A12" s="31" t="s">
        <v>105</v>
      </c>
      <c r="B12" s="6">
        <v>578873</v>
      </c>
      <c r="C12" s="6">
        <v>157068</v>
      </c>
      <c r="D12" s="6">
        <v>159077</v>
      </c>
      <c r="E12" s="6">
        <v>180379</v>
      </c>
      <c r="F12" s="6">
        <v>227508</v>
      </c>
      <c r="G12" s="6">
        <v>160999</v>
      </c>
      <c r="H12" s="6">
        <v>133998</v>
      </c>
      <c r="I12" s="6">
        <v>71472</v>
      </c>
      <c r="J12" s="6">
        <v>166785</v>
      </c>
      <c r="K12" s="6">
        <v>108550</v>
      </c>
      <c r="L12" s="6">
        <v>74758</v>
      </c>
      <c r="M12" s="6">
        <v>54679</v>
      </c>
      <c r="N12" s="6">
        <v>164204</v>
      </c>
      <c r="O12" s="6">
        <v>29859</v>
      </c>
      <c r="P12" s="6">
        <v>68060</v>
      </c>
      <c r="Q12" s="6">
        <v>33282</v>
      </c>
      <c r="R12" s="6">
        <v>48391</v>
      </c>
      <c r="S12" s="6">
        <v>31631</v>
      </c>
    </row>
    <row r="13" spans="1:19" ht="15" customHeight="1">
      <c r="A13" s="31" t="s">
        <v>106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 ht="15" customHeight="1">
      <c r="A14" s="31" t="s">
        <v>107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</row>
    <row r="15" spans="1:19" ht="15" customHeight="1">
      <c r="A15" s="31" t="s">
        <v>108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502625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</row>
    <row r="16" spans="1:19" ht="15" customHeight="1">
      <c r="A16" s="31" t="s">
        <v>109</v>
      </c>
      <c r="B16" s="6">
        <v>204797</v>
      </c>
      <c r="C16" s="6">
        <v>147580</v>
      </c>
      <c r="D16" s="6">
        <v>121977</v>
      </c>
      <c r="E16" s="6">
        <v>147643</v>
      </c>
      <c r="F16" s="6">
        <v>151259</v>
      </c>
      <c r="G16" s="6">
        <v>103703</v>
      </c>
      <c r="H16" s="6">
        <v>391899</v>
      </c>
      <c r="I16" s="6">
        <v>440463</v>
      </c>
      <c r="J16" s="6">
        <v>421976</v>
      </c>
      <c r="K16" s="6">
        <v>488911</v>
      </c>
      <c r="L16" s="6">
        <v>-55871</v>
      </c>
      <c r="M16" s="6">
        <v>702587</v>
      </c>
      <c r="N16" s="6">
        <v>699600</v>
      </c>
      <c r="O16" s="6">
        <v>679386</v>
      </c>
      <c r="P16" s="6">
        <v>787397</v>
      </c>
      <c r="Q16" s="6">
        <v>1024557</v>
      </c>
      <c r="R16" s="6">
        <v>1646478</v>
      </c>
      <c r="S16" s="6">
        <v>746762</v>
      </c>
    </row>
    <row r="17" spans="1:19" ht="15" customHeight="1">
      <c r="A17" s="31" t="s">
        <v>110</v>
      </c>
      <c r="B17" s="6">
        <v>-1978</v>
      </c>
      <c r="C17" s="6">
        <v>-25184</v>
      </c>
      <c r="D17" s="6">
        <v>-9828</v>
      </c>
      <c r="E17" s="6">
        <v>-51882</v>
      </c>
      <c r="F17" s="6">
        <v>-28261</v>
      </c>
      <c r="G17" s="6">
        <v>-45213</v>
      </c>
      <c r="H17" s="6">
        <v>-45822</v>
      </c>
      <c r="I17" s="6">
        <v>-48316</v>
      </c>
      <c r="J17" s="6">
        <v>-49846</v>
      </c>
      <c r="K17" s="6">
        <v>-53456</v>
      </c>
      <c r="L17" s="6">
        <v>0</v>
      </c>
      <c r="M17" s="6">
        <v>-346313</v>
      </c>
      <c r="N17" s="6">
        <v>-342290</v>
      </c>
      <c r="O17" s="6">
        <v>-342255</v>
      </c>
      <c r="P17" s="6">
        <v>-295616</v>
      </c>
      <c r="Q17" s="6">
        <v>-295804</v>
      </c>
      <c r="R17" s="6">
        <v>-309538</v>
      </c>
      <c r="S17" s="6">
        <v>-573138</v>
      </c>
    </row>
    <row r="18" spans="1:19" ht="15" customHeight="1">
      <c r="A18" s="26" t="s">
        <v>80</v>
      </c>
      <c r="B18" s="6">
        <v>980529</v>
      </c>
      <c r="C18" s="6">
        <v>786907</v>
      </c>
      <c r="D18" s="6">
        <v>919303</v>
      </c>
      <c r="E18" s="6">
        <v>1233110</v>
      </c>
      <c r="F18" s="6">
        <v>1204046</v>
      </c>
      <c r="G18" s="6">
        <v>1686954</v>
      </c>
      <c r="H18" s="6">
        <v>1868972</v>
      </c>
      <c r="I18" s="6">
        <v>1924904</v>
      </c>
      <c r="J18" s="6">
        <v>2126217</v>
      </c>
      <c r="K18" s="6">
        <v>2003535</v>
      </c>
      <c r="L18" s="6">
        <v>1813754</v>
      </c>
      <c r="M18" s="6">
        <v>1967138</v>
      </c>
      <c r="N18" s="6">
        <v>1446833</v>
      </c>
      <c r="O18" s="6">
        <v>1668002</v>
      </c>
      <c r="P18" s="6">
        <v>2193521</v>
      </c>
      <c r="Q18" s="6">
        <v>2317505</v>
      </c>
      <c r="R18" s="6">
        <v>1978544</v>
      </c>
      <c r="S18" s="6">
        <v>2027352</v>
      </c>
    </row>
    <row r="19" spans="1:19" ht="15" customHeight="1">
      <c r="A19" s="27" t="s">
        <v>111</v>
      </c>
      <c r="B19" s="6">
        <v>981683</v>
      </c>
      <c r="C19" s="6">
        <v>822212</v>
      </c>
      <c r="D19" s="6">
        <v>942542</v>
      </c>
      <c r="E19" s="6">
        <v>1264652</v>
      </c>
      <c r="F19" s="6">
        <v>1234270</v>
      </c>
      <c r="G19" s="6">
        <v>1733089</v>
      </c>
      <c r="H19" s="6">
        <v>1909069</v>
      </c>
      <c r="I19" s="6">
        <v>1960526</v>
      </c>
      <c r="J19" s="6">
        <v>2171045</v>
      </c>
      <c r="K19" s="6">
        <v>2116546</v>
      </c>
      <c r="L19" s="6">
        <v>2034064</v>
      </c>
      <c r="M19" s="6">
        <v>2169541</v>
      </c>
      <c r="N19" s="6">
        <v>1525039</v>
      </c>
      <c r="O19" s="6">
        <v>1755712</v>
      </c>
      <c r="P19" s="6">
        <v>2272495</v>
      </c>
      <c r="Q19" s="6">
        <v>2393085</v>
      </c>
      <c r="R19" s="6">
        <v>2042853</v>
      </c>
      <c r="S19" s="6">
        <v>2109850</v>
      </c>
    </row>
    <row r="20" spans="1:19" ht="15" customHeight="1">
      <c r="A20" s="27" t="s">
        <v>112</v>
      </c>
      <c r="B20" s="6">
        <v>-1154</v>
      </c>
      <c r="C20" s="6">
        <v>-35305</v>
      </c>
      <c r="D20" s="6">
        <v>-23238</v>
      </c>
      <c r="E20" s="6">
        <v>-31542</v>
      </c>
      <c r="F20" s="6">
        <v>-30224</v>
      </c>
      <c r="G20" s="6">
        <v>-46135</v>
      </c>
      <c r="H20" s="6">
        <v>-40097</v>
      </c>
      <c r="I20" s="6">
        <v>-35622</v>
      </c>
      <c r="J20" s="6">
        <v>-44828</v>
      </c>
      <c r="K20" s="6">
        <v>-113011</v>
      </c>
      <c r="L20" s="6">
        <v>-220310</v>
      </c>
      <c r="M20" s="6">
        <v>-202403</v>
      </c>
      <c r="N20" s="6">
        <v>-78206</v>
      </c>
      <c r="O20" s="6">
        <v>-87710</v>
      </c>
      <c r="P20" s="6">
        <v>-78973</v>
      </c>
      <c r="Q20" s="6">
        <v>-75580</v>
      </c>
      <c r="R20" s="6">
        <v>-64309</v>
      </c>
      <c r="S20" s="6">
        <v>-82498</v>
      </c>
    </row>
    <row r="21" spans="1:19" ht="15" customHeight="1">
      <c r="A21" s="179" t="s">
        <v>81</v>
      </c>
      <c r="B21" s="6">
        <v>242464</v>
      </c>
      <c r="C21" s="6">
        <v>184746</v>
      </c>
      <c r="D21" s="6">
        <v>92925</v>
      </c>
      <c r="E21" s="6">
        <v>183484</v>
      </c>
      <c r="F21" s="6">
        <v>90463</v>
      </c>
      <c r="G21" s="6">
        <v>125679</v>
      </c>
      <c r="H21" s="6">
        <v>109981</v>
      </c>
      <c r="I21" s="6">
        <v>305623</v>
      </c>
      <c r="J21" s="6">
        <v>878849</v>
      </c>
      <c r="K21" s="6">
        <v>140066</v>
      </c>
      <c r="L21" s="6">
        <v>99203</v>
      </c>
      <c r="M21" s="6">
        <v>119745</v>
      </c>
      <c r="N21" s="6">
        <v>202146</v>
      </c>
      <c r="O21" s="6">
        <v>143382</v>
      </c>
      <c r="P21" s="6">
        <v>288077</v>
      </c>
      <c r="Q21" s="6">
        <v>225539</v>
      </c>
      <c r="R21" s="6">
        <v>225976</v>
      </c>
      <c r="S21" s="6">
        <v>208433</v>
      </c>
    </row>
    <row r="22" spans="1:19" ht="15" customHeight="1">
      <c r="A22" s="27" t="s">
        <v>113</v>
      </c>
      <c r="B22" s="6">
        <v>7155</v>
      </c>
      <c r="C22" s="6">
        <v>13471</v>
      </c>
      <c r="D22" s="6">
        <v>18664</v>
      </c>
      <c r="E22" s="6">
        <v>10749</v>
      </c>
      <c r="F22" s="6">
        <v>8230</v>
      </c>
      <c r="G22" s="6">
        <v>26156</v>
      </c>
      <c r="H22" s="6">
        <v>31533</v>
      </c>
      <c r="I22" s="6">
        <v>128076</v>
      </c>
      <c r="J22" s="6">
        <v>67695</v>
      </c>
      <c r="K22" s="6">
        <v>24913</v>
      </c>
      <c r="L22" s="6">
        <v>86457</v>
      </c>
      <c r="M22" s="6">
        <v>97130</v>
      </c>
      <c r="N22" s="6">
        <v>143822</v>
      </c>
      <c r="O22" s="6">
        <v>88942</v>
      </c>
      <c r="P22" s="6">
        <v>181977</v>
      </c>
      <c r="Q22" s="6">
        <v>172232</v>
      </c>
      <c r="R22" s="6">
        <v>145660</v>
      </c>
      <c r="S22" s="6">
        <v>139821</v>
      </c>
    </row>
    <row r="23" spans="1:19" ht="15" customHeight="1">
      <c r="A23" s="27" t="s">
        <v>114</v>
      </c>
      <c r="B23" s="6">
        <v>44103</v>
      </c>
      <c r="C23" s="6">
        <v>53856</v>
      </c>
      <c r="D23" s="6">
        <v>50336</v>
      </c>
      <c r="E23" s="6">
        <v>63460</v>
      </c>
      <c r="F23" s="6">
        <v>14016</v>
      </c>
      <c r="G23" s="6">
        <v>64106</v>
      </c>
      <c r="H23" s="6">
        <v>32289</v>
      </c>
      <c r="I23" s="6">
        <v>70980</v>
      </c>
      <c r="J23" s="6">
        <v>133497</v>
      </c>
      <c r="K23" s="6">
        <v>112192</v>
      </c>
      <c r="L23" s="6">
        <v>7565</v>
      </c>
      <c r="M23" s="6">
        <v>18204</v>
      </c>
      <c r="N23" s="6">
        <v>22192</v>
      </c>
      <c r="O23" s="6">
        <v>25340</v>
      </c>
      <c r="P23" s="6">
        <v>83098</v>
      </c>
      <c r="Q23" s="6">
        <v>39069</v>
      </c>
      <c r="R23" s="6">
        <v>72112</v>
      </c>
      <c r="S23" s="6">
        <v>58809</v>
      </c>
    </row>
    <row r="24" spans="1:19" ht="15" customHeight="1">
      <c r="A24" s="31" t="s">
        <v>115</v>
      </c>
      <c r="B24" s="6">
        <v>101319</v>
      </c>
      <c r="C24" s="6">
        <v>38269</v>
      </c>
      <c r="D24" s="6">
        <v>1320</v>
      </c>
      <c r="E24" s="6">
        <v>81933</v>
      </c>
      <c r="F24" s="6">
        <v>45238</v>
      </c>
      <c r="G24" s="6">
        <v>9186</v>
      </c>
      <c r="H24" s="6">
        <v>11025</v>
      </c>
      <c r="I24" s="6">
        <v>106510</v>
      </c>
      <c r="J24" s="6">
        <v>677657</v>
      </c>
      <c r="K24" s="6">
        <v>2961</v>
      </c>
      <c r="L24" s="6">
        <v>5182</v>
      </c>
      <c r="M24" s="6">
        <v>4411</v>
      </c>
      <c r="N24" s="6">
        <v>36132</v>
      </c>
      <c r="O24" s="6">
        <v>29100</v>
      </c>
      <c r="P24" s="6">
        <v>23002</v>
      </c>
      <c r="Q24" s="6">
        <v>14238</v>
      </c>
      <c r="R24" s="6">
        <v>8203</v>
      </c>
      <c r="S24" s="6">
        <v>9803</v>
      </c>
    </row>
    <row r="25" spans="1:19" ht="15" customHeight="1">
      <c r="A25" s="31" t="s">
        <v>116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</row>
    <row r="26" spans="1:19" ht="15" customHeight="1">
      <c r="A26" s="27" t="s">
        <v>117</v>
      </c>
      <c r="B26" s="6">
        <v>89887</v>
      </c>
      <c r="C26" s="6">
        <v>79150</v>
      </c>
      <c r="D26" s="6">
        <v>22606</v>
      </c>
      <c r="E26" s="6">
        <v>27343</v>
      </c>
      <c r="F26" s="6">
        <v>22979</v>
      </c>
      <c r="G26" s="6">
        <v>26231</v>
      </c>
      <c r="H26" s="6">
        <v>35134</v>
      </c>
      <c r="I26" s="6">
        <v>57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</row>
    <row r="27" spans="1:19" ht="15" customHeight="1">
      <c r="A27" s="25" t="s">
        <v>82</v>
      </c>
      <c r="B27" s="5">
        <v>8346226</v>
      </c>
      <c r="C27" s="5">
        <v>9433491</v>
      </c>
      <c r="D27" s="5">
        <v>10229155</v>
      </c>
      <c r="E27" s="5">
        <v>10376653</v>
      </c>
      <c r="F27" s="5">
        <v>10047796</v>
      </c>
      <c r="G27" s="5">
        <v>10333058</v>
      </c>
      <c r="H27" s="5">
        <v>11126890</v>
      </c>
      <c r="I27" s="5">
        <v>9377631</v>
      </c>
      <c r="J27" s="5">
        <v>8478519</v>
      </c>
      <c r="K27" s="5">
        <v>8327362</v>
      </c>
      <c r="L27" s="5">
        <v>7676575</v>
      </c>
      <c r="M27" s="5">
        <v>7797874</v>
      </c>
      <c r="N27" s="5">
        <v>7861591</v>
      </c>
      <c r="O27" s="5">
        <v>7609991</v>
      </c>
      <c r="P27" s="5">
        <v>7604851</v>
      </c>
      <c r="Q27" s="5">
        <v>7503219</v>
      </c>
      <c r="R27" s="5">
        <v>8372674</v>
      </c>
      <c r="S27" s="5">
        <v>10456376</v>
      </c>
    </row>
    <row r="28" spans="1:19" ht="15" customHeight="1">
      <c r="A28" s="26" t="s">
        <v>83</v>
      </c>
      <c r="B28" s="6">
        <v>0</v>
      </c>
      <c r="C28" s="6">
        <v>0</v>
      </c>
      <c r="D28" s="6">
        <v>169</v>
      </c>
      <c r="E28" s="6">
        <v>34</v>
      </c>
      <c r="F28" s="6">
        <v>34</v>
      </c>
      <c r="G28" s="6">
        <v>34</v>
      </c>
      <c r="H28" s="6">
        <v>8000</v>
      </c>
      <c r="I28" s="6">
        <v>34495</v>
      </c>
      <c r="J28" s="6">
        <v>38349</v>
      </c>
      <c r="K28" s="6">
        <v>20094</v>
      </c>
      <c r="L28" s="6">
        <v>5861</v>
      </c>
      <c r="M28" s="6">
        <v>9110</v>
      </c>
      <c r="N28" s="6">
        <v>11958</v>
      </c>
      <c r="O28" s="6">
        <v>12641</v>
      </c>
      <c r="P28" s="6">
        <v>37720</v>
      </c>
      <c r="Q28" s="6">
        <v>34702</v>
      </c>
      <c r="R28" s="6">
        <v>33965</v>
      </c>
      <c r="S28" s="6">
        <v>34949</v>
      </c>
    </row>
    <row r="29" spans="1:19" ht="15" customHeight="1">
      <c r="A29" s="27" t="s">
        <v>118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5317</v>
      </c>
      <c r="K29" s="6">
        <v>4761</v>
      </c>
      <c r="L29" s="6">
        <v>6078</v>
      </c>
      <c r="M29" s="6">
        <v>6005</v>
      </c>
      <c r="N29" s="6">
        <v>5988</v>
      </c>
      <c r="O29" s="6">
        <v>5973</v>
      </c>
      <c r="P29" s="6">
        <v>5949</v>
      </c>
      <c r="Q29" s="6">
        <v>5949</v>
      </c>
      <c r="R29" s="6">
        <v>5949</v>
      </c>
      <c r="S29" s="6">
        <v>5949</v>
      </c>
    </row>
    <row r="30" spans="1:19" ht="15" customHeight="1">
      <c r="A30" s="31" t="s">
        <v>119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</row>
    <row r="31" spans="1:19" ht="15" customHeight="1">
      <c r="A31" s="27" t="s">
        <v>120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</row>
    <row r="32" spans="1:19" ht="15" customHeight="1">
      <c r="A32" s="27" t="s">
        <v>121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4000</v>
      </c>
      <c r="J32" s="6">
        <v>4000</v>
      </c>
      <c r="K32" s="6">
        <v>4000</v>
      </c>
      <c r="L32" s="6">
        <v>4000</v>
      </c>
      <c r="M32" s="6">
        <v>4000</v>
      </c>
      <c r="N32" s="6">
        <v>4000</v>
      </c>
      <c r="O32" s="6">
        <v>4000</v>
      </c>
      <c r="P32" s="6">
        <v>0</v>
      </c>
      <c r="Q32" s="6">
        <v>0</v>
      </c>
      <c r="R32" s="6">
        <v>0</v>
      </c>
      <c r="S32" s="6">
        <v>0</v>
      </c>
    </row>
    <row r="33" spans="1:19" ht="15" customHeight="1">
      <c r="A33" s="27" t="s">
        <v>122</v>
      </c>
      <c r="B33" s="6">
        <v>0</v>
      </c>
      <c r="C33" s="6">
        <v>0</v>
      </c>
      <c r="D33" s="6">
        <v>169</v>
      </c>
      <c r="E33" s="6">
        <v>34</v>
      </c>
      <c r="F33" s="6">
        <v>34</v>
      </c>
      <c r="G33" s="6">
        <v>34</v>
      </c>
      <c r="H33" s="6">
        <v>8000</v>
      </c>
      <c r="I33" s="6">
        <v>42495</v>
      </c>
      <c r="J33" s="6">
        <v>46504</v>
      </c>
      <c r="K33" s="6">
        <v>49119</v>
      </c>
      <c r="L33" s="6">
        <v>35181</v>
      </c>
      <c r="M33" s="6">
        <v>38495</v>
      </c>
      <c r="N33" s="6">
        <v>41278</v>
      </c>
      <c r="O33" s="6">
        <v>41961</v>
      </c>
      <c r="P33" s="6">
        <v>46171</v>
      </c>
      <c r="Q33" s="6">
        <v>35153</v>
      </c>
      <c r="R33" s="6">
        <v>34416</v>
      </c>
      <c r="S33" s="6">
        <v>35400</v>
      </c>
    </row>
    <row r="34" spans="1:19" ht="15" customHeight="1">
      <c r="A34" s="27" t="s">
        <v>123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-12000</v>
      </c>
      <c r="J34" s="6">
        <v>-17472</v>
      </c>
      <c r="K34" s="6">
        <v>-37786</v>
      </c>
      <c r="L34" s="6">
        <v>-39398</v>
      </c>
      <c r="M34" s="6">
        <v>-39390</v>
      </c>
      <c r="N34" s="6">
        <v>-39308</v>
      </c>
      <c r="O34" s="6">
        <v>-39293</v>
      </c>
      <c r="P34" s="6">
        <v>-14400</v>
      </c>
      <c r="Q34" s="6">
        <v>-6400</v>
      </c>
      <c r="R34" s="6">
        <v>-6400</v>
      </c>
      <c r="S34" s="6">
        <v>-6400</v>
      </c>
    </row>
    <row r="35" spans="1:19" ht="15" customHeight="1">
      <c r="A35" s="179" t="s">
        <v>84</v>
      </c>
      <c r="B35" s="6">
        <v>4789199</v>
      </c>
      <c r="C35" s="6">
        <v>4498242</v>
      </c>
      <c r="D35" s="6">
        <v>6494341</v>
      </c>
      <c r="E35" s="6">
        <v>6400281</v>
      </c>
      <c r="F35" s="6">
        <v>6033180</v>
      </c>
      <c r="G35" s="6">
        <v>6099450</v>
      </c>
      <c r="H35" s="6">
        <v>7033461</v>
      </c>
      <c r="I35" s="6">
        <v>5854864</v>
      </c>
      <c r="J35" s="6">
        <v>5462594</v>
      </c>
      <c r="K35" s="6">
        <v>5008100</v>
      </c>
      <c r="L35" s="6">
        <v>4567091</v>
      </c>
      <c r="M35" s="6">
        <v>4685440</v>
      </c>
      <c r="N35" s="6">
        <v>4874504</v>
      </c>
      <c r="O35" s="6">
        <v>4401800</v>
      </c>
      <c r="P35" s="6">
        <v>4454982</v>
      </c>
      <c r="Q35" s="6">
        <v>3969724</v>
      </c>
      <c r="R35" s="6">
        <v>3593254</v>
      </c>
      <c r="S35" s="6">
        <v>5068260</v>
      </c>
    </row>
    <row r="36" spans="1:19" ht="15" customHeight="1">
      <c r="A36" s="28" t="s">
        <v>124</v>
      </c>
      <c r="B36" s="6">
        <v>2741349</v>
      </c>
      <c r="C36" s="6">
        <v>2763101</v>
      </c>
      <c r="D36" s="6">
        <v>4906829</v>
      </c>
      <c r="E36" s="6">
        <v>4755743</v>
      </c>
      <c r="F36" s="6">
        <v>4379410</v>
      </c>
      <c r="G36" s="6">
        <v>4455186</v>
      </c>
      <c r="H36" s="6">
        <v>4915799</v>
      </c>
      <c r="I36" s="6">
        <v>4843869</v>
      </c>
      <c r="J36" s="6">
        <v>4478037</v>
      </c>
      <c r="K36" s="6">
        <v>4044747</v>
      </c>
      <c r="L36" s="6">
        <v>3614851</v>
      </c>
      <c r="M36" s="6">
        <v>3743643</v>
      </c>
      <c r="N36" s="6">
        <v>3753389</v>
      </c>
      <c r="O36" s="6">
        <v>3301127</v>
      </c>
      <c r="P36" s="6">
        <v>3368982</v>
      </c>
      <c r="Q36" s="6">
        <v>2889609</v>
      </c>
      <c r="R36" s="6">
        <v>2484110</v>
      </c>
      <c r="S36" s="6">
        <v>3492859</v>
      </c>
    </row>
    <row r="37" spans="1:19" ht="15" customHeight="1">
      <c r="A37" s="29" t="s">
        <v>125</v>
      </c>
      <c r="B37" s="6">
        <v>3867373</v>
      </c>
      <c r="C37" s="6">
        <v>4199784</v>
      </c>
      <c r="D37" s="6">
        <v>6712464</v>
      </c>
      <c r="E37" s="6">
        <v>6925554</v>
      </c>
      <c r="F37" s="6">
        <v>6933484</v>
      </c>
      <c r="G37" s="6">
        <v>7482669</v>
      </c>
      <c r="H37" s="6">
        <v>8472996</v>
      </c>
      <c r="I37" s="6">
        <v>9001467</v>
      </c>
      <c r="J37" s="6">
        <v>9163284</v>
      </c>
      <c r="K37" s="6">
        <v>9343836</v>
      </c>
      <c r="L37" s="6">
        <v>9497450</v>
      </c>
      <c r="M37" s="6">
        <v>10190231</v>
      </c>
      <c r="N37" s="6">
        <v>10774957</v>
      </c>
      <c r="O37" s="6">
        <v>10847023</v>
      </c>
      <c r="P37" s="6">
        <v>11440081</v>
      </c>
      <c r="Q37" s="6">
        <v>11488317</v>
      </c>
      <c r="R37" s="6">
        <v>11567832</v>
      </c>
      <c r="S37" s="6">
        <v>16040238</v>
      </c>
    </row>
    <row r="38" spans="1:19" ht="15" customHeight="1">
      <c r="A38" s="29" t="s">
        <v>126</v>
      </c>
      <c r="B38" s="6">
        <v>-1126024</v>
      </c>
      <c r="C38" s="6">
        <v>-1436683</v>
      </c>
      <c r="D38" s="6">
        <v>-1805634</v>
      </c>
      <c r="E38" s="6">
        <v>-2169812</v>
      </c>
      <c r="F38" s="6">
        <v>-2554075</v>
      </c>
      <c r="G38" s="6">
        <v>-3027483</v>
      </c>
      <c r="H38" s="6">
        <v>-3557197</v>
      </c>
      <c r="I38" s="6">
        <v>-4157598</v>
      </c>
      <c r="J38" s="6">
        <v>-4685247</v>
      </c>
      <c r="K38" s="6">
        <v>-5299089</v>
      </c>
      <c r="L38" s="6">
        <v>-5882599</v>
      </c>
      <c r="M38" s="6">
        <v>-6446588</v>
      </c>
      <c r="N38" s="6">
        <v>-7021568</v>
      </c>
      <c r="O38" s="6">
        <v>-7545896</v>
      </c>
      <c r="P38" s="6">
        <v>-8071099</v>
      </c>
      <c r="Q38" s="6">
        <v>-8598708</v>
      </c>
      <c r="R38" s="6">
        <v>-9083722</v>
      </c>
      <c r="S38" s="6">
        <v>-12547379</v>
      </c>
    </row>
    <row r="39" spans="1:19" ht="15" customHeight="1">
      <c r="A39" s="28" t="s">
        <v>127</v>
      </c>
      <c r="B39" s="6">
        <v>0</v>
      </c>
      <c r="C39" s="6">
        <v>0</v>
      </c>
      <c r="D39" s="6">
        <v>737</v>
      </c>
      <c r="E39" s="6">
        <v>644</v>
      </c>
      <c r="F39" s="6">
        <v>550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178134</v>
      </c>
      <c r="O39" s="6">
        <v>167492</v>
      </c>
      <c r="P39" s="6">
        <v>162262</v>
      </c>
      <c r="Q39" s="6">
        <v>157031</v>
      </c>
      <c r="R39" s="6">
        <v>151786</v>
      </c>
      <c r="S39" s="6">
        <v>146556</v>
      </c>
    </row>
    <row r="40" spans="1:19" ht="15" customHeight="1">
      <c r="A40" s="29" t="s">
        <v>125</v>
      </c>
      <c r="B40" s="6">
        <v>0</v>
      </c>
      <c r="C40" s="6">
        <v>0</v>
      </c>
      <c r="D40" s="6">
        <v>930</v>
      </c>
      <c r="E40" s="6">
        <v>930</v>
      </c>
      <c r="F40" s="6">
        <v>930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179021</v>
      </c>
      <c r="O40" s="6">
        <v>173583</v>
      </c>
      <c r="P40" s="6">
        <v>173583</v>
      </c>
      <c r="Q40" s="6">
        <v>173583</v>
      </c>
      <c r="R40" s="6">
        <v>173583</v>
      </c>
      <c r="S40" s="6">
        <v>173583</v>
      </c>
    </row>
    <row r="41" spans="1:19" ht="15" customHeight="1">
      <c r="A41" s="29" t="s">
        <v>126</v>
      </c>
      <c r="B41" s="6">
        <v>0</v>
      </c>
      <c r="C41" s="6">
        <v>0</v>
      </c>
      <c r="D41" s="6">
        <v>-194</v>
      </c>
      <c r="E41" s="6">
        <v>-287</v>
      </c>
      <c r="F41" s="6">
        <v>-380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-887</v>
      </c>
      <c r="O41" s="6">
        <v>-6090</v>
      </c>
      <c r="P41" s="6">
        <v>-11321</v>
      </c>
      <c r="Q41" s="6">
        <v>-16551</v>
      </c>
      <c r="R41" s="6">
        <v>-21796</v>
      </c>
      <c r="S41" s="6">
        <v>-27027</v>
      </c>
    </row>
    <row r="42" spans="1:19" ht="15" customHeight="1">
      <c r="A42" s="28" t="s">
        <v>128</v>
      </c>
      <c r="B42" s="6">
        <v>2047851</v>
      </c>
      <c r="C42" s="6">
        <v>1735141</v>
      </c>
      <c r="D42" s="6">
        <v>1586775</v>
      </c>
      <c r="E42" s="6">
        <v>1643895</v>
      </c>
      <c r="F42" s="6">
        <v>1653220</v>
      </c>
      <c r="G42" s="6">
        <v>1644264</v>
      </c>
      <c r="H42" s="6">
        <v>2117662</v>
      </c>
      <c r="I42" s="6">
        <v>1010996</v>
      </c>
      <c r="J42" s="6">
        <v>984557</v>
      </c>
      <c r="K42" s="6">
        <v>963353</v>
      </c>
      <c r="L42" s="6">
        <v>952240</v>
      </c>
      <c r="M42" s="6">
        <v>941798</v>
      </c>
      <c r="N42" s="6">
        <v>942980</v>
      </c>
      <c r="O42" s="6">
        <v>933180</v>
      </c>
      <c r="P42" s="6">
        <v>923739</v>
      </c>
      <c r="Q42" s="6">
        <v>923084</v>
      </c>
      <c r="R42" s="6">
        <v>957358</v>
      </c>
      <c r="S42" s="6">
        <v>1428845</v>
      </c>
    </row>
    <row r="43" spans="1:19" ht="15" customHeight="1">
      <c r="A43" s="29" t="s">
        <v>125</v>
      </c>
      <c r="B43" s="6">
        <v>2074377</v>
      </c>
      <c r="C43" s="6">
        <v>1772435</v>
      </c>
      <c r="D43" s="6">
        <v>1615448</v>
      </c>
      <c r="E43" s="6">
        <v>1679779</v>
      </c>
      <c r="F43" s="6">
        <v>1697099</v>
      </c>
      <c r="G43" s="6">
        <v>1695324</v>
      </c>
      <c r="H43" s="6">
        <v>2177771</v>
      </c>
      <c r="I43" s="6">
        <v>1113838</v>
      </c>
      <c r="J43" s="6">
        <v>1098567</v>
      </c>
      <c r="K43" s="863">
        <v>1088316</v>
      </c>
      <c r="L43" s="6">
        <v>1091398</v>
      </c>
      <c r="M43" s="6">
        <v>1091734</v>
      </c>
      <c r="N43" s="6">
        <v>1102197</v>
      </c>
      <c r="O43" s="6">
        <v>1102973</v>
      </c>
      <c r="P43" s="6">
        <v>1104147</v>
      </c>
      <c r="Q43" s="6">
        <v>1114712</v>
      </c>
      <c r="R43" s="6">
        <v>1173834</v>
      </c>
      <c r="S43" s="6">
        <v>1727503</v>
      </c>
    </row>
    <row r="44" spans="1:19" ht="15" customHeight="1">
      <c r="A44" s="29" t="s">
        <v>126</v>
      </c>
      <c r="B44" s="6">
        <v>-26526</v>
      </c>
      <c r="C44" s="6">
        <v>-37294</v>
      </c>
      <c r="D44" s="6">
        <v>-28673</v>
      </c>
      <c r="E44" s="6">
        <v>-35884</v>
      </c>
      <c r="F44" s="6">
        <v>-43879</v>
      </c>
      <c r="G44" s="6">
        <v>-51060</v>
      </c>
      <c r="H44" s="6">
        <v>-60110</v>
      </c>
      <c r="I44" s="6">
        <v>-102842</v>
      </c>
      <c r="J44" s="6">
        <v>-114010</v>
      </c>
      <c r="K44" s="6">
        <v>-124963</v>
      </c>
      <c r="L44" s="6">
        <v>-139157</v>
      </c>
      <c r="M44" s="6">
        <v>-149936</v>
      </c>
      <c r="N44" s="6">
        <v>-159216</v>
      </c>
      <c r="O44" s="6">
        <v>-169793</v>
      </c>
      <c r="P44" s="6">
        <v>-180408</v>
      </c>
      <c r="Q44" s="6">
        <v>-191628</v>
      </c>
      <c r="R44" s="6">
        <v>-216476</v>
      </c>
      <c r="S44" s="6">
        <v>-298658</v>
      </c>
    </row>
    <row r="45" spans="1:19" ht="15" customHeight="1">
      <c r="A45" s="26" t="s">
        <v>85</v>
      </c>
      <c r="B45" s="6">
        <v>27594</v>
      </c>
      <c r="C45" s="6">
        <v>44917</v>
      </c>
      <c r="D45" s="6">
        <v>42724</v>
      </c>
      <c r="E45" s="6">
        <v>37133</v>
      </c>
      <c r="F45" s="6">
        <v>34990</v>
      </c>
      <c r="G45" s="6">
        <v>32921</v>
      </c>
      <c r="H45" s="6">
        <v>30770</v>
      </c>
      <c r="I45" s="6">
        <v>45648</v>
      </c>
      <c r="J45" s="6">
        <v>66481</v>
      </c>
      <c r="K45" s="6">
        <v>67658</v>
      </c>
      <c r="L45" s="6">
        <v>54568</v>
      </c>
      <c r="M45" s="6">
        <v>58433</v>
      </c>
      <c r="N45" s="6">
        <v>65174</v>
      </c>
      <c r="O45" s="6">
        <v>41270</v>
      </c>
      <c r="P45" s="6">
        <v>153129</v>
      </c>
      <c r="Q45" s="6">
        <v>279065</v>
      </c>
      <c r="R45" s="6">
        <v>268305</v>
      </c>
      <c r="S45" s="6">
        <v>238599</v>
      </c>
    </row>
    <row r="46" spans="1:19" ht="15" customHeight="1">
      <c r="A46" s="27" t="s">
        <v>125</v>
      </c>
      <c r="B46" s="6">
        <v>28808</v>
      </c>
      <c r="C46" s="6">
        <v>46895</v>
      </c>
      <c r="D46" s="6">
        <v>46929</v>
      </c>
      <c r="E46" s="6">
        <v>43192</v>
      </c>
      <c r="F46" s="6">
        <v>43192</v>
      </c>
      <c r="G46" s="6">
        <v>43273</v>
      </c>
      <c r="H46" s="6">
        <v>43273</v>
      </c>
      <c r="I46" s="6">
        <v>70886</v>
      </c>
      <c r="J46" s="6">
        <v>94694</v>
      </c>
      <c r="K46" s="6">
        <v>83725</v>
      </c>
      <c r="L46" s="6">
        <v>71444</v>
      </c>
      <c r="M46" s="6">
        <v>80831</v>
      </c>
      <c r="N46" s="6">
        <v>92669</v>
      </c>
      <c r="O46" s="6">
        <v>67678</v>
      </c>
      <c r="P46" s="6">
        <v>182936</v>
      </c>
      <c r="Q46" s="6">
        <v>311099</v>
      </c>
      <c r="R46" s="6">
        <v>311715</v>
      </c>
      <c r="S46" s="6">
        <v>281827</v>
      </c>
    </row>
    <row r="47" spans="1:19" ht="15" customHeight="1">
      <c r="A47" s="27" t="s">
        <v>126</v>
      </c>
      <c r="B47" s="6">
        <v>-1214</v>
      </c>
      <c r="C47" s="6">
        <v>-1978</v>
      </c>
      <c r="D47" s="6">
        <v>-4205</v>
      </c>
      <c r="E47" s="6">
        <v>-6059</v>
      </c>
      <c r="F47" s="6">
        <v>-8202</v>
      </c>
      <c r="G47" s="6">
        <v>-10352</v>
      </c>
      <c r="H47" s="6">
        <v>-12504</v>
      </c>
      <c r="I47" s="6">
        <v>-25237</v>
      </c>
      <c r="J47" s="6">
        <v>-28213</v>
      </c>
      <c r="K47" s="6">
        <v>-16068</v>
      </c>
      <c r="L47" s="6">
        <v>-16876</v>
      </c>
      <c r="M47" s="6">
        <v>-22397</v>
      </c>
      <c r="N47" s="6">
        <v>-27495</v>
      </c>
      <c r="O47" s="6">
        <v>-26408</v>
      </c>
      <c r="P47" s="6">
        <v>-29807</v>
      </c>
      <c r="Q47" s="6">
        <v>-32034</v>
      </c>
      <c r="R47" s="6">
        <v>-43410</v>
      </c>
      <c r="S47" s="6">
        <v>-43228</v>
      </c>
    </row>
    <row r="48" spans="1:19" ht="15" customHeight="1">
      <c r="A48" s="26" t="s">
        <v>86</v>
      </c>
      <c r="B48" s="6">
        <v>129217</v>
      </c>
      <c r="C48" s="6">
        <v>1522648</v>
      </c>
      <c r="D48" s="6">
        <v>101346</v>
      </c>
      <c r="E48" s="6">
        <v>166392</v>
      </c>
      <c r="F48" s="6">
        <v>381937</v>
      </c>
      <c r="G48" s="6">
        <v>530676</v>
      </c>
      <c r="H48" s="6">
        <v>401815</v>
      </c>
      <c r="I48" s="6">
        <v>80876</v>
      </c>
      <c r="J48" s="6">
        <v>76867</v>
      </c>
      <c r="K48" s="6">
        <v>111506</v>
      </c>
      <c r="L48" s="6">
        <v>144378</v>
      </c>
      <c r="M48" s="6">
        <v>307774</v>
      </c>
      <c r="N48" s="6">
        <v>28139</v>
      </c>
      <c r="O48" s="6">
        <v>551471</v>
      </c>
      <c r="P48" s="6">
        <v>133548</v>
      </c>
      <c r="Q48" s="6">
        <v>143919</v>
      </c>
      <c r="R48" s="6">
        <v>122014</v>
      </c>
      <c r="S48" s="6">
        <v>141443</v>
      </c>
    </row>
    <row r="49" spans="1:19" ht="15" customHeight="1">
      <c r="A49" s="31" t="s">
        <v>129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</row>
    <row r="50" spans="1:19" ht="15" customHeight="1">
      <c r="A50" s="31" t="s">
        <v>130</v>
      </c>
      <c r="B50" s="6">
        <v>129217</v>
      </c>
      <c r="C50" s="6">
        <v>1522648</v>
      </c>
      <c r="D50" s="6">
        <v>101346</v>
      </c>
      <c r="E50" s="6">
        <v>166392</v>
      </c>
      <c r="F50" s="6">
        <v>381937</v>
      </c>
      <c r="G50" s="6">
        <v>530676</v>
      </c>
      <c r="H50" s="6">
        <v>401815</v>
      </c>
      <c r="I50" s="6">
        <v>80876</v>
      </c>
      <c r="J50" s="6">
        <v>76867</v>
      </c>
      <c r="K50" s="6">
        <v>111506</v>
      </c>
      <c r="L50" s="6">
        <v>144378</v>
      </c>
      <c r="M50" s="6">
        <v>307774</v>
      </c>
      <c r="N50" s="6">
        <v>28139</v>
      </c>
      <c r="O50" s="6">
        <v>551471</v>
      </c>
      <c r="P50" s="6">
        <v>133548</v>
      </c>
      <c r="Q50" s="6">
        <v>143919</v>
      </c>
      <c r="R50" s="6">
        <v>122014</v>
      </c>
      <c r="S50" s="6">
        <v>141443</v>
      </c>
    </row>
    <row r="51" spans="1:19" ht="15" customHeight="1">
      <c r="A51" s="32" t="s">
        <v>87</v>
      </c>
      <c r="B51" s="6">
        <v>2275672</v>
      </c>
      <c r="C51" s="6">
        <v>2443761</v>
      </c>
      <c r="D51" s="6">
        <v>2330415</v>
      </c>
      <c r="E51" s="6">
        <v>2361471</v>
      </c>
      <c r="F51" s="6">
        <v>2431619</v>
      </c>
      <c r="G51" s="6">
        <v>2426601</v>
      </c>
      <c r="H51" s="6">
        <v>2297407</v>
      </c>
      <c r="I51" s="6">
        <v>2220151</v>
      </c>
      <c r="J51" s="6">
        <v>1938641</v>
      </c>
      <c r="K51" s="6">
        <v>2152328</v>
      </c>
      <c r="L51" s="6">
        <v>2119042</v>
      </c>
      <c r="M51" s="6">
        <v>2162739</v>
      </c>
      <c r="N51" s="6">
        <v>2351286</v>
      </c>
      <c r="O51" s="6">
        <v>2125163</v>
      </c>
      <c r="P51" s="6">
        <v>2214115</v>
      </c>
      <c r="Q51" s="6">
        <v>2287392</v>
      </c>
      <c r="R51" s="6">
        <v>3672561</v>
      </c>
      <c r="S51" s="6">
        <v>4194795</v>
      </c>
    </row>
    <row r="52" spans="1:19" ht="15" customHeight="1">
      <c r="A52" s="31" t="s">
        <v>131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</row>
    <row r="53" spans="1:19" ht="15" customHeight="1">
      <c r="A53" s="31" t="s">
        <v>132</v>
      </c>
      <c r="B53" s="6">
        <v>1056267</v>
      </c>
      <c r="C53" s="6">
        <v>1523418</v>
      </c>
      <c r="D53" s="6">
        <v>1520996</v>
      </c>
      <c r="E53" s="6">
        <v>1582339</v>
      </c>
      <c r="F53" s="6">
        <v>1706331</v>
      </c>
      <c r="G53" s="6">
        <v>1771504</v>
      </c>
      <c r="H53" s="6">
        <v>1636021</v>
      </c>
      <c r="I53" s="6">
        <v>1895601</v>
      </c>
      <c r="J53" s="6">
        <v>1602030</v>
      </c>
      <c r="K53" s="6">
        <v>1747121</v>
      </c>
      <c r="L53" s="6">
        <v>1800203</v>
      </c>
      <c r="M53" s="6">
        <v>1878458</v>
      </c>
      <c r="N53" s="6">
        <v>2049029</v>
      </c>
      <c r="O53" s="6">
        <v>2010072</v>
      </c>
      <c r="P53" s="6">
        <v>2187830</v>
      </c>
      <c r="Q53" s="6">
        <v>2230184</v>
      </c>
      <c r="R53" s="6">
        <v>2304839</v>
      </c>
      <c r="S53" s="6">
        <v>2220383</v>
      </c>
    </row>
    <row r="54" spans="1:19" ht="15" customHeight="1">
      <c r="A54" s="31" t="s">
        <v>133</v>
      </c>
      <c r="B54" s="6">
        <v>1275376</v>
      </c>
      <c r="C54" s="6">
        <v>1237467</v>
      </c>
      <c r="D54" s="6">
        <v>1287769</v>
      </c>
      <c r="E54" s="6">
        <v>1283732</v>
      </c>
      <c r="F54" s="6">
        <v>1179166</v>
      </c>
      <c r="G54" s="6">
        <v>1143904</v>
      </c>
      <c r="H54" s="6">
        <v>1111348</v>
      </c>
      <c r="I54" s="6">
        <v>759465</v>
      </c>
      <c r="J54" s="6">
        <v>763251</v>
      </c>
      <c r="K54" s="6">
        <v>736653</v>
      </c>
      <c r="L54" s="6">
        <v>688511</v>
      </c>
      <c r="M54" s="6">
        <v>665886</v>
      </c>
      <c r="N54" s="6">
        <v>665886</v>
      </c>
      <c r="O54" s="6">
        <v>434314</v>
      </c>
      <c r="P54" s="6">
        <v>434314</v>
      </c>
      <c r="Q54" s="6">
        <v>434314</v>
      </c>
      <c r="R54" s="6">
        <v>410929</v>
      </c>
      <c r="S54" s="6">
        <v>362429</v>
      </c>
    </row>
    <row r="55" spans="1:19" ht="15" customHeight="1">
      <c r="A55" s="31" t="s">
        <v>134</v>
      </c>
      <c r="B55" s="6">
        <v>-55970</v>
      </c>
      <c r="C55" s="6">
        <v>-317125</v>
      </c>
      <c r="D55" s="6">
        <v>-478350</v>
      </c>
      <c r="E55" s="6">
        <v>-504600</v>
      </c>
      <c r="F55" s="6">
        <v>-453878</v>
      </c>
      <c r="G55" s="6">
        <v>-488807</v>
      </c>
      <c r="H55" s="6">
        <v>-449962</v>
      </c>
      <c r="I55" s="6">
        <v>-462784</v>
      </c>
      <c r="J55" s="6">
        <v>-447509</v>
      </c>
      <c r="K55" s="6">
        <v>-352315</v>
      </c>
      <c r="L55" s="6">
        <v>-390541</v>
      </c>
      <c r="M55" s="6">
        <v>-435474</v>
      </c>
      <c r="N55" s="6">
        <v>-444497</v>
      </c>
      <c r="O55" s="6">
        <v>-409692</v>
      </c>
      <c r="P55" s="6">
        <v>-410129</v>
      </c>
      <c r="Q55" s="6">
        <v>-416326</v>
      </c>
      <c r="R55" s="6">
        <v>-378707</v>
      </c>
      <c r="S55" s="6">
        <v>-361518</v>
      </c>
    </row>
    <row r="56" spans="1:19" ht="15" customHeight="1">
      <c r="A56" s="31" t="s">
        <v>135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27869</v>
      </c>
      <c r="J56" s="6">
        <v>20869</v>
      </c>
      <c r="K56" s="6">
        <v>20869</v>
      </c>
      <c r="L56" s="6">
        <v>20869</v>
      </c>
      <c r="M56" s="6">
        <v>53869</v>
      </c>
      <c r="N56" s="6">
        <v>80869</v>
      </c>
      <c r="O56" s="6">
        <v>90469</v>
      </c>
      <c r="P56" s="6">
        <v>2100</v>
      </c>
      <c r="Q56" s="6">
        <v>39220</v>
      </c>
      <c r="R56" s="6">
        <v>1335500</v>
      </c>
      <c r="S56" s="6">
        <v>1973500</v>
      </c>
    </row>
    <row r="57" spans="1:19" ht="15" customHeight="1">
      <c r="A57" s="179" t="s">
        <v>88</v>
      </c>
      <c r="B57" s="6">
        <v>1124543</v>
      </c>
      <c r="C57" s="6">
        <v>923924</v>
      </c>
      <c r="D57" s="6">
        <v>1260161</v>
      </c>
      <c r="E57" s="6">
        <v>1411342</v>
      </c>
      <c r="F57" s="6">
        <v>1166036</v>
      </c>
      <c r="G57" s="6">
        <v>1243375</v>
      </c>
      <c r="H57" s="6">
        <v>1355438</v>
      </c>
      <c r="I57" s="6">
        <v>1141597</v>
      </c>
      <c r="J57" s="6">
        <v>895665</v>
      </c>
      <c r="K57" s="6">
        <v>967676</v>
      </c>
      <c r="L57" s="6">
        <v>785635</v>
      </c>
      <c r="M57" s="6">
        <v>574377</v>
      </c>
      <c r="N57" s="6">
        <v>530531</v>
      </c>
      <c r="O57" s="6">
        <v>477646</v>
      </c>
      <c r="P57" s="6">
        <v>611356</v>
      </c>
      <c r="Q57" s="6">
        <v>788417</v>
      </c>
      <c r="R57" s="6">
        <v>682575</v>
      </c>
      <c r="S57" s="6">
        <v>778330</v>
      </c>
    </row>
    <row r="58" spans="1:19" ht="15" customHeight="1">
      <c r="A58" s="27" t="s">
        <v>136</v>
      </c>
      <c r="B58" s="6">
        <v>947741</v>
      </c>
      <c r="C58" s="6">
        <v>907765</v>
      </c>
      <c r="D58" s="6">
        <v>1184098</v>
      </c>
      <c r="E58" s="6">
        <v>1304254</v>
      </c>
      <c r="F58" s="6">
        <v>1117351</v>
      </c>
      <c r="G58" s="6">
        <v>1160881</v>
      </c>
      <c r="H58" s="6">
        <v>1109120</v>
      </c>
      <c r="I58" s="6">
        <v>626305</v>
      </c>
      <c r="J58" s="6">
        <v>756356</v>
      </c>
      <c r="K58" s="6">
        <v>816991</v>
      </c>
      <c r="L58" s="6">
        <v>551795</v>
      </c>
      <c r="M58" s="6">
        <v>328605</v>
      </c>
      <c r="N58" s="6">
        <v>330639</v>
      </c>
      <c r="O58" s="6">
        <v>263131</v>
      </c>
      <c r="P58" s="6">
        <v>383451</v>
      </c>
      <c r="Q58" s="6">
        <v>550304</v>
      </c>
      <c r="R58" s="6">
        <v>455035</v>
      </c>
      <c r="S58" s="6">
        <v>552323</v>
      </c>
    </row>
    <row r="59" spans="1:19" ht="15" customHeight="1">
      <c r="A59" s="27" t="s">
        <v>137</v>
      </c>
      <c r="B59" s="6">
        <v>16526</v>
      </c>
      <c r="C59" s="6">
        <v>6305</v>
      </c>
      <c r="D59" s="6">
        <v>11543</v>
      </c>
      <c r="E59" s="6">
        <v>48464</v>
      </c>
      <c r="F59" s="6">
        <v>35110</v>
      </c>
      <c r="G59" s="6">
        <v>58862</v>
      </c>
      <c r="H59" s="6">
        <v>217944</v>
      </c>
      <c r="I59" s="6">
        <v>486985</v>
      </c>
      <c r="J59" s="6">
        <v>121283</v>
      </c>
      <c r="K59" s="6">
        <v>136822</v>
      </c>
      <c r="L59" s="6">
        <v>184534</v>
      </c>
      <c r="M59" s="6">
        <v>214736</v>
      </c>
      <c r="N59" s="6">
        <v>170770</v>
      </c>
      <c r="O59" s="6">
        <v>194842</v>
      </c>
      <c r="P59" s="6">
        <v>208459</v>
      </c>
      <c r="Q59" s="6">
        <v>206420</v>
      </c>
      <c r="R59" s="6">
        <v>198507</v>
      </c>
      <c r="S59" s="6">
        <v>191956</v>
      </c>
    </row>
    <row r="60" spans="1:19" ht="15" customHeight="1">
      <c r="A60" s="27" t="s">
        <v>138</v>
      </c>
      <c r="B60" s="6">
        <v>3825</v>
      </c>
      <c r="C60" s="6">
        <v>9854</v>
      </c>
      <c r="D60" s="6">
        <v>4409</v>
      </c>
      <c r="E60" s="6">
        <v>4522</v>
      </c>
      <c r="F60" s="6">
        <v>13575</v>
      </c>
      <c r="G60" s="6">
        <v>23632</v>
      </c>
      <c r="H60" s="6">
        <v>28374</v>
      </c>
      <c r="I60" s="6">
        <v>28307</v>
      </c>
      <c r="J60" s="6">
        <v>18027</v>
      </c>
      <c r="K60" s="6">
        <v>13862</v>
      </c>
      <c r="L60" s="6">
        <v>49306</v>
      </c>
      <c r="M60" s="6">
        <v>31036</v>
      </c>
      <c r="N60" s="6">
        <v>29122</v>
      </c>
      <c r="O60" s="6">
        <v>19673</v>
      </c>
      <c r="P60" s="6">
        <v>19446</v>
      </c>
      <c r="Q60" s="6">
        <v>31693</v>
      </c>
      <c r="R60" s="6">
        <v>29033</v>
      </c>
      <c r="S60" s="6">
        <v>34050</v>
      </c>
    </row>
    <row r="61" spans="1:19" ht="15" customHeight="1">
      <c r="A61" s="28" t="s">
        <v>89</v>
      </c>
      <c r="B61" s="6">
        <v>156452</v>
      </c>
      <c r="C61" s="6">
        <v>0</v>
      </c>
      <c r="D61" s="6">
        <v>60112</v>
      </c>
      <c r="E61" s="6">
        <v>54101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</row>
    <row r="62" spans="1:19" ht="15" customHeight="1">
      <c r="A62" s="22" t="s">
        <v>90</v>
      </c>
      <c r="B62" s="5">
        <v>13027344</v>
      </c>
      <c r="C62" s="5">
        <v>15170478</v>
      </c>
      <c r="D62" s="5">
        <v>15841911</v>
      </c>
      <c r="E62" s="5">
        <v>16571046</v>
      </c>
      <c r="F62" s="5">
        <v>17724614</v>
      </c>
      <c r="G62" s="5">
        <v>18814767</v>
      </c>
      <c r="H62" s="5">
        <v>21674037</v>
      </c>
      <c r="I62" s="5">
        <v>21571926</v>
      </c>
      <c r="J62" s="5">
        <v>19192865</v>
      </c>
      <c r="K62" s="5">
        <v>22013689</v>
      </c>
      <c r="L62" s="5">
        <v>22366743</v>
      </c>
      <c r="M62" s="5">
        <v>26962476</v>
      </c>
      <c r="N62" s="5">
        <v>27374973</v>
      </c>
      <c r="O62" s="5">
        <v>30487024</v>
      </c>
      <c r="P62" s="5">
        <v>34465076</v>
      </c>
      <c r="Q62" s="5">
        <v>34056625</v>
      </c>
      <c r="R62" s="5">
        <v>33439406</v>
      </c>
      <c r="S62" s="5">
        <v>32597354</v>
      </c>
    </row>
    <row r="63" spans="1:19" ht="15" customHeight="1">
      <c r="A63" s="30" t="s">
        <v>91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" customHeight="1">
      <c r="A64" s="25" t="s">
        <v>92</v>
      </c>
      <c r="B64" s="5">
        <v>5385532</v>
      </c>
      <c r="C64" s="5">
        <v>6234599</v>
      </c>
      <c r="D64" s="5">
        <v>7053295</v>
      </c>
      <c r="E64" s="5">
        <v>6145577</v>
      </c>
      <c r="F64" s="5">
        <v>6366628</v>
      </c>
      <c r="G64" s="5">
        <v>7713292</v>
      </c>
      <c r="H64" s="5">
        <v>8690568</v>
      </c>
      <c r="I64" s="5">
        <v>7507222</v>
      </c>
      <c r="J64" s="5">
        <v>6759685</v>
      </c>
      <c r="K64" s="5">
        <v>7593163</v>
      </c>
      <c r="L64" s="5">
        <v>6254837</v>
      </c>
      <c r="M64" s="5">
        <v>6886229</v>
      </c>
      <c r="N64" s="5">
        <v>6159696</v>
      </c>
      <c r="O64" s="5">
        <v>7892239</v>
      </c>
      <c r="P64" s="5">
        <v>9874230</v>
      </c>
      <c r="Q64" s="5">
        <v>8571467</v>
      </c>
      <c r="R64" s="5">
        <v>9002313</v>
      </c>
      <c r="S64" s="5">
        <v>9597539</v>
      </c>
    </row>
    <row r="65" spans="1:19" ht="15" customHeight="1">
      <c r="A65" s="26" t="s">
        <v>93</v>
      </c>
      <c r="B65" s="6">
        <v>4967657</v>
      </c>
      <c r="C65" s="6">
        <v>4855815</v>
      </c>
      <c r="D65" s="6">
        <v>5354042</v>
      </c>
      <c r="E65" s="6">
        <v>4614656</v>
      </c>
      <c r="F65" s="6">
        <v>4755889</v>
      </c>
      <c r="G65" s="6">
        <v>6146682</v>
      </c>
      <c r="H65" s="6">
        <v>7559893</v>
      </c>
      <c r="I65" s="6">
        <v>6759695</v>
      </c>
      <c r="J65" s="6">
        <v>6473889</v>
      </c>
      <c r="K65" s="6">
        <v>7401585</v>
      </c>
      <c r="L65" s="6">
        <v>5925697</v>
      </c>
      <c r="M65" s="6">
        <v>6087830</v>
      </c>
      <c r="N65" s="6">
        <v>5173043</v>
      </c>
      <c r="O65" s="6">
        <v>7258021</v>
      </c>
      <c r="P65" s="6">
        <v>9213862</v>
      </c>
      <c r="Q65" s="6">
        <v>8224608</v>
      </c>
      <c r="R65" s="6">
        <v>8657141</v>
      </c>
      <c r="S65" s="6">
        <v>8880281</v>
      </c>
    </row>
    <row r="66" spans="1:19" ht="15" customHeight="1">
      <c r="A66" s="27" t="s">
        <v>139</v>
      </c>
      <c r="B66" s="6">
        <v>106486</v>
      </c>
      <c r="C66" s="6">
        <v>136732</v>
      </c>
      <c r="D66" s="6">
        <v>94776</v>
      </c>
      <c r="E66" s="6">
        <v>136687</v>
      </c>
      <c r="F66" s="6">
        <v>210314</v>
      </c>
      <c r="G66" s="6">
        <v>466463</v>
      </c>
      <c r="H66" s="6">
        <v>437368</v>
      </c>
      <c r="I66" s="6">
        <v>1051665</v>
      </c>
      <c r="J66" s="6">
        <v>1042310</v>
      </c>
      <c r="K66" s="6">
        <v>722904</v>
      </c>
      <c r="L66" s="6">
        <v>594243</v>
      </c>
      <c r="M66" s="6">
        <v>560511</v>
      </c>
      <c r="N66" s="6">
        <v>448792</v>
      </c>
      <c r="O66" s="6">
        <v>321746</v>
      </c>
      <c r="P66" s="6">
        <v>658626</v>
      </c>
      <c r="Q66" s="6">
        <v>530129</v>
      </c>
      <c r="R66" s="6">
        <v>245384</v>
      </c>
      <c r="S66" s="6">
        <v>267584</v>
      </c>
    </row>
    <row r="67" spans="1:19" ht="15" customHeight="1">
      <c r="A67" s="27" t="s">
        <v>140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</row>
    <row r="68" spans="1:19" ht="15" customHeight="1">
      <c r="A68" s="31" t="s">
        <v>141</v>
      </c>
      <c r="B68" s="6">
        <v>570796</v>
      </c>
      <c r="C68" s="6">
        <v>787781</v>
      </c>
      <c r="D68" s="6">
        <v>1036460</v>
      </c>
      <c r="E68" s="6">
        <v>1522868</v>
      </c>
      <c r="F68" s="6">
        <v>1439557</v>
      </c>
      <c r="G68" s="6">
        <v>1854719</v>
      </c>
      <c r="H68" s="6">
        <v>1792271</v>
      </c>
      <c r="I68" s="6">
        <v>1558016</v>
      </c>
      <c r="J68" s="6">
        <v>1876186</v>
      </c>
      <c r="K68" s="6">
        <v>2020400</v>
      </c>
      <c r="L68" s="6">
        <v>2027262</v>
      </c>
      <c r="M68" s="6">
        <v>2427068</v>
      </c>
      <c r="N68" s="6">
        <v>1652907</v>
      </c>
      <c r="O68" s="6">
        <v>2400248</v>
      </c>
      <c r="P68" s="6">
        <v>2766280</v>
      </c>
      <c r="Q68" s="6">
        <v>2476373</v>
      </c>
      <c r="R68" s="6">
        <v>2642248</v>
      </c>
      <c r="S68" s="6">
        <v>2403618</v>
      </c>
    </row>
    <row r="69" spans="1:19" ht="15" customHeight="1">
      <c r="A69" s="31" t="s">
        <v>142</v>
      </c>
      <c r="B69" s="6">
        <v>18017</v>
      </c>
      <c r="C69" s="6">
        <v>10320</v>
      </c>
      <c r="D69" s="6">
        <v>17475</v>
      </c>
      <c r="E69" s="6">
        <v>17296</v>
      </c>
      <c r="F69" s="6">
        <v>33314</v>
      </c>
      <c r="G69" s="6">
        <v>40059</v>
      </c>
      <c r="H69" s="6">
        <v>77000</v>
      </c>
      <c r="I69" s="6">
        <v>381636</v>
      </c>
      <c r="J69" s="6">
        <v>490296</v>
      </c>
      <c r="K69" s="6">
        <v>89251</v>
      </c>
      <c r="L69" s="6">
        <v>110463</v>
      </c>
      <c r="M69" s="6">
        <v>42587</v>
      </c>
      <c r="N69" s="6">
        <v>64715</v>
      </c>
      <c r="O69" s="6">
        <v>63253</v>
      </c>
      <c r="P69" s="6">
        <v>36931</v>
      </c>
      <c r="Q69" s="6">
        <v>44801</v>
      </c>
      <c r="R69" s="6">
        <v>94511</v>
      </c>
      <c r="S69" s="6">
        <v>84401</v>
      </c>
    </row>
    <row r="70" spans="1:19" ht="15" customHeight="1">
      <c r="A70" s="31" t="s">
        <v>143</v>
      </c>
      <c r="B70" s="6">
        <v>565569</v>
      </c>
      <c r="C70" s="6">
        <v>705536</v>
      </c>
      <c r="D70" s="6">
        <v>669484</v>
      </c>
      <c r="E70" s="6">
        <v>758171</v>
      </c>
      <c r="F70" s="6">
        <v>757009</v>
      </c>
      <c r="G70" s="6">
        <v>985612</v>
      </c>
      <c r="H70" s="6">
        <v>2359357</v>
      </c>
      <c r="I70" s="6">
        <v>857038</v>
      </c>
      <c r="J70" s="6">
        <v>803769</v>
      </c>
      <c r="K70" s="6">
        <v>1209757</v>
      </c>
      <c r="L70" s="6">
        <v>1100614</v>
      </c>
      <c r="M70" s="6">
        <v>855960</v>
      </c>
      <c r="N70" s="6">
        <v>1257298</v>
      </c>
      <c r="O70" s="6">
        <v>1416975</v>
      </c>
      <c r="P70" s="6">
        <v>1621018</v>
      </c>
      <c r="Q70" s="6">
        <v>1358516</v>
      </c>
      <c r="R70" s="6">
        <v>1320861</v>
      </c>
      <c r="S70" s="6">
        <v>1625986</v>
      </c>
    </row>
    <row r="71" spans="1:19" ht="15" customHeight="1">
      <c r="A71" s="31" t="s">
        <v>144</v>
      </c>
      <c r="B71" s="6">
        <v>65616</v>
      </c>
      <c r="C71" s="6">
        <v>97027</v>
      </c>
      <c r="D71" s="6">
        <v>164107</v>
      </c>
      <c r="E71" s="6">
        <v>163395</v>
      </c>
      <c r="F71" s="6">
        <v>119068</v>
      </c>
      <c r="G71" s="6">
        <v>185668</v>
      </c>
      <c r="H71" s="6">
        <v>263921</v>
      </c>
      <c r="I71" s="6">
        <v>217026</v>
      </c>
      <c r="J71" s="6">
        <v>265149</v>
      </c>
      <c r="K71" s="6">
        <v>222226</v>
      </c>
      <c r="L71" s="6">
        <v>308694</v>
      </c>
      <c r="M71" s="6">
        <v>389619</v>
      </c>
      <c r="N71" s="6">
        <v>360588</v>
      </c>
      <c r="O71" s="6">
        <v>218498</v>
      </c>
      <c r="P71" s="6">
        <v>190034</v>
      </c>
      <c r="Q71" s="6">
        <v>235426</v>
      </c>
      <c r="R71" s="6">
        <v>128685</v>
      </c>
      <c r="S71" s="6">
        <v>130883</v>
      </c>
    </row>
    <row r="72" spans="1:19" ht="15" customHeight="1">
      <c r="A72" s="31" t="s">
        <v>145</v>
      </c>
      <c r="B72" s="6">
        <v>366515</v>
      </c>
      <c r="C72" s="6">
        <v>231798</v>
      </c>
      <c r="D72" s="6">
        <v>332622</v>
      </c>
      <c r="E72" s="6">
        <v>269619</v>
      </c>
      <c r="F72" s="6">
        <v>250674</v>
      </c>
      <c r="G72" s="6">
        <v>455032</v>
      </c>
      <c r="H72" s="6">
        <v>470125</v>
      </c>
      <c r="I72" s="6">
        <v>358289</v>
      </c>
      <c r="J72" s="6">
        <v>375962</v>
      </c>
      <c r="K72" s="6">
        <v>196526</v>
      </c>
      <c r="L72" s="6">
        <v>473169</v>
      </c>
      <c r="M72" s="6">
        <v>433171</v>
      </c>
      <c r="N72" s="6">
        <v>237321</v>
      </c>
      <c r="O72" s="6">
        <v>370692</v>
      </c>
      <c r="P72" s="6">
        <v>514267</v>
      </c>
      <c r="Q72" s="6">
        <v>486177</v>
      </c>
      <c r="R72" s="6">
        <v>515857</v>
      </c>
      <c r="S72" s="6">
        <v>580272</v>
      </c>
    </row>
    <row r="73" spans="1:19" ht="15" customHeight="1">
      <c r="A73" s="31" t="s">
        <v>146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</row>
    <row r="74" spans="1:19" ht="15" customHeight="1">
      <c r="A74" s="31" t="s">
        <v>147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</row>
    <row r="75" spans="1:19" ht="15" customHeight="1">
      <c r="A75" s="31" t="s">
        <v>148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6">
        <v>1721</v>
      </c>
      <c r="J75" s="7">
        <v>800</v>
      </c>
      <c r="K75" s="7">
        <v>606</v>
      </c>
      <c r="L75" s="6">
        <v>1739</v>
      </c>
      <c r="M75" s="7">
        <v>930</v>
      </c>
      <c r="N75" s="7">
        <v>782</v>
      </c>
      <c r="O75" s="7">
        <v>517</v>
      </c>
      <c r="P75" s="7">
        <v>230</v>
      </c>
      <c r="Q75" s="7">
        <v>0</v>
      </c>
      <c r="R75" s="7">
        <v>228</v>
      </c>
      <c r="S75" s="7">
        <v>546</v>
      </c>
    </row>
    <row r="76" spans="1:19" ht="15" customHeight="1">
      <c r="A76" s="31" t="s">
        <v>149</v>
      </c>
      <c r="B76" s="6">
        <v>3232411</v>
      </c>
      <c r="C76" s="6">
        <v>2850249</v>
      </c>
      <c r="D76" s="6">
        <v>2914154</v>
      </c>
      <c r="E76" s="6">
        <v>1634505</v>
      </c>
      <c r="F76" s="6">
        <v>1742909</v>
      </c>
      <c r="G76" s="6">
        <v>1901822</v>
      </c>
      <c r="H76" s="6">
        <v>1028237</v>
      </c>
      <c r="I76" s="6">
        <v>1042998</v>
      </c>
      <c r="J76" s="6">
        <v>1288893</v>
      </c>
      <c r="K76" s="6">
        <v>2630181</v>
      </c>
      <c r="L76" s="6">
        <v>1079539</v>
      </c>
      <c r="M76" s="6">
        <v>1079348</v>
      </c>
      <c r="N76" s="6">
        <v>966920</v>
      </c>
      <c r="O76" s="6">
        <v>2227840</v>
      </c>
      <c r="P76" s="6">
        <v>3204086</v>
      </c>
      <c r="Q76" s="6">
        <v>2898696</v>
      </c>
      <c r="R76" s="6">
        <v>3509694</v>
      </c>
      <c r="S76" s="6">
        <v>3555404</v>
      </c>
    </row>
    <row r="77" spans="1:19" ht="15" customHeight="1">
      <c r="A77" s="31" t="s">
        <v>150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6">
        <v>5547</v>
      </c>
      <c r="H77" s="6">
        <v>905144</v>
      </c>
      <c r="I77" s="6">
        <v>992214</v>
      </c>
      <c r="J77" s="7">
        <v>0</v>
      </c>
      <c r="K77" s="6">
        <v>12991</v>
      </c>
      <c r="L77" s="6">
        <v>7668</v>
      </c>
      <c r="M77" s="6">
        <v>3711</v>
      </c>
      <c r="N77" s="7">
        <v>200</v>
      </c>
      <c r="O77" s="7">
        <v>0</v>
      </c>
      <c r="P77" s="7">
        <v>0</v>
      </c>
      <c r="Q77" s="7">
        <v>119</v>
      </c>
      <c r="R77" s="7">
        <v>251</v>
      </c>
      <c r="S77" s="7">
        <v>269</v>
      </c>
    </row>
    <row r="78" spans="1:19" ht="15" customHeight="1">
      <c r="A78" s="31" t="s">
        <v>151</v>
      </c>
      <c r="B78" s="6">
        <v>42246</v>
      </c>
      <c r="C78" s="6">
        <v>36373</v>
      </c>
      <c r="D78" s="6">
        <v>124966</v>
      </c>
      <c r="E78" s="6">
        <v>112116</v>
      </c>
      <c r="F78" s="6">
        <v>203045</v>
      </c>
      <c r="G78" s="6">
        <v>251759</v>
      </c>
      <c r="H78" s="6">
        <v>226469</v>
      </c>
      <c r="I78" s="6">
        <v>299092</v>
      </c>
      <c r="J78" s="6">
        <v>330525</v>
      </c>
      <c r="K78" s="6">
        <v>296743</v>
      </c>
      <c r="L78" s="6">
        <v>222305</v>
      </c>
      <c r="M78" s="6">
        <v>294925</v>
      </c>
      <c r="N78" s="6">
        <v>183521</v>
      </c>
      <c r="O78" s="6">
        <v>238251</v>
      </c>
      <c r="P78" s="6">
        <v>222390</v>
      </c>
      <c r="Q78" s="6">
        <v>194370</v>
      </c>
      <c r="R78" s="6">
        <v>199419</v>
      </c>
      <c r="S78" s="6">
        <v>231318</v>
      </c>
    </row>
    <row r="79" spans="1:19" ht="15" customHeight="1">
      <c r="A79" s="31" t="s">
        <v>152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</row>
    <row r="80" spans="1:19" ht="15" customHeight="1">
      <c r="A80" s="31" t="s">
        <v>153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</row>
    <row r="81" spans="1:19" ht="15" customHeight="1">
      <c r="A81" s="26" t="s">
        <v>94</v>
      </c>
      <c r="B81" s="6">
        <v>417875</v>
      </c>
      <c r="C81" s="6">
        <v>1378784</v>
      </c>
      <c r="D81" s="6">
        <v>1699252</v>
      </c>
      <c r="E81" s="6">
        <v>1530920</v>
      </c>
      <c r="F81" s="6">
        <v>1610739</v>
      </c>
      <c r="G81" s="6">
        <v>1566610</v>
      </c>
      <c r="H81" s="6">
        <v>1130675</v>
      </c>
      <c r="I81" s="6">
        <v>747527</v>
      </c>
      <c r="J81" s="6">
        <v>285797</v>
      </c>
      <c r="K81" s="6">
        <v>191578</v>
      </c>
      <c r="L81" s="6">
        <v>329140</v>
      </c>
      <c r="M81" s="6">
        <v>798399</v>
      </c>
      <c r="N81" s="6">
        <v>986653</v>
      </c>
      <c r="O81" s="6">
        <v>634218</v>
      </c>
      <c r="P81" s="6">
        <v>660367</v>
      </c>
      <c r="Q81" s="6">
        <v>346858</v>
      </c>
      <c r="R81" s="6">
        <v>345173</v>
      </c>
      <c r="S81" s="6">
        <v>717257</v>
      </c>
    </row>
    <row r="82" spans="1:19" ht="15" customHeight="1">
      <c r="A82" s="27" t="s">
        <v>154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100</v>
      </c>
      <c r="N82" s="6">
        <v>167227</v>
      </c>
      <c r="O82" s="6">
        <v>123521</v>
      </c>
      <c r="P82" s="6">
        <v>120061</v>
      </c>
      <c r="Q82" s="7">
        <v>100</v>
      </c>
      <c r="R82" s="7">
        <v>100</v>
      </c>
      <c r="S82" s="7">
        <v>100</v>
      </c>
    </row>
    <row r="83" spans="1:19" ht="15" customHeight="1">
      <c r="A83" s="27" t="s">
        <v>155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</row>
    <row r="84" spans="1:19" ht="15" customHeight="1">
      <c r="A84" s="27" t="s">
        <v>156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</row>
    <row r="85" spans="1:19" ht="15" customHeight="1">
      <c r="A85" s="27" t="s">
        <v>157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</row>
    <row r="86" spans="1:19" ht="15" customHeight="1">
      <c r="A86" s="27" t="s">
        <v>158</v>
      </c>
      <c r="B86" s="6">
        <v>94085</v>
      </c>
      <c r="C86" s="6">
        <v>81439</v>
      </c>
      <c r="D86" s="6">
        <v>122826</v>
      </c>
      <c r="E86" s="6">
        <v>137833</v>
      </c>
      <c r="F86" s="6">
        <v>161368</v>
      </c>
      <c r="G86" s="6">
        <v>138948</v>
      </c>
      <c r="H86" s="6">
        <v>62000</v>
      </c>
      <c r="I86" s="6">
        <v>65183</v>
      </c>
      <c r="J86" s="6">
        <v>52798</v>
      </c>
      <c r="K86" s="6">
        <v>53655</v>
      </c>
      <c r="L86" s="6">
        <v>53172</v>
      </c>
      <c r="M86" s="6">
        <v>54095</v>
      </c>
      <c r="N86" s="6">
        <v>54554</v>
      </c>
      <c r="O86" s="6">
        <v>54810</v>
      </c>
      <c r="P86" s="6">
        <v>55422</v>
      </c>
      <c r="Q86" s="6">
        <v>55725</v>
      </c>
      <c r="R86" s="6">
        <v>57113</v>
      </c>
      <c r="S86" s="6">
        <v>77161</v>
      </c>
    </row>
    <row r="87" spans="1:19" ht="15" customHeight="1">
      <c r="A87" s="27" t="s">
        <v>159</v>
      </c>
      <c r="B87" s="6">
        <v>322590</v>
      </c>
      <c r="C87" s="6">
        <v>1296489</v>
      </c>
      <c r="D87" s="6">
        <v>1573043</v>
      </c>
      <c r="E87" s="6">
        <v>1387464</v>
      </c>
      <c r="F87" s="6">
        <v>1444580</v>
      </c>
      <c r="G87" s="6">
        <v>1203543</v>
      </c>
      <c r="H87" s="6">
        <v>912244</v>
      </c>
      <c r="I87" s="6">
        <v>610451</v>
      </c>
      <c r="J87" s="6">
        <v>164412</v>
      </c>
      <c r="K87" s="6">
        <v>1942</v>
      </c>
      <c r="L87" s="6">
        <v>14618</v>
      </c>
      <c r="M87" s="6">
        <v>494245</v>
      </c>
      <c r="N87" s="6">
        <v>526264</v>
      </c>
      <c r="O87" s="6">
        <v>341226</v>
      </c>
      <c r="P87" s="6">
        <v>374433</v>
      </c>
      <c r="Q87" s="6">
        <v>170828</v>
      </c>
      <c r="R87" s="6">
        <v>169444</v>
      </c>
      <c r="S87" s="6">
        <v>167936</v>
      </c>
    </row>
    <row r="88" spans="1:19" ht="15" customHeight="1">
      <c r="A88" s="27" t="s">
        <v>160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</row>
    <row r="89" spans="1:19" ht="15" customHeight="1">
      <c r="A89" s="27" t="s">
        <v>161</v>
      </c>
      <c r="B89" s="7">
        <v>30</v>
      </c>
      <c r="C89" s="7">
        <v>0</v>
      </c>
      <c r="D89" s="7">
        <v>0</v>
      </c>
      <c r="E89" s="7">
        <v>0</v>
      </c>
      <c r="F89" s="6">
        <v>4791</v>
      </c>
      <c r="G89" s="6">
        <v>54710</v>
      </c>
      <c r="H89" s="6">
        <v>43190</v>
      </c>
      <c r="I89" s="6">
        <v>15183</v>
      </c>
      <c r="J89" s="6">
        <v>13747</v>
      </c>
      <c r="K89" s="6">
        <v>17217</v>
      </c>
      <c r="L89" s="6">
        <v>31484</v>
      </c>
      <c r="M89" s="6">
        <v>30544</v>
      </c>
      <c r="N89" s="6">
        <v>36606</v>
      </c>
      <c r="O89" s="6">
        <v>33303</v>
      </c>
      <c r="P89" s="6">
        <v>36557</v>
      </c>
      <c r="Q89" s="6">
        <v>50793</v>
      </c>
      <c r="R89" s="6">
        <v>49208</v>
      </c>
      <c r="S89" s="6">
        <v>406364</v>
      </c>
    </row>
    <row r="90" spans="1:19" ht="15" customHeight="1">
      <c r="A90" s="27" t="s">
        <v>162</v>
      </c>
      <c r="B90" s="6">
        <v>1170</v>
      </c>
      <c r="C90" s="7">
        <v>856</v>
      </c>
      <c r="D90" s="6">
        <v>3384</v>
      </c>
      <c r="E90" s="6">
        <v>5623</v>
      </c>
      <c r="F90" s="7">
        <v>0</v>
      </c>
      <c r="G90" s="6">
        <v>52790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</row>
    <row r="91" spans="1:19" ht="15" customHeight="1">
      <c r="A91" s="27" t="s">
        <v>163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6">
        <v>55656</v>
      </c>
      <c r="H91" s="6">
        <v>55656</v>
      </c>
      <c r="I91" s="7">
        <v>629</v>
      </c>
      <c r="J91" s="7">
        <v>568</v>
      </c>
      <c r="K91" s="6">
        <v>64494</v>
      </c>
      <c r="L91" s="6">
        <v>145868</v>
      </c>
      <c r="M91" s="6">
        <v>135417</v>
      </c>
      <c r="N91" s="6">
        <v>126213</v>
      </c>
      <c r="O91" s="6">
        <v>81358</v>
      </c>
      <c r="P91" s="6">
        <v>73895</v>
      </c>
      <c r="Q91" s="6">
        <v>69412</v>
      </c>
      <c r="R91" s="6">
        <v>69307</v>
      </c>
      <c r="S91" s="6">
        <v>65696</v>
      </c>
    </row>
    <row r="92" spans="1:19" ht="15" customHeight="1">
      <c r="A92" s="31" t="s">
        <v>164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6">
        <v>3378</v>
      </c>
      <c r="H92" s="7">
        <v>0</v>
      </c>
      <c r="I92" s="7">
        <v>800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</row>
    <row r="93" spans="1:19" ht="15" customHeight="1">
      <c r="A93" s="31" t="s">
        <v>165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6">
        <v>57586</v>
      </c>
      <c r="H93" s="6">
        <v>57586</v>
      </c>
      <c r="I93" s="6">
        <v>55280</v>
      </c>
      <c r="J93" s="6">
        <v>54271</v>
      </c>
      <c r="K93" s="6">
        <v>54271</v>
      </c>
      <c r="L93" s="6">
        <v>83998</v>
      </c>
      <c r="M93" s="6">
        <v>83998</v>
      </c>
      <c r="N93" s="6">
        <v>75789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</row>
    <row r="94" spans="1:19" ht="15" customHeight="1">
      <c r="A94" s="25" t="s">
        <v>95</v>
      </c>
      <c r="B94" s="5">
        <v>7641812</v>
      </c>
      <c r="C94" s="5">
        <v>8935878</v>
      </c>
      <c r="D94" s="5">
        <v>8788616</v>
      </c>
      <c r="E94" s="5">
        <v>10425469</v>
      </c>
      <c r="F94" s="5">
        <v>11357986</v>
      </c>
      <c r="G94" s="5">
        <v>11101475</v>
      </c>
      <c r="H94" s="5">
        <v>12983469</v>
      </c>
      <c r="I94" s="5">
        <v>14064704</v>
      </c>
      <c r="J94" s="5">
        <v>12433180</v>
      </c>
      <c r="K94" s="5">
        <v>14420526</v>
      </c>
      <c r="L94" s="5">
        <v>16111906</v>
      </c>
      <c r="M94" s="5">
        <v>20076247</v>
      </c>
      <c r="N94" s="5">
        <v>21215276</v>
      </c>
      <c r="O94" s="5">
        <v>22594786</v>
      </c>
      <c r="P94" s="5">
        <v>24590846</v>
      </c>
      <c r="Q94" s="5">
        <v>25485158</v>
      </c>
      <c r="R94" s="5">
        <v>24437093</v>
      </c>
      <c r="S94" s="5">
        <v>22999815</v>
      </c>
    </row>
    <row r="95" spans="1:19" ht="15" customHeight="1">
      <c r="A95" s="26" t="s">
        <v>96</v>
      </c>
      <c r="B95" s="6">
        <v>7641812</v>
      </c>
      <c r="C95" s="6">
        <v>8935878</v>
      </c>
      <c r="D95" s="6">
        <v>8788616</v>
      </c>
      <c r="E95" s="6">
        <v>10425469</v>
      </c>
      <c r="F95" s="6">
        <v>11357948</v>
      </c>
      <c r="G95" s="6">
        <v>11101437</v>
      </c>
      <c r="H95" s="6">
        <v>12983432</v>
      </c>
      <c r="I95" s="6">
        <v>14064666</v>
      </c>
      <c r="J95" s="6">
        <v>12433143</v>
      </c>
      <c r="K95" s="6">
        <v>14420489</v>
      </c>
      <c r="L95" s="6">
        <v>16111868</v>
      </c>
      <c r="M95" s="6">
        <v>20076247</v>
      </c>
      <c r="N95" s="6">
        <v>21215276</v>
      </c>
      <c r="O95" s="6">
        <v>22594786</v>
      </c>
      <c r="P95" s="6">
        <v>24590846</v>
      </c>
      <c r="Q95" s="6">
        <v>25485158</v>
      </c>
      <c r="R95" s="6">
        <v>24437093</v>
      </c>
      <c r="S95" s="6">
        <v>22999815</v>
      </c>
    </row>
    <row r="96" spans="1:19" ht="15" customHeight="1">
      <c r="A96" s="27" t="s">
        <v>166</v>
      </c>
      <c r="B96" s="6">
        <v>6412812</v>
      </c>
      <c r="C96" s="6">
        <v>6412812</v>
      </c>
      <c r="D96" s="6">
        <v>6412812</v>
      </c>
      <c r="E96" s="6">
        <v>6412812</v>
      </c>
      <c r="F96" s="6">
        <v>6412812</v>
      </c>
      <c r="G96" s="6">
        <v>6412812</v>
      </c>
      <c r="H96" s="6">
        <v>6412812</v>
      </c>
      <c r="I96" s="6">
        <v>6412812</v>
      </c>
      <c r="J96" s="6">
        <v>6412812</v>
      </c>
      <c r="K96" s="6">
        <v>6412812</v>
      </c>
      <c r="L96" s="6">
        <v>6412812</v>
      </c>
      <c r="M96" s="6">
        <v>6412812</v>
      </c>
      <c r="N96" s="6">
        <v>6412812</v>
      </c>
      <c r="O96" s="6">
        <v>6412812</v>
      </c>
      <c r="P96" s="6">
        <v>6412812</v>
      </c>
      <c r="Q96" s="6">
        <v>12825624</v>
      </c>
      <c r="R96" s="6">
        <v>12825624</v>
      </c>
      <c r="S96" s="6">
        <v>12825624</v>
      </c>
    </row>
    <row r="97" spans="1:19" ht="15" customHeight="1">
      <c r="A97" s="27" t="s">
        <v>167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</row>
    <row r="98" spans="1:19" ht="15" customHeight="1">
      <c r="A98" s="27" t="s">
        <v>168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</row>
    <row r="99" spans="1:19" ht="15" customHeight="1">
      <c r="A99" s="27" t="s">
        <v>169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6">
        <v>1516</v>
      </c>
      <c r="H99" s="6">
        <v>3209</v>
      </c>
      <c r="I99" s="6">
        <v>3209</v>
      </c>
      <c r="J99" s="6">
        <v>3209</v>
      </c>
      <c r="K99" s="6">
        <v>3209</v>
      </c>
      <c r="L99" s="6">
        <v>3209</v>
      </c>
      <c r="M99" s="6">
        <v>3209</v>
      </c>
      <c r="N99" s="6">
        <v>3209</v>
      </c>
      <c r="O99" s="6">
        <v>3209</v>
      </c>
      <c r="P99" s="6">
        <v>3209</v>
      </c>
      <c r="Q99" s="6">
        <v>3209</v>
      </c>
      <c r="R99" s="6">
        <v>3209</v>
      </c>
      <c r="S99" s="6">
        <v>3409</v>
      </c>
    </row>
    <row r="100" spans="1:19" ht="15" customHeight="1">
      <c r="A100" s="27" t="s">
        <v>170</v>
      </c>
      <c r="B100" s="6">
        <v>-33204</v>
      </c>
      <c r="C100" s="6">
        <v>-33204</v>
      </c>
      <c r="D100" s="6">
        <v>-33511</v>
      </c>
      <c r="E100" s="6">
        <v>-33771</v>
      </c>
      <c r="F100" s="6">
        <v>-34806</v>
      </c>
      <c r="G100" s="6">
        <v>-32550</v>
      </c>
      <c r="H100" s="6">
        <v>-32550</v>
      </c>
      <c r="I100" s="6">
        <v>-25550</v>
      </c>
      <c r="J100" s="6">
        <v>-23450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</row>
    <row r="101" spans="1:19" ht="15" customHeight="1">
      <c r="A101" s="27" t="s">
        <v>171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</row>
    <row r="102" spans="1:19" ht="15" customHeight="1">
      <c r="A102" s="27" t="s">
        <v>172</v>
      </c>
      <c r="B102" s="6">
        <v>2175</v>
      </c>
      <c r="C102" s="6">
        <v>-12735</v>
      </c>
      <c r="D102" s="7">
        <v>-245</v>
      </c>
      <c r="E102" s="6">
        <v>41543</v>
      </c>
      <c r="F102" s="6">
        <v>41308</v>
      </c>
      <c r="G102" s="6">
        <v>6197</v>
      </c>
      <c r="H102" s="6">
        <v>7597</v>
      </c>
      <c r="I102" s="6">
        <v>14240</v>
      </c>
      <c r="J102" s="6">
        <v>17007</v>
      </c>
      <c r="K102" s="6">
        <v>19114</v>
      </c>
      <c r="L102" s="6">
        <v>21099</v>
      </c>
      <c r="M102" s="6">
        <v>27273</v>
      </c>
      <c r="N102" s="6">
        <v>26865</v>
      </c>
      <c r="O102" s="6">
        <v>27339</v>
      </c>
      <c r="P102" s="6">
        <v>37136</v>
      </c>
      <c r="Q102" s="6">
        <v>43954</v>
      </c>
      <c r="R102" s="6">
        <v>53776</v>
      </c>
      <c r="S102" s="6">
        <v>89863</v>
      </c>
    </row>
    <row r="103" spans="1:19" ht="15" customHeight="1">
      <c r="A103" s="27" t="s">
        <v>173</v>
      </c>
      <c r="B103" s="6">
        <v>18351</v>
      </c>
      <c r="C103" s="6">
        <v>52534</v>
      </c>
      <c r="D103" s="6">
        <v>93482</v>
      </c>
      <c r="E103" s="6">
        <v>247259</v>
      </c>
      <c r="F103" s="6">
        <v>279331</v>
      </c>
      <c r="G103" s="6">
        <v>323987</v>
      </c>
      <c r="H103" s="6">
        <v>358190</v>
      </c>
      <c r="I103" s="6">
        <v>1100003</v>
      </c>
      <c r="J103" s="6">
        <v>1118398</v>
      </c>
      <c r="K103" s="6">
        <v>1118963</v>
      </c>
      <c r="L103" s="6">
        <v>1130147</v>
      </c>
      <c r="M103" s="6">
        <v>1130373</v>
      </c>
      <c r="N103" s="6">
        <v>1122846</v>
      </c>
      <c r="O103" s="6">
        <v>1122241</v>
      </c>
      <c r="P103" s="6">
        <v>1122241</v>
      </c>
      <c r="Q103" s="6">
        <v>1122241</v>
      </c>
      <c r="R103" s="6">
        <v>1181710</v>
      </c>
      <c r="S103" s="6">
        <v>1186744</v>
      </c>
    </row>
    <row r="104" spans="1:19" ht="15" customHeight="1">
      <c r="A104" s="27" t="s">
        <v>174</v>
      </c>
      <c r="B104" s="6">
        <v>44818</v>
      </c>
      <c r="C104" s="6">
        <v>102845</v>
      </c>
      <c r="D104" s="6">
        <v>248476</v>
      </c>
      <c r="E104" s="6">
        <v>349363</v>
      </c>
      <c r="F104" s="6">
        <v>474399</v>
      </c>
      <c r="G104" s="6">
        <v>592033</v>
      </c>
      <c r="H104" s="6">
        <v>708214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</row>
    <row r="105" spans="1:19" ht="15" customHeight="1">
      <c r="A105" s="27" t="s">
        <v>175</v>
      </c>
      <c r="B105" s="7">
        <v>213</v>
      </c>
      <c r="C105" s="6">
        <v>2482</v>
      </c>
      <c r="D105" s="7">
        <v>18</v>
      </c>
      <c r="E105" s="6">
        <v>4633</v>
      </c>
      <c r="F105" s="6">
        <v>4633</v>
      </c>
      <c r="G105" s="6">
        <v>4902</v>
      </c>
      <c r="H105" s="6">
        <v>4902</v>
      </c>
      <c r="I105" s="6">
        <v>6109</v>
      </c>
      <c r="J105" s="6">
        <v>6041</v>
      </c>
      <c r="K105" s="6">
        <v>5327</v>
      </c>
      <c r="L105" s="6">
        <v>5327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</row>
    <row r="106" spans="1:19" ht="15" customHeight="1">
      <c r="A106" s="28" t="s">
        <v>176</v>
      </c>
      <c r="B106" s="6">
        <v>220243</v>
      </c>
      <c r="C106" s="6">
        <v>1426474</v>
      </c>
      <c r="D106" s="6">
        <v>1115908</v>
      </c>
      <c r="E106" s="6">
        <v>2511631</v>
      </c>
      <c r="F106" s="6">
        <v>3385681</v>
      </c>
      <c r="G106" s="6">
        <v>2994993</v>
      </c>
      <c r="H106" s="6">
        <v>4741509</v>
      </c>
      <c r="I106" s="6">
        <v>5558227</v>
      </c>
      <c r="J106" s="6">
        <v>3852925</v>
      </c>
      <c r="K106" s="6">
        <v>5823904</v>
      </c>
      <c r="L106" s="6">
        <v>7473778</v>
      </c>
      <c r="M106" s="6">
        <v>11231596</v>
      </c>
      <c r="N106" s="6">
        <v>12374499</v>
      </c>
      <c r="O106" s="6">
        <v>13655871</v>
      </c>
      <c r="P106" s="6">
        <v>15564896</v>
      </c>
      <c r="Q106" s="6">
        <v>10217284</v>
      </c>
      <c r="R106" s="6">
        <v>9217801</v>
      </c>
      <c r="S106" s="6">
        <v>7047144</v>
      </c>
    </row>
    <row r="107" spans="1:19" ht="15" customHeight="1">
      <c r="A107" s="33" t="s">
        <v>177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6">
        <v>1499365</v>
      </c>
      <c r="I107" s="6">
        <v>2147931</v>
      </c>
      <c r="J107" s="6">
        <v>2229887</v>
      </c>
      <c r="K107" s="6">
        <v>2946087</v>
      </c>
      <c r="L107" s="6">
        <v>5787247</v>
      </c>
      <c r="M107" s="6">
        <v>6485262</v>
      </c>
      <c r="N107" s="6">
        <v>7805481</v>
      </c>
      <c r="O107" s="6">
        <v>10132670</v>
      </c>
      <c r="P107" s="6">
        <v>10484212</v>
      </c>
      <c r="Q107" s="6">
        <v>6222786</v>
      </c>
      <c r="R107" s="6">
        <v>5021306</v>
      </c>
      <c r="S107" s="6">
        <v>2792179</v>
      </c>
    </row>
    <row r="108" spans="1:19" ht="15" customHeight="1">
      <c r="A108" s="33" t="s">
        <v>178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6">
        <v>2994993</v>
      </c>
      <c r="H108" s="6">
        <v>3242144</v>
      </c>
      <c r="I108" s="6">
        <v>3410296</v>
      </c>
      <c r="J108" s="6">
        <v>1623038</v>
      </c>
      <c r="K108" s="6">
        <v>2877817</v>
      </c>
      <c r="L108" s="6">
        <v>1686530</v>
      </c>
      <c r="M108" s="6">
        <v>4746335</v>
      </c>
      <c r="N108" s="6">
        <v>4569018</v>
      </c>
      <c r="O108" s="6">
        <v>3523201</v>
      </c>
      <c r="P108" s="6">
        <v>5080683</v>
      </c>
      <c r="Q108" s="6">
        <v>3994498</v>
      </c>
      <c r="R108" s="6">
        <v>4196496</v>
      </c>
      <c r="S108" s="6">
        <v>4254965</v>
      </c>
    </row>
    <row r="109" spans="1:19" ht="15" customHeight="1">
      <c r="A109" s="31" t="s">
        <v>179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</row>
    <row r="110" spans="1:19" ht="15" customHeight="1">
      <c r="A110" s="31" t="s">
        <v>180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</row>
    <row r="111" spans="1:19" ht="15" customHeight="1">
      <c r="A111" s="27" t="s">
        <v>181</v>
      </c>
      <c r="B111" s="6">
        <v>976405</v>
      </c>
      <c r="C111" s="6">
        <v>984671</v>
      </c>
      <c r="D111" s="6">
        <v>951676</v>
      </c>
      <c r="E111" s="6">
        <v>892000</v>
      </c>
      <c r="F111" s="6">
        <v>794591</v>
      </c>
      <c r="G111" s="6">
        <v>797548</v>
      </c>
      <c r="H111" s="6">
        <v>779549</v>
      </c>
      <c r="I111" s="6">
        <v>995618</v>
      </c>
      <c r="J111" s="6">
        <v>1046201</v>
      </c>
      <c r="K111" s="6">
        <v>1037160</v>
      </c>
      <c r="L111" s="6">
        <v>1065496</v>
      </c>
      <c r="M111" s="6">
        <v>1270984</v>
      </c>
      <c r="N111" s="6">
        <v>1275046</v>
      </c>
      <c r="O111" s="6">
        <v>1373313</v>
      </c>
      <c r="P111" s="6">
        <v>1450552</v>
      </c>
      <c r="Q111" s="6">
        <v>1272846</v>
      </c>
      <c r="R111" s="6">
        <v>1154973</v>
      </c>
      <c r="S111" s="6">
        <v>1847031</v>
      </c>
    </row>
    <row r="112" spans="1:19" ht="15" customHeight="1">
      <c r="A112" s="26" t="s">
        <v>97</v>
      </c>
      <c r="B112" s="7">
        <v>0</v>
      </c>
      <c r="C112" s="7">
        <v>0</v>
      </c>
      <c r="D112" s="7">
        <v>0</v>
      </c>
      <c r="E112" s="7">
        <v>0</v>
      </c>
      <c r="F112" s="7">
        <v>37</v>
      </c>
      <c r="G112" s="7">
        <v>37</v>
      </c>
      <c r="H112" s="7">
        <v>37</v>
      </c>
      <c r="I112" s="7">
        <v>37</v>
      </c>
      <c r="J112" s="7">
        <v>37</v>
      </c>
      <c r="K112" s="7">
        <v>37</v>
      </c>
      <c r="L112" s="7">
        <v>37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</row>
    <row r="113" spans="1:19" ht="15" customHeight="1">
      <c r="A113" s="31" t="s">
        <v>182</v>
      </c>
      <c r="B113" s="7">
        <v>0</v>
      </c>
      <c r="C113" s="7">
        <v>0</v>
      </c>
      <c r="D113" s="7">
        <v>0</v>
      </c>
      <c r="E113" s="7">
        <v>0</v>
      </c>
      <c r="F113" s="7">
        <v>37</v>
      </c>
      <c r="G113" s="7">
        <v>37</v>
      </c>
      <c r="H113" s="7">
        <v>37</v>
      </c>
      <c r="I113" s="7">
        <v>37</v>
      </c>
      <c r="J113" s="7">
        <v>37</v>
      </c>
      <c r="K113" s="7">
        <v>37</v>
      </c>
      <c r="L113" s="7">
        <v>37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</row>
    <row r="114" spans="1:19" ht="15" customHeight="1">
      <c r="A114" s="31" t="s">
        <v>183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</row>
    <row r="115" spans="1:19" ht="15" customHeight="1">
      <c r="A115" s="31" t="s">
        <v>184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</row>
    <row r="116" spans="1:19" ht="15" customHeight="1">
      <c r="A116" s="22" t="s">
        <v>98</v>
      </c>
      <c r="B116" s="5">
        <v>13027344</v>
      </c>
      <c r="C116" s="5">
        <v>15170478</v>
      </c>
      <c r="D116" s="5">
        <v>15841911</v>
      </c>
      <c r="E116" s="5">
        <v>16571046</v>
      </c>
      <c r="F116" s="5">
        <v>17724614</v>
      </c>
      <c r="G116" s="5">
        <v>18814767</v>
      </c>
      <c r="H116" s="5">
        <v>21674037</v>
      </c>
      <c r="I116" s="5">
        <v>21571926</v>
      </c>
      <c r="J116" s="5">
        <v>19192865</v>
      </c>
      <c r="K116" s="5">
        <v>22013689</v>
      </c>
      <c r="L116" s="5">
        <v>22366743</v>
      </c>
      <c r="M116" s="5">
        <v>26962476</v>
      </c>
      <c r="N116" s="5">
        <v>27374973</v>
      </c>
      <c r="O116" s="5">
        <v>30487024</v>
      </c>
      <c r="P116" s="5">
        <v>34465076</v>
      </c>
      <c r="Q116" s="5">
        <v>34056625</v>
      </c>
      <c r="R116" s="5">
        <v>33439406</v>
      </c>
      <c r="S116" s="5">
        <v>32597354</v>
      </c>
    </row>
    <row r="117" spans="1:19" ht="13">
      <c r="A117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EA2B-54B4-45E9-B5F2-304E4DB2554C}">
  <sheetPr>
    <tabColor theme="9" tint="0.59999389629810485"/>
  </sheetPr>
  <dimension ref="A1:S25"/>
  <sheetViews>
    <sheetView zoomScale="90" zoomScaleNormal="90" workbookViewId="0">
      <selection activeCell="A9" sqref="A9"/>
    </sheetView>
  </sheetViews>
  <sheetFormatPr defaultColWidth="48.9140625" defaultRowHeight="15" customHeight="1"/>
  <cols>
    <col min="1" max="1" width="29.4140625" style="4" customWidth="1"/>
    <col min="2" max="2" width="8.9140625" style="4" hidden="1" customWidth="1"/>
    <col min="3" max="6" width="9.9140625" style="4" hidden="1" customWidth="1"/>
    <col min="7" max="19" width="9.9140625" style="4" bestFit="1" customWidth="1"/>
    <col min="20" max="16384" width="48.9140625" style="4"/>
  </cols>
  <sheetData>
    <row r="1" spans="1:19" ht="15" customHeight="1">
      <c r="B1" s="21">
        <v>2008</v>
      </c>
      <c r="C1" s="21">
        <v>2009</v>
      </c>
      <c r="D1" s="21">
        <v>2010</v>
      </c>
      <c r="E1" s="21">
        <v>2011</v>
      </c>
      <c r="F1" s="21">
        <v>2012</v>
      </c>
      <c r="G1" s="21">
        <v>2013</v>
      </c>
      <c r="H1" s="21">
        <v>2014</v>
      </c>
      <c r="I1" s="21">
        <v>2015</v>
      </c>
      <c r="J1" s="21">
        <v>2016</v>
      </c>
      <c r="K1" s="21">
        <v>2017</v>
      </c>
      <c r="L1" s="21">
        <v>2018</v>
      </c>
      <c r="M1" s="21">
        <v>2019</v>
      </c>
      <c r="N1" s="21">
        <v>2020</v>
      </c>
      <c r="O1" s="21">
        <v>2021</v>
      </c>
      <c r="P1" s="21">
        <v>2022</v>
      </c>
      <c r="Q1" s="21">
        <v>2023</v>
      </c>
      <c r="R1" s="21">
        <v>2024</v>
      </c>
      <c r="S1" s="21">
        <v>2025</v>
      </c>
    </row>
    <row r="2" spans="1:19" ht="15" customHeight="1">
      <c r="A2" s="23" t="s">
        <v>54</v>
      </c>
      <c r="B2" s="9">
        <v>9065491</v>
      </c>
      <c r="C2" s="9">
        <v>15954096</v>
      </c>
      <c r="D2" s="9">
        <v>19912941</v>
      </c>
      <c r="E2" s="9">
        <v>22313189</v>
      </c>
      <c r="F2" s="9">
        <v>25128015</v>
      </c>
      <c r="G2" s="9">
        <v>28186092</v>
      </c>
      <c r="H2" s="9">
        <v>30109925</v>
      </c>
      <c r="I2" s="9">
        <v>27165692</v>
      </c>
      <c r="J2" s="9">
        <v>30603273</v>
      </c>
      <c r="K2" s="9">
        <v>34438171</v>
      </c>
      <c r="L2" s="9">
        <v>36043018</v>
      </c>
      <c r="M2" s="9">
        <v>38133790</v>
      </c>
      <c r="N2" s="9">
        <v>28135623</v>
      </c>
      <c r="O2" s="9">
        <v>26578007</v>
      </c>
      <c r="P2" s="9">
        <v>35235899</v>
      </c>
      <c r="Q2" s="9">
        <v>30706760</v>
      </c>
      <c r="R2" s="9">
        <v>32164260</v>
      </c>
      <c r="S2" s="9">
        <v>26249007</v>
      </c>
    </row>
    <row r="3" spans="1:19" ht="15" customHeight="1">
      <c r="A3" s="23" t="s">
        <v>55</v>
      </c>
      <c r="B3" s="9">
        <v>1900415</v>
      </c>
      <c r="C3" s="9">
        <v>3141241</v>
      </c>
      <c r="D3" s="9">
        <v>2560216</v>
      </c>
      <c r="E3" s="9">
        <v>3020422</v>
      </c>
      <c r="F3" s="9">
        <v>3338922</v>
      </c>
      <c r="G3" s="9">
        <v>4179832</v>
      </c>
      <c r="H3" s="9">
        <v>5002760</v>
      </c>
      <c r="I3" s="9">
        <v>21390</v>
      </c>
      <c r="J3" s="9">
        <v>34596</v>
      </c>
      <c r="K3" s="9">
        <v>244780</v>
      </c>
      <c r="L3" s="9">
        <v>94466</v>
      </c>
      <c r="M3" s="9">
        <v>234731</v>
      </c>
      <c r="N3" s="9">
        <v>174299</v>
      </c>
      <c r="O3" s="9">
        <v>204261</v>
      </c>
      <c r="P3" s="9">
        <v>256815</v>
      </c>
      <c r="Q3" s="9">
        <v>245393</v>
      </c>
      <c r="R3" s="9">
        <v>291843</v>
      </c>
      <c r="S3" s="9">
        <v>360815</v>
      </c>
    </row>
    <row r="4" spans="1:19" ht="15" customHeight="1">
      <c r="A4" s="23" t="s">
        <v>56</v>
      </c>
      <c r="B4" s="9">
        <v>7165076</v>
      </c>
      <c r="C4" s="9">
        <v>12812855</v>
      </c>
      <c r="D4" s="9">
        <v>17352725</v>
      </c>
      <c r="E4" s="9">
        <v>19292766</v>
      </c>
      <c r="F4" s="9">
        <v>21789094</v>
      </c>
      <c r="G4" s="9">
        <v>24006260</v>
      </c>
      <c r="H4" s="9">
        <v>25107165</v>
      </c>
      <c r="I4" s="9">
        <v>27144302</v>
      </c>
      <c r="J4" s="9">
        <v>30568678</v>
      </c>
      <c r="K4" s="9">
        <v>34193391</v>
      </c>
      <c r="L4" s="9">
        <v>35948553</v>
      </c>
      <c r="M4" s="9">
        <v>37899060</v>
      </c>
      <c r="N4" s="9">
        <v>27961324</v>
      </c>
      <c r="O4" s="9">
        <v>26373746</v>
      </c>
      <c r="P4" s="9">
        <v>34979084</v>
      </c>
      <c r="Q4" s="9">
        <v>30461367</v>
      </c>
      <c r="R4" s="9">
        <v>31872417</v>
      </c>
      <c r="S4" s="9">
        <v>25888192</v>
      </c>
    </row>
    <row r="5" spans="1:19" ht="15" customHeight="1">
      <c r="A5" s="23" t="s">
        <v>57</v>
      </c>
      <c r="B5" s="9">
        <v>5832555</v>
      </c>
      <c r="C5" s="9">
        <v>9953954</v>
      </c>
      <c r="D5" s="9">
        <v>13065832</v>
      </c>
      <c r="E5" s="9">
        <v>15224618</v>
      </c>
      <c r="F5" s="9">
        <v>16878420</v>
      </c>
      <c r="G5" s="9">
        <v>18149503</v>
      </c>
      <c r="H5" s="9">
        <v>17636086</v>
      </c>
      <c r="I5" s="9">
        <v>19586558</v>
      </c>
      <c r="J5" s="9">
        <v>22301143</v>
      </c>
      <c r="K5" s="9">
        <v>25327872</v>
      </c>
      <c r="L5" s="9">
        <v>27864413</v>
      </c>
      <c r="M5" s="9">
        <v>28348431</v>
      </c>
      <c r="N5" s="9">
        <v>19460229</v>
      </c>
      <c r="O5" s="9">
        <v>18765181</v>
      </c>
      <c r="P5" s="9">
        <v>24208377</v>
      </c>
      <c r="Q5" s="9">
        <v>21370005</v>
      </c>
      <c r="R5" s="9">
        <v>22554221</v>
      </c>
      <c r="S5" s="9">
        <v>16587631</v>
      </c>
    </row>
    <row r="6" spans="1:19" ht="15" customHeight="1">
      <c r="A6" s="23" t="s">
        <v>58</v>
      </c>
      <c r="B6" s="9">
        <v>1332521</v>
      </c>
      <c r="C6" s="9">
        <v>2858901</v>
      </c>
      <c r="D6" s="9">
        <v>4286893</v>
      </c>
      <c r="E6" s="9">
        <v>4068148</v>
      </c>
      <c r="F6" s="9">
        <v>4910673</v>
      </c>
      <c r="G6" s="9">
        <v>5856757</v>
      </c>
      <c r="H6" s="9">
        <v>7471080</v>
      </c>
      <c r="I6" s="9">
        <v>7557744</v>
      </c>
      <c r="J6" s="9">
        <v>8267535</v>
      </c>
      <c r="K6" s="9">
        <v>8865518</v>
      </c>
      <c r="L6" s="9">
        <v>8084139</v>
      </c>
      <c r="M6" s="9">
        <v>9550629</v>
      </c>
      <c r="N6" s="9">
        <v>8501095</v>
      </c>
      <c r="O6" s="9">
        <v>7608565</v>
      </c>
      <c r="P6" s="9">
        <v>10770707</v>
      </c>
      <c r="Q6" s="9">
        <v>9091363</v>
      </c>
      <c r="R6" s="9">
        <v>9318197</v>
      </c>
      <c r="S6" s="9">
        <v>9300561</v>
      </c>
    </row>
    <row r="7" spans="1:19" ht="15" customHeight="1">
      <c r="A7" s="23" t="s">
        <v>59</v>
      </c>
      <c r="B7" s="9">
        <v>276034</v>
      </c>
      <c r="C7" s="9">
        <v>301134</v>
      </c>
      <c r="D7" s="9">
        <v>438371</v>
      </c>
      <c r="E7" s="9">
        <v>436091</v>
      </c>
      <c r="F7" s="9">
        <v>476818</v>
      </c>
      <c r="G7" s="9">
        <v>375322</v>
      </c>
      <c r="H7" s="9">
        <v>367210</v>
      </c>
      <c r="I7" s="9">
        <v>418647</v>
      </c>
      <c r="J7" s="9">
        <v>751041</v>
      </c>
      <c r="K7" s="9">
        <v>506108</v>
      </c>
      <c r="L7" s="9">
        <v>630350</v>
      </c>
      <c r="M7" s="9">
        <v>889853</v>
      </c>
      <c r="N7" s="9">
        <v>974402</v>
      </c>
      <c r="O7" s="9">
        <v>1119597</v>
      </c>
      <c r="P7" s="9">
        <v>1090561</v>
      </c>
      <c r="Q7" s="9">
        <v>1432569</v>
      </c>
      <c r="R7" s="9">
        <v>1067078</v>
      </c>
      <c r="S7" s="9">
        <v>1006647</v>
      </c>
    </row>
    <row r="8" spans="1:19" ht="15" customHeight="1">
      <c r="A8" s="23" t="s">
        <v>60</v>
      </c>
      <c r="B8" s="9">
        <v>114282</v>
      </c>
      <c r="C8" s="9">
        <v>461215</v>
      </c>
      <c r="D8" s="9">
        <v>350666</v>
      </c>
      <c r="E8" s="9">
        <v>316672</v>
      </c>
      <c r="F8" s="9">
        <v>331595</v>
      </c>
      <c r="G8" s="9">
        <v>207140</v>
      </c>
      <c r="H8" s="9">
        <v>89058</v>
      </c>
      <c r="I8" s="9">
        <v>121795</v>
      </c>
      <c r="J8" s="9">
        <v>68664</v>
      </c>
      <c r="K8" s="9">
        <v>-25806</v>
      </c>
      <c r="L8" s="9">
        <v>74635</v>
      </c>
      <c r="M8" s="9">
        <v>93010</v>
      </c>
      <c r="N8" s="9">
        <v>105449</v>
      </c>
      <c r="O8" s="9">
        <v>22784</v>
      </c>
      <c r="P8" s="9">
        <v>81993</v>
      </c>
      <c r="Q8" s="9">
        <v>73434</v>
      </c>
      <c r="R8" s="9">
        <v>24788</v>
      </c>
      <c r="S8" s="9">
        <v>26257</v>
      </c>
    </row>
    <row r="9" spans="1:19" ht="15" customHeight="1">
      <c r="A9" s="24" t="s">
        <v>61</v>
      </c>
      <c r="B9" s="9">
        <v>11204</v>
      </c>
      <c r="C9" s="9">
        <v>49109</v>
      </c>
      <c r="D9" s="9">
        <v>93105</v>
      </c>
      <c r="E9" s="9">
        <v>244556</v>
      </c>
      <c r="F9" s="9">
        <v>220886</v>
      </c>
      <c r="G9" s="9">
        <v>149827</v>
      </c>
      <c r="H9" s="9">
        <v>107216</v>
      </c>
      <c r="I9" s="9">
        <v>76591</v>
      </c>
      <c r="J9" s="9">
        <v>82182</v>
      </c>
      <c r="K9" s="9">
        <v>42112</v>
      </c>
      <c r="L9" s="9">
        <v>35245</v>
      </c>
      <c r="M9" s="9">
        <v>37367</v>
      </c>
      <c r="N9" s="9">
        <v>63681</v>
      </c>
      <c r="O9" s="9">
        <v>48740</v>
      </c>
      <c r="P9" s="9">
        <v>45517</v>
      </c>
      <c r="Q9" s="9">
        <v>50215</v>
      </c>
      <c r="R9" s="9">
        <v>27450</v>
      </c>
      <c r="S9" s="9">
        <v>34346</v>
      </c>
    </row>
    <row r="10" spans="1:19" ht="15" customHeight="1">
      <c r="A10" s="23" t="s">
        <v>62</v>
      </c>
      <c r="B10" s="9">
        <v>70863</v>
      </c>
      <c r="C10" s="9">
        <v>163154</v>
      </c>
      <c r="D10" s="9">
        <v>191194</v>
      </c>
      <c r="E10" s="9">
        <v>235650</v>
      </c>
      <c r="F10" s="9">
        <v>250186</v>
      </c>
      <c r="G10" s="9">
        <v>307216</v>
      </c>
      <c r="H10" s="9">
        <v>343821</v>
      </c>
      <c r="I10" s="9">
        <v>371954</v>
      </c>
      <c r="J10" s="9">
        <v>305650</v>
      </c>
      <c r="K10" s="9">
        <v>411874</v>
      </c>
      <c r="L10" s="9">
        <v>354965</v>
      </c>
      <c r="M10" s="9">
        <v>378267</v>
      </c>
      <c r="N10" s="9">
        <v>267406</v>
      </c>
      <c r="O10" s="9">
        <v>172940</v>
      </c>
      <c r="P10" s="9">
        <v>323119</v>
      </c>
      <c r="Q10" s="9">
        <v>232054</v>
      </c>
      <c r="R10" s="9">
        <v>197445</v>
      </c>
      <c r="S10" s="9">
        <v>278264</v>
      </c>
    </row>
    <row r="11" spans="1:19" ht="15" customHeight="1">
      <c r="A11" s="23" t="s">
        <v>63</v>
      </c>
      <c r="B11" s="9">
        <v>466516</v>
      </c>
      <c r="C11" s="9">
        <v>627215</v>
      </c>
      <c r="D11" s="9">
        <v>837023</v>
      </c>
      <c r="E11" s="9">
        <v>1067551</v>
      </c>
      <c r="F11" s="9">
        <v>1311824</v>
      </c>
      <c r="G11" s="9">
        <v>2132049</v>
      </c>
      <c r="H11" s="9">
        <v>3177311</v>
      </c>
      <c r="I11" s="9">
        <v>2682882</v>
      </c>
      <c r="J11" s="9">
        <v>2781731</v>
      </c>
      <c r="K11" s="9">
        <v>2811112</v>
      </c>
      <c r="L11" s="9">
        <v>2731091</v>
      </c>
      <c r="M11" s="9">
        <v>3003291</v>
      </c>
      <c r="N11" s="9">
        <v>2859037</v>
      </c>
      <c r="O11" s="9">
        <v>3500369</v>
      </c>
      <c r="P11" s="9">
        <v>4532068</v>
      </c>
      <c r="Q11" s="9">
        <v>4479228</v>
      </c>
      <c r="R11" s="9">
        <v>4041557</v>
      </c>
      <c r="S11" s="9">
        <v>4022369</v>
      </c>
    </row>
    <row r="12" spans="1:19" ht="15" customHeight="1">
      <c r="A12" s="23" t="s">
        <v>64</v>
      </c>
      <c r="B12" s="9">
        <v>109204</v>
      </c>
      <c r="C12" s="9">
        <v>231357</v>
      </c>
      <c r="D12" s="9">
        <v>235788</v>
      </c>
      <c r="E12" s="9">
        <v>364036</v>
      </c>
      <c r="F12" s="9">
        <v>382235</v>
      </c>
      <c r="G12" s="9">
        <v>619075</v>
      </c>
      <c r="H12" s="9">
        <v>1041694</v>
      </c>
      <c r="I12" s="9">
        <v>1110423</v>
      </c>
      <c r="J12" s="9">
        <v>781829</v>
      </c>
      <c r="K12" s="9">
        <v>935975</v>
      </c>
      <c r="L12" s="9">
        <v>912705</v>
      </c>
      <c r="M12" s="9">
        <v>1047842</v>
      </c>
      <c r="N12" s="9">
        <v>702005</v>
      </c>
      <c r="O12" s="9">
        <v>597716</v>
      </c>
      <c r="P12" s="9">
        <v>740666</v>
      </c>
      <c r="Q12" s="9">
        <v>800692</v>
      </c>
      <c r="R12" s="9">
        <v>839414</v>
      </c>
      <c r="S12" s="9">
        <v>983559</v>
      </c>
    </row>
    <row r="13" spans="1:19" ht="15" customHeight="1">
      <c r="A13" s="23" t="s">
        <v>65</v>
      </c>
      <c r="B13" s="9">
        <v>989416</v>
      </c>
      <c r="C13" s="9">
        <v>2003401</v>
      </c>
      <c r="D13" s="9">
        <v>3492982</v>
      </c>
      <c r="E13" s="9">
        <v>2991630</v>
      </c>
      <c r="F13" s="9">
        <v>3612024</v>
      </c>
      <c r="G13" s="9">
        <v>3581029</v>
      </c>
      <c r="H13" s="9">
        <v>3874048</v>
      </c>
      <c r="I13" s="9">
        <v>4433244</v>
      </c>
      <c r="J13" s="9">
        <v>5692001</v>
      </c>
      <c r="K13" s="9">
        <v>6062219</v>
      </c>
      <c r="L13" s="9">
        <v>5351023</v>
      </c>
      <c r="M13" s="9">
        <v>6674606</v>
      </c>
      <c r="N13" s="9">
        <v>6076411</v>
      </c>
      <c r="O13" s="9">
        <v>4780233</v>
      </c>
      <c r="P13" s="9">
        <v>6829660</v>
      </c>
      <c r="Q13" s="9">
        <v>5402632</v>
      </c>
      <c r="R13" s="9">
        <v>5676961</v>
      </c>
      <c r="S13" s="9">
        <v>5553286</v>
      </c>
    </row>
    <row r="14" spans="1:19" ht="15" customHeight="1">
      <c r="A14" s="23" t="s">
        <v>66</v>
      </c>
      <c r="B14" s="9">
        <v>116603</v>
      </c>
      <c r="C14" s="9">
        <v>47992</v>
      </c>
      <c r="D14" s="9">
        <v>25554</v>
      </c>
      <c r="E14" s="9">
        <v>47702</v>
      </c>
      <c r="F14" s="9">
        <v>93235</v>
      </c>
      <c r="G14" s="9">
        <v>145914</v>
      </c>
      <c r="H14" s="9">
        <v>196849</v>
      </c>
      <c r="I14" s="9">
        <v>132650</v>
      </c>
      <c r="J14" s="9">
        <v>128295</v>
      </c>
      <c r="K14" s="9">
        <v>106139</v>
      </c>
      <c r="L14" s="9">
        <v>81738</v>
      </c>
      <c r="M14" s="9">
        <v>74504</v>
      </c>
      <c r="N14" s="9">
        <v>55952</v>
      </c>
      <c r="O14" s="9">
        <v>95929</v>
      </c>
      <c r="P14" s="9">
        <v>20990</v>
      </c>
      <c r="Q14" s="9">
        <v>17485</v>
      </c>
      <c r="R14" s="9">
        <v>28313</v>
      </c>
      <c r="S14" s="9">
        <v>152603</v>
      </c>
    </row>
    <row r="15" spans="1:19" ht="15" customHeight="1">
      <c r="A15" s="23" t="s">
        <v>67</v>
      </c>
      <c r="B15" s="9">
        <v>87479</v>
      </c>
      <c r="C15" s="9">
        <v>21316</v>
      </c>
      <c r="D15" s="9">
        <v>33095</v>
      </c>
      <c r="E15" s="9">
        <v>43220</v>
      </c>
      <c r="F15" s="9">
        <v>57543</v>
      </c>
      <c r="G15" s="148">
        <v>148044</v>
      </c>
      <c r="H15" s="9">
        <v>153339</v>
      </c>
      <c r="I15" s="9">
        <v>95885</v>
      </c>
      <c r="J15" s="9">
        <v>112898</v>
      </c>
      <c r="K15" s="9">
        <v>91266</v>
      </c>
      <c r="L15" s="9">
        <v>42322</v>
      </c>
      <c r="M15" s="9">
        <v>62934</v>
      </c>
      <c r="N15" s="9">
        <v>20545</v>
      </c>
      <c r="O15" s="9">
        <v>19268</v>
      </c>
      <c r="P15" s="9">
        <v>37233</v>
      </c>
      <c r="Q15" s="9">
        <v>49706</v>
      </c>
      <c r="R15" s="9">
        <v>57916</v>
      </c>
      <c r="S15" s="9">
        <v>53924</v>
      </c>
    </row>
    <row r="16" spans="1:19" ht="15" customHeight="1">
      <c r="A16" s="23" t="s">
        <v>68</v>
      </c>
      <c r="B16" s="9">
        <v>29124</v>
      </c>
      <c r="C16" s="9">
        <v>26676</v>
      </c>
      <c r="D16" s="9">
        <v>-7540</v>
      </c>
      <c r="E16" s="9">
        <v>4483</v>
      </c>
      <c r="F16" s="9">
        <v>35692</v>
      </c>
      <c r="G16" s="9">
        <v>-2130</v>
      </c>
      <c r="H16" s="9">
        <v>43510</v>
      </c>
      <c r="I16" s="9">
        <v>36765</v>
      </c>
      <c r="J16" s="9">
        <v>15397</v>
      </c>
      <c r="K16" s="9">
        <v>14873</v>
      </c>
      <c r="L16" s="9">
        <v>39416</v>
      </c>
      <c r="M16" s="9">
        <v>11570</v>
      </c>
      <c r="N16" s="9">
        <v>35407</v>
      </c>
      <c r="O16" s="9">
        <v>76661</v>
      </c>
      <c r="P16" s="9">
        <v>-16243</v>
      </c>
      <c r="Q16" s="9">
        <v>-32221</v>
      </c>
      <c r="R16" s="9">
        <v>-29603</v>
      </c>
      <c r="S16" s="9">
        <v>98679</v>
      </c>
    </row>
    <row r="17" spans="1:19" ht="15" customHeight="1">
      <c r="A17" s="23" t="s">
        <v>69</v>
      </c>
      <c r="B17" s="9">
        <v>1018540</v>
      </c>
      <c r="C17" s="9">
        <v>2030077</v>
      </c>
      <c r="D17" s="9">
        <v>3485442</v>
      </c>
      <c r="E17" s="9">
        <v>2996113</v>
      </c>
      <c r="F17" s="9">
        <v>3647715</v>
      </c>
      <c r="G17" s="9">
        <v>3578899</v>
      </c>
      <c r="H17" s="9">
        <v>3917558</v>
      </c>
      <c r="I17" s="9">
        <v>4470009</v>
      </c>
      <c r="J17" s="9">
        <v>5707398</v>
      </c>
      <c r="K17" s="9">
        <v>6077092</v>
      </c>
      <c r="L17" s="9">
        <v>5390440</v>
      </c>
      <c r="M17" s="9">
        <v>6686177</v>
      </c>
      <c r="N17" s="9">
        <v>6111818</v>
      </c>
      <c r="O17" s="9">
        <v>4856894</v>
      </c>
      <c r="P17" s="9">
        <v>6813417</v>
      </c>
      <c r="Q17" s="9">
        <v>5370410</v>
      </c>
      <c r="R17" s="9">
        <v>5647359</v>
      </c>
      <c r="S17" s="9">
        <v>5651966</v>
      </c>
    </row>
    <row r="18" spans="1:19" ht="15" customHeight="1">
      <c r="A18" s="23" t="s">
        <v>70</v>
      </c>
      <c r="B18" s="9">
        <v>174169</v>
      </c>
      <c r="C18" s="9">
        <v>320143</v>
      </c>
      <c r="D18" s="9">
        <v>859711</v>
      </c>
      <c r="E18" s="9">
        <v>688824</v>
      </c>
      <c r="F18" s="9">
        <v>843397</v>
      </c>
      <c r="G18" s="9">
        <v>1057338</v>
      </c>
      <c r="H18" s="9">
        <v>971520</v>
      </c>
      <c r="I18" s="9">
        <v>1085883</v>
      </c>
      <c r="J18" s="9">
        <v>254203</v>
      </c>
      <c r="K18" s="9">
        <v>1140540</v>
      </c>
      <c r="L18" s="9">
        <v>1021134</v>
      </c>
      <c r="M18" s="9">
        <v>1347172</v>
      </c>
      <c r="N18" s="9">
        <v>1124943</v>
      </c>
      <c r="O18" s="9">
        <v>954964</v>
      </c>
      <c r="P18" s="9">
        <v>1323982</v>
      </c>
      <c r="Q18" s="9">
        <v>1099083</v>
      </c>
      <c r="R18" s="9">
        <v>1146257</v>
      </c>
      <c r="S18" s="9">
        <v>1057138</v>
      </c>
    </row>
    <row r="19" spans="1:19" ht="15" customHeight="1">
      <c r="A19" s="23" t="s">
        <v>71</v>
      </c>
      <c r="B19" s="9">
        <v>-14823</v>
      </c>
      <c r="C19" s="9">
        <v>9208</v>
      </c>
      <c r="D19" s="9">
        <v>-5238</v>
      </c>
      <c r="E19" s="9">
        <v>-36921</v>
      </c>
      <c r="F19" s="9">
        <v>18636</v>
      </c>
      <c r="G19" s="9">
        <v>26167</v>
      </c>
      <c r="H19" s="9">
        <v>-103055</v>
      </c>
      <c r="I19" s="9">
        <v>-215969</v>
      </c>
      <c r="J19" s="9">
        <v>798607</v>
      </c>
      <c r="K19" s="9">
        <v>-12048</v>
      </c>
      <c r="L19" s="9">
        <v>-33445</v>
      </c>
      <c r="M19" s="9">
        <v>-31143</v>
      </c>
      <c r="N19" s="9">
        <v>50030</v>
      </c>
      <c r="O19" s="9">
        <v>-27376</v>
      </c>
      <c r="P19" s="9">
        <v>-10363</v>
      </c>
      <c r="Q19" s="9">
        <v>16275</v>
      </c>
      <c r="R19" s="9">
        <v>6328</v>
      </c>
      <c r="S19" s="9">
        <v>21702</v>
      </c>
    </row>
    <row r="20" spans="1:19" ht="15" customHeight="1">
      <c r="A20" s="23" t="s">
        <v>72</v>
      </c>
      <c r="B20" s="9">
        <v>159346</v>
      </c>
      <c r="C20" s="9">
        <v>329352</v>
      </c>
      <c r="D20" s="9">
        <v>854473</v>
      </c>
      <c r="E20" s="9">
        <v>651902</v>
      </c>
      <c r="F20" s="9">
        <v>862033</v>
      </c>
      <c r="G20" s="9">
        <v>1083505</v>
      </c>
      <c r="H20" s="9">
        <v>868465</v>
      </c>
      <c r="I20" s="9">
        <v>869913</v>
      </c>
      <c r="J20" s="9">
        <v>1052809</v>
      </c>
      <c r="K20" s="9">
        <v>1128492</v>
      </c>
      <c r="L20" s="9">
        <v>987690</v>
      </c>
      <c r="M20" s="9">
        <v>1316029</v>
      </c>
      <c r="N20" s="9">
        <v>1174972</v>
      </c>
      <c r="O20" s="9">
        <v>927589</v>
      </c>
      <c r="P20" s="9">
        <v>1313619</v>
      </c>
      <c r="Q20" s="9">
        <v>1115357</v>
      </c>
      <c r="R20" s="9">
        <v>1152585</v>
      </c>
      <c r="S20" s="9">
        <v>1078841</v>
      </c>
    </row>
    <row r="21" spans="1:19" ht="15" customHeight="1">
      <c r="A21" s="23" t="s">
        <v>73</v>
      </c>
      <c r="B21" s="9">
        <v>859194</v>
      </c>
      <c r="C21" s="9">
        <v>1700725</v>
      </c>
      <c r="D21" s="9">
        <v>2630969</v>
      </c>
      <c r="E21" s="9">
        <v>2344211</v>
      </c>
      <c r="F21" s="9">
        <v>2785682</v>
      </c>
      <c r="G21" s="9">
        <v>2495394</v>
      </c>
      <c r="H21" s="9">
        <v>3049093</v>
      </c>
      <c r="I21" s="9">
        <v>3600096</v>
      </c>
      <c r="J21" s="9">
        <v>4654589</v>
      </c>
      <c r="K21" s="9">
        <v>4948599</v>
      </c>
      <c r="L21" s="9">
        <v>4402750</v>
      </c>
      <c r="M21" s="9">
        <v>5370148</v>
      </c>
      <c r="N21" s="9">
        <v>4936846</v>
      </c>
      <c r="O21" s="9">
        <v>3929306</v>
      </c>
      <c r="P21" s="9">
        <v>5499798</v>
      </c>
      <c r="Q21" s="9">
        <v>4255053</v>
      </c>
      <c r="R21" s="9">
        <v>4494773</v>
      </c>
      <c r="S21" s="9">
        <v>4573125</v>
      </c>
    </row>
    <row r="22" spans="1:19" ht="15" customHeight="1">
      <c r="A22" s="23" t="s">
        <v>74</v>
      </c>
      <c r="B22" s="9">
        <v>103622</v>
      </c>
      <c r="C22" s="9">
        <v>92324</v>
      </c>
      <c r="D22" s="9">
        <v>202143</v>
      </c>
      <c r="E22" s="9">
        <v>65777</v>
      </c>
      <c r="F22" s="9">
        <v>119129</v>
      </c>
      <c r="G22" s="9">
        <v>77699</v>
      </c>
      <c r="H22" s="9">
        <v>109116</v>
      </c>
      <c r="I22" s="9">
        <v>189800</v>
      </c>
      <c r="J22" s="9">
        <v>176617</v>
      </c>
      <c r="K22" s="9">
        <v>237114</v>
      </c>
      <c r="L22" s="9">
        <v>225318</v>
      </c>
      <c r="M22" s="9">
        <v>316784</v>
      </c>
      <c r="N22" s="9">
        <v>213349</v>
      </c>
      <c r="O22" s="9">
        <v>252053</v>
      </c>
      <c r="P22" s="9">
        <v>275947</v>
      </c>
      <c r="Q22" s="9">
        <v>137448</v>
      </c>
      <c r="R22" s="9">
        <v>164660</v>
      </c>
      <c r="S22" s="9">
        <v>149585</v>
      </c>
    </row>
    <row r="23" spans="1:19" ht="15" customHeight="1">
      <c r="A23" s="23" t="s">
        <v>75</v>
      </c>
      <c r="B23" s="9">
        <v>755572</v>
      </c>
      <c r="C23" s="9">
        <v>1608402</v>
      </c>
      <c r="D23" s="9">
        <v>2428825</v>
      </c>
      <c r="E23" s="9">
        <v>2278435</v>
      </c>
      <c r="F23" s="9">
        <v>2666554</v>
      </c>
      <c r="G23" s="9">
        <v>2417695</v>
      </c>
      <c r="H23" s="9">
        <v>2939977</v>
      </c>
      <c r="I23" s="9">
        <v>3410296</v>
      </c>
      <c r="J23" s="9">
        <v>4477972</v>
      </c>
      <c r="K23" s="9">
        <v>4711485</v>
      </c>
      <c r="L23" s="9">
        <v>4177432</v>
      </c>
      <c r="M23" s="9">
        <v>5053364</v>
      </c>
      <c r="N23" s="9">
        <v>4723497</v>
      </c>
      <c r="O23" s="9">
        <v>3677252</v>
      </c>
      <c r="P23" s="9">
        <v>5223851</v>
      </c>
      <c r="Q23" s="9">
        <v>4117605</v>
      </c>
      <c r="R23" s="9">
        <v>4330113</v>
      </c>
      <c r="S23" s="9">
        <v>4423540</v>
      </c>
    </row>
    <row r="24" spans="1:19" ht="15" customHeight="1">
      <c r="A24" s="8"/>
    </row>
    <row r="25" spans="1:19" ht="15" customHeight="1">
      <c r="G25" s="147"/>
      <c r="H25" s="147"/>
      <c r="I25" s="147"/>
      <c r="J25" s="147"/>
      <c r="K25" s="147"/>
      <c r="L25" s="147"/>
      <c r="M25" s="147"/>
      <c r="N25" s="147"/>
      <c r="O25" s="147"/>
      <c r="P25" s="1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F579-4423-4A25-A98F-96B305443252}">
  <sheetPr>
    <tabColor theme="9" tint="0.59999389629810485"/>
  </sheetPr>
  <dimension ref="A1:T56"/>
  <sheetViews>
    <sheetView workbookViewId="0">
      <pane ySplit="1" topLeftCell="A2" activePane="bottomLeft" state="frozen"/>
      <selection pane="bottomLeft" activeCell="B23" sqref="B23"/>
    </sheetView>
  </sheetViews>
  <sheetFormatPr defaultRowHeight="13.5" customHeight="1"/>
  <cols>
    <col min="1" max="1" width="8.6640625" style="4"/>
    <col min="2" max="2" width="45.5" style="4" customWidth="1"/>
    <col min="3" max="11" width="10.4140625" style="4" hidden="1" customWidth="1"/>
    <col min="12" max="12" width="11.5" style="4" hidden="1" customWidth="1"/>
    <col min="13" max="16" width="10.58203125" style="4" hidden="1" customWidth="1"/>
    <col min="17" max="19" width="10.58203125" style="4" bestFit="1" customWidth="1"/>
    <col min="20" max="20" width="8.75" style="4" bestFit="1" customWidth="1"/>
    <col min="21" max="16384" width="8.6640625" style="4"/>
  </cols>
  <sheetData>
    <row r="1" spans="1:20" ht="13.5" customHeight="1">
      <c r="B1" s="12" t="s">
        <v>24</v>
      </c>
      <c r="C1" s="11">
        <v>2009</v>
      </c>
      <c r="D1" s="11">
        <v>2010</v>
      </c>
      <c r="E1" s="11">
        <v>2011</v>
      </c>
      <c r="F1" s="11">
        <v>2012</v>
      </c>
      <c r="G1" s="11">
        <v>2013</v>
      </c>
      <c r="H1" s="11">
        <v>2014</v>
      </c>
      <c r="I1" s="11">
        <v>2015</v>
      </c>
      <c r="J1" s="11">
        <v>2016</v>
      </c>
      <c r="K1" s="11">
        <v>2017</v>
      </c>
      <c r="L1" s="11">
        <v>2018</v>
      </c>
      <c r="M1" s="11">
        <v>2019</v>
      </c>
      <c r="N1" s="11">
        <v>2020</v>
      </c>
      <c r="O1" s="11">
        <v>2021</v>
      </c>
      <c r="P1" s="11">
        <v>2022</v>
      </c>
      <c r="Q1" s="11">
        <v>2023</v>
      </c>
      <c r="R1" s="11">
        <v>2024</v>
      </c>
      <c r="S1" s="11">
        <v>2025</v>
      </c>
      <c r="T1" s="11">
        <v>2026</v>
      </c>
    </row>
    <row r="2" spans="1:20" ht="13.5" customHeight="1">
      <c r="A2" s="4">
        <v>1</v>
      </c>
      <c r="B2" s="13" t="s">
        <v>0</v>
      </c>
      <c r="C2" s="5">
        <v>2030077</v>
      </c>
      <c r="D2" s="5">
        <v>3485442</v>
      </c>
      <c r="E2" s="5">
        <v>2996113</v>
      </c>
      <c r="F2" s="5">
        <v>3647715</v>
      </c>
      <c r="G2" s="5">
        <v>3578899</v>
      </c>
      <c r="H2" s="5">
        <v>3917558</v>
      </c>
      <c r="I2" s="5">
        <v>4470009</v>
      </c>
      <c r="J2" s="5">
        <v>5707398</v>
      </c>
      <c r="K2" s="5">
        <v>6077092</v>
      </c>
      <c r="L2" s="5">
        <v>5390440</v>
      </c>
      <c r="M2" s="5">
        <v>6686177</v>
      </c>
      <c r="N2" s="5">
        <v>6111818</v>
      </c>
      <c r="O2" s="5">
        <v>4856894</v>
      </c>
      <c r="P2" s="5">
        <v>6813417</v>
      </c>
      <c r="Q2" s="5">
        <v>5370410</v>
      </c>
      <c r="R2" s="5">
        <v>5647359</v>
      </c>
      <c r="S2" s="5">
        <v>5651966</v>
      </c>
    </row>
    <row r="3" spans="1:20" ht="13.5" customHeight="1">
      <c r="B3" s="13" t="s">
        <v>25</v>
      </c>
      <c r="C3" s="5">
        <v>583439</v>
      </c>
      <c r="D3" s="5">
        <v>21091</v>
      </c>
      <c r="E3" s="5">
        <v>175166</v>
      </c>
      <c r="F3" s="5">
        <v>-15451</v>
      </c>
      <c r="G3" s="5">
        <v>97531</v>
      </c>
      <c r="H3" s="5">
        <v>-41098</v>
      </c>
      <c r="I3" s="5">
        <v>-84570</v>
      </c>
      <c r="J3" s="5">
        <v>-361471</v>
      </c>
      <c r="K3" s="5">
        <v>-171143</v>
      </c>
      <c r="L3" s="5">
        <v>-42947</v>
      </c>
      <c r="M3" s="5">
        <v>-196555</v>
      </c>
      <c r="N3" s="5">
        <v>-574100</v>
      </c>
      <c r="O3" s="5">
        <v>-800211</v>
      </c>
      <c r="P3" s="5">
        <v>-754336</v>
      </c>
      <c r="Q3" s="5">
        <v>-993906</v>
      </c>
      <c r="R3" s="5">
        <v>-667302</v>
      </c>
      <c r="S3" s="5">
        <v>-466765</v>
      </c>
    </row>
    <row r="4" spans="1:20" ht="13.5" customHeight="1">
      <c r="A4" s="4">
        <v>2</v>
      </c>
      <c r="B4" s="14" t="s">
        <v>26</v>
      </c>
      <c r="C4" s="6">
        <v>589253</v>
      </c>
      <c r="D4" s="6">
        <v>390450</v>
      </c>
      <c r="E4" s="6">
        <v>502810</v>
      </c>
      <c r="F4" s="6">
        <v>510332</v>
      </c>
      <c r="G4" s="6">
        <v>521649</v>
      </c>
      <c r="H4" s="6">
        <v>583099</v>
      </c>
      <c r="I4" s="6">
        <v>635242</v>
      </c>
      <c r="J4" s="6">
        <v>633844</v>
      </c>
      <c r="K4" s="6">
        <v>625353</v>
      </c>
      <c r="L4" s="6">
        <v>634593</v>
      </c>
      <c r="M4" s="6">
        <v>647248</v>
      </c>
      <c r="N4" s="6">
        <v>593452</v>
      </c>
      <c r="O4" s="6">
        <v>557478</v>
      </c>
      <c r="P4" s="6">
        <v>561105</v>
      </c>
      <c r="Q4" s="6">
        <v>570032</v>
      </c>
      <c r="R4" s="6">
        <v>548884</v>
      </c>
      <c r="S4" s="6">
        <v>730272</v>
      </c>
    </row>
    <row r="5" spans="1:20" ht="13.5" customHeight="1">
      <c r="A5" s="4">
        <v>3</v>
      </c>
      <c r="B5" s="14" t="s">
        <v>1</v>
      </c>
      <c r="C5" s="6">
        <v>318746</v>
      </c>
      <c r="D5" s="6">
        <v>139332</v>
      </c>
      <c r="E5" s="6">
        <v>82061</v>
      </c>
      <c r="F5" s="6">
        <v>-75641</v>
      </c>
      <c r="G5" s="6">
        <v>73339</v>
      </c>
      <c r="H5" s="6">
        <v>-43983</v>
      </c>
      <c r="I5" s="6">
        <v>22840</v>
      </c>
      <c r="J5" s="6">
        <v>-7127</v>
      </c>
      <c r="K5" s="6">
        <v>81974</v>
      </c>
      <c r="L5" s="6">
        <v>241181</v>
      </c>
      <c r="M5" s="6">
        <v>358145</v>
      </c>
      <c r="N5" s="6">
        <v>-41309</v>
      </c>
      <c r="O5" s="6">
        <v>-63137</v>
      </c>
      <c r="P5" s="7">
        <v>-375</v>
      </c>
      <c r="Q5" s="6">
        <v>3418</v>
      </c>
      <c r="R5" s="6">
        <v>4315</v>
      </c>
      <c r="S5" s="6">
        <v>42467</v>
      </c>
    </row>
    <row r="6" spans="1:20" ht="13.5" customHeight="1">
      <c r="B6" s="14" t="s">
        <v>27</v>
      </c>
      <c r="C6" s="6">
        <v>-163154</v>
      </c>
      <c r="D6" s="6">
        <v>-191194</v>
      </c>
      <c r="E6" s="6">
        <v>-235650</v>
      </c>
      <c r="F6" s="6">
        <v>-250186</v>
      </c>
      <c r="G6" s="6">
        <v>-307216</v>
      </c>
      <c r="H6" s="6">
        <v>-327594</v>
      </c>
      <c r="I6" s="7">
        <v>0</v>
      </c>
      <c r="J6" s="7">
        <v>0</v>
      </c>
      <c r="K6" s="7">
        <v>0</v>
      </c>
      <c r="L6" s="6">
        <v>-354965</v>
      </c>
      <c r="M6" s="6">
        <v>-378267</v>
      </c>
      <c r="N6" s="7">
        <v>0</v>
      </c>
      <c r="O6" s="6">
        <v>-172940</v>
      </c>
      <c r="P6" s="6">
        <v>-323119</v>
      </c>
      <c r="Q6" s="6">
        <v>-232054</v>
      </c>
      <c r="R6" s="6">
        <v>-197445</v>
      </c>
      <c r="S6" s="7">
        <v>0</v>
      </c>
    </row>
    <row r="7" spans="1:20" ht="13.5" customHeight="1">
      <c r="B7" s="14" t="s">
        <v>28</v>
      </c>
      <c r="C7" s="6">
        <v>2005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</row>
    <row r="8" spans="1:20" ht="13.5" customHeight="1">
      <c r="A8" s="4">
        <v>4</v>
      </c>
      <c r="B8" s="14" t="s">
        <v>29</v>
      </c>
      <c r="C8" s="7">
        <v>0</v>
      </c>
      <c r="D8" s="6">
        <v>-6151</v>
      </c>
      <c r="E8" s="6">
        <v>-3941</v>
      </c>
      <c r="F8" s="6">
        <v>-1150</v>
      </c>
      <c r="G8" s="7">
        <v>-822</v>
      </c>
      <c r="H8" s="6">
        <v>-1475</v>
      </c>
      <c r="I8" s="7">
        <v>384</v>
      </c>
      <c r="J8" s="7">
        <v>1</v>
      </c>
      <c r="K8" s="7">
        <v>106</v>
      </c>
      <c r="L8" s="7">
        <v>-72</v>
      </c>
      <c r="M8" s="7">
        <v>790</v>
      </c>
      <c r="N8" s="6">
        <v>10994</v>
      </c>
      <c r="O8" s="6">
        <v>-24130</v>
      </c>
      <c r="P8" s="6">
        <v>-6770</v>
      </c>
      <c r="Q8" s="6">
        <v>8344</v>
      </c>
      <c r="R8" s="7">
        <v>581</v>
      </c>
      <c r="S8" s="7">
        <v>24</v>
      </c>
    </row>
    <row r="9" spans="1:20" ht="13.5" customHeight="1">
      <c r="A9" s="4">
        <v>5</v>
      </c>
      <c r="B9" s="14" t="s">
        <v>30</v>
      </c>
      <c r="C9" s="6">
        <v>4340</v>
      </c>
      <c r="D9" s="7">
        <v>-536</v>
      </c>
      <c r="E9" s="6">
        <v>-8864</v>
      </c>
      <c r="F9" s="6">
        <v>-1726</v>
      </c>
      <c r="G9" s="6">
        <v>25834</v>
      </c>
      <c r="H9" s="6">
        <v>-5473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</row>
    <row r="10" spans="1:20" ht="13.5" customHeight="1">
      <c r="A10" s="4">
        <v>5</v>
      </c>
      <c r="B10" s="14" t="s">
        <v>2</v>
      </c>
      <c r="C10" s="6">
        <v>-34083</v>
      </c>
      <c r="D10" s="6">
        <v>-272853</v>
      </c>
      <c r="E10" s="6">
        <v>-19965</v>
      </c>
      <c r="F10" s="6">
        <v>-20334</v>
      </c>
      <c r="G10" s="6">
        <v>-9699</v>
      </c>
      <c r="H10" s="6">
        <v>-12937</v>
      </c>
      <c r="I10" s="6">
        <v>-819628</v>
      </c>
      <c r="J10" s="6">
        <v>-1070371</v>
      </c>
      <c r="K10" s="6">
        <v>-920688</v>
      </c>
      <c r="L10" s="6">
        <v>-628667</v>
      </c>
      <c r="M10" s="6">
        <v>-862161</v>
      </c>
      <c r="N10" s="6">
        <v>-1200918</v>
      </c>
      <c r="O10" s="6">
        <v>-1072403</v>
      </c>
      <c r="P10" s="6">
        <v>-1030694</v>
      </c>
      <c r="Q10" s="6">
        <v>-1393861</v>
      </c>
      <c r="R10" s="6">
        <v>-1051087</v>
      </c>
      <c r="S10" s="6">
        <v>-1273875</v>
      </c>
    </row>
    <row r="11" spans="1:20" ht="13.5" customHeight="1">
      <c r="B11" s="14" t="s">
        <v>31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  <row r="12" spans="1:20" ht="13.5" customHeight="1">
      <c r="A12" s="4">
        <v>5</v>
      </c>
      <c r="B12" s="14" t="s">
        <v>32</v>
      </c>
      <c r="C12" s="6">
        <v>-182777</v>
      </c>
      <c r="D12" s="6">
        <v>-131062</v>
      </c>
      <c r="E12" s="6">
        <v>-385841</v>
      </c>
      <c r="F12" s="6">
        <v>-397631</v>
      </c>
      <c r="G12" s="6">
        <v>-355381</v>
      </c>
      <c r="H12" s="6">
        <v>-339952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</row>
    <row r="13" spans="1:20" ht="13.5" customHeight="1">
      <c r="A13" s="4">
        <v>6</v>
      </c>
      <c r="B13" s="14" t="s">
        <v>3</v>
      </c>
      <c r="C13" s="6">
        <v>49109</v>
      </c>
      <c r="D13" s="6">
        <v>93105</v>
      </c>
      <c r="E13" s="6">
        <v>244556</v>
      </c>
      <c r="F13" s="6">
        <v>220886</v>
      </c>
      <c r="G13" s="6">
        <v>149827</v>
      </c>
      <c r="H13" s="6">
        <v>107216</v>
      </c>
      <c r="I13" s="6">
        <v>76591</v>
      </c>
      <c r="J13" s="6">
        <v>82182</v>
      </c>
      <c r="K13" s="6">
        <v>42112</v>
      </c>
      <c r="L13" s="6">
        <v>35245</v>
      </c>
      <c r="M13" s="6">
        <v>37367</v>
      </c>
      <c r="N13" s="6">
        <v>63681</v>
      </c>
      <c r="O13" s="6">
        <v>48740</v>
      </c>
      <c r="P13" s="6">
        <v>45517</v>
      </c>
      <c r="Q13" s="6">
        <v>50215</v>
      </c>
      <c r="R13" s="6">
        <v>27450</v>
      </c>
      <c r="S13" s="6">
        <v>34346</v>
      </c>
    </row>
    <row r="14" spans="1:20" ht="13.5" customHeight="1">
      <c r="A14" s="4">
        <v>5</v>
      </c>
      <c r="B14" s="14" t="s">
        <v>33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6">
        <v>29738</v>
      </c>
      <c r="M14" s="7">
        <v>323</v>
      </c>
      <c r="N14" s="7">
        <v>0</v>
      </c>
      <c r="O14" s="6">
        <v>-73818</v>
      </c>
      <c r="P14" s="7">
        <v>0</v>
      </c>
      <c r="Q14" s="7">
        <v>0</v>
      </c>
      <c r="R14" s="7">
        <v>0</v>
      </c>
      <c r="S14" s="7">
        <v>0</v>
      </c>
    </row>
    <row r="15" spans="1:20" ht="13.5" customHeight="1">
      <c r="A15" s="4">
        <v>8</v>
      </c>
      <c r="B15" s="15" t="s">
        <v>4</v>
      </c>
      <c r="C15" s="5">
        <v>2613516</v>
      </c>
      <c r="D15" s="5">
        <v>3506533</v>
      </c>
      <c r="E15" s="5">
        <v>3171280</v>
      </c>
      <c r="F15" s="5">
        <v>3632265</v>
      </c>
      <c r="G15" s="5">
        <v>3676430</v>
      </c>
      <c r="H15" s="5">
        <v>3876460</v>
      </c>
      <c r="I15" s="5">
        <v>4385439</v>
      </c>
      <c r="J15" s="5">
        <v>5345927</v>
      </c>
      <c r="K15" s="5">
        <v>5905949</v>
      </c>
      <c r="L15" s="5">
        <v>5347492</v>
      </c>
      <c r="M15" s="5">
        <v>6489622</v>
      </c>
      <c r="N15" s="5">
        <v>5537718</v>
      </c>
      <c r="O15" s="5">
        <v>4056683</v>
      </c>
      <c r="P15" s="5">
        <v>6059081</v>
      </c>
      <c r="Q15" s="5">
        <v>4376504</v>
      </c>
      <c r="R15" s="5">
        <v>4980056</v>
      </c>
      <c r="S15" s="5">
        <v>5185201</v>
      </c>
    </row>
    <row r="16" spans="1:20" ht="13.5" customHeight="1">
      <c r="A16" s="4">
        <v>9</v>
      </c>
      <c r="B16" s="14" t="s">
        <v>5</v>
      </c>
      <c r="C16" s="6">
        <v>541248</v>
      </c>
      <c r="D16" s="6">
        <v>26650</v>
      </c>
      <c r="E16" s="6">
        <v>-190309</v>
      </c>
      <c r="F16" s="6">
        <v>-129184</v>
      </c>
      <c r="G16" s="6">
        <v>107901</v>
      </c>
      <c r="H16" s="6">
        <v>29463</v>
      </c>
      <c r="I16" s="6">
        <v>-105417</v>
      </c>
      <c r="J16" s="6">
        <v>-106157</v>
      </c>
      <c r="K16" s="6">
        <v>187691</v>
      </c>
      <c r="L16" s="6">
        <v>119831</v>
      </c>
      <c r="M16" s="6">
        <v>95622</v>
      </c>
      <c r="N16" s="6">
        <v>70186</v>
      </c>
      <c r="O16" s="6">
        <v>-52722</v>
      </c>
      <c r="P16" s="6">
        <v>-318889</v>
      </c>
      <c r="Q16" s="6">
        <v>-39584</v>
      </c>
      <c r="R16" s="6">
        <v>13722</v>
      </c>
      <c r="S16" s="6">
        <v>-92591</v>
      </c>
    </row>
    <row r="17" spans="1:19" ht="13.5" customHeight="1">
      <c r="A17" s="4">
        <v>10</v>
      </c>
      <c r="B17" s="14" t="s">
        <v>6</v>
      </c>
      <c r="C17" s="6">
        <v>174808</v>
      </c>
      <c r="D17" s="6">
        <v>-123331</v>
      </c>
      <c r="E17" s="6">
        <v>-319169</v>
      </c>
      <c r="F17" s="6">
        <v>34123</v>
      </c>
      <c r="G17" s="6">
        <v>-498818</v>
      </c>
      <c r="H17" s="6">
        <v>-178455</v>
      </c>
      <c r="I17" s="6">
        <v>-84933</v>
      </c>
      <c r="J17" s="6">
        <v>-210519</v>
      </c>
      <c r="K17" s="6">
        <v>50520</v>
      </c>
      <c r="L17" s="6">
        <v>36215</v>
      </c>
      <c r="M17" s="6">
        <v>-109295</v>
      </c>
      <c r="N17" s="6">
        <v>573633</v>
      </c>
      <c r="O17" s="6">
        <v>-223957</v>
      </c>
      <c r="P17" s="6">
        <v>-524913</v>
      </c>
      <c r="Q17" s="6">
        <v>-135490</v>
      </c>
      <c r="R17" s="6">
        <v>345460</v>
      </c>
      <c r="S17" s="6">
        <v>214517</v>
      </c>
    </row>
    <row r="18" spans="1:19" ht="13.5" customHeight="1">
      <c r="A18" s="4">
        <v>11</v>
      </c>
      <c r="B18" s="16" t="s">
        <v>7</v>
      </c>
      <c r="C18" s="6">
        <v>184585</v>
      </c>
      <c r="D18" s="6">
        <v>-916331</v>
      </c>
      <c r="E18" s="6">
        <v>1006492</v>
      </c>
      <c r="F18" s="6">
        <v>-354169</v>
      </c>
      <c r="G18" s="6">
        <v>874986</v>
      </c>
      <c r="H18" s="6">
        <v>537751</v>
      </c>
      <c r="I18" s="6">
        <v>-774900</v>
      </c>
      <c r="J18" s="6">
        <v>-2728864</v>
      </c>
      <c r="K18" s="6">
        <v>-329360</v>
      </c>
      <c r="L18" s="6">
        <v>324264</v>
      </c>
      <c r="M18" s="6">
        <v>11238</v>
      </c>
      <c r="N18" s="6">
        <v>-660694</v>
      </c>
      <c r="O18" s="6">
        <v>658280</v>
      </c>
      <c r="P18" s="6">
        <v>739397</v>
      </c>
      <c r="Q18" s="6">
        <v>-787120</v>
      </c>
      <c r="R18" s="6">
        <v>208911</v>
      </c>
      <c r="S18" s="6">
        <v>-133234</v>
      </c>
    </row>
    <row r="19" spans="1:19" ht="13.5" customHeight="1">
      <c r="A19" s="4">
        <v>12</v>
      </c>
      <c r="B19" s="14" t="s">
        <v>34</v>
      </c>
      <c r="C19" s="7">
        <v>0</v>
      </c>
      <c r="D19" s="6">
        <v>-106474</v>
      </c>
      <c r="E19" s="6">
        <v>-112242</v>
      </c>
      <c r="F19" s="6">
        <v>210233</v>
      </c>
      <c r="G19" s="6">
        <v>-1737</v>
      </c>
      <c r="H19" s="6">
        <v>63856</v>
      </c>
      <c r="I19" s="6">
        <v>273630</v>
      </c>
      <c r="J19" s="6">
        <v>-54335</v>
      </c>
      <c r="K19" s="6">
        <v>-17854</v>
      </c>
      <c r="L19" s="6">
        <v>203653</v>
      </c>
      <c r="M19" s="6">
        <v>218117</v>
      </c>
      <c r="N19" s="6">
        <v>-44422</v>
      </c>
      <c r="O19" s="6">
        <v>145399</v>
      </c>
      <c r="P19" s="6">
        <v>-94057</v>
      </c>
      <c r="Q19" s="6">
        <v>-146695</v>
      </c>
      <c r="R19" s="6">
        <v>123176</v>
      </c>
      <c r="S19" s="6">
        <v>-26981</v>
      </c>
    </row>
    <row r="20" spans="1:19" ht="13.5" customHeight="1">
      <c r="A20" s="4">
        <v>13</v>
      </c>
      <c r="B20" s="14" t="s">
        <v>35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</row>
    <row r="21" spans="1:19" ht="13.5" customHeight="1">
      <c r="A21" s="4">
        <v>14</v>
      </c>
      <c r="B21" s="14" t="s">
        <v>36</v>
      </c>
      <c r="C21" s="6">
        <v>-49701</v>
      </c>
      <c r="D21" s="6">
        <v>-53198</v>
      </c>
      <c r="E21" s="6">
        <v>-249980</v>
      </c>
      <c r="F21" s="6">
        <v>-227615</v>
      </c>
      <c r="G21" s="6">
        <v>-135357</v>
      </c>
      <c r="H21" s="6">
        <v>-134011</v>
      </c>
      <c r="I21" s="6">
        <v>-80327</v>
      </c>
      <c r="J21" s="6">
        <v>-87166</v>
      </c>
      <c r="K21" s="6">
        <v>-44424</v>
      </c>
      <c r="L21" s="6">
        <v>-35957</v>
      </c>
      <c r="M21" s="6">
        <v>-36836</v>
      </c>
      <c r="N21" s="6">
        <v>-72030</v>
      </c>
      <c r="O21" s="6">
        <v>-35347</v>
      </c>
      <c r="P21" s="6">
        <v>-48765</v>
      </c>
      <c r="Q21" s="6">
        <v>-50352</v>
      </c>
      <c r="R21" s="6">
        <v>-27623</v>
      </c>
      <c r="S21" s="6">
        <v>-35216</v>
      </c>
    </row>
    <row r="22" spans="1:19" ht="13.5" customHeight="1">
      <c r="A22" s="4">
        <v>15</v>
      </c>
      <c r="B22" s="14" t="s">
        <v>8</v>
      </c>
      <c r="C22" s="6">
        <v>-131204</v>
      </c>
      <c r="D22" s="6">
        <v>-816817</v>
      </c>
      <c r="E22" s="6">
        <v>-762931</v>
      </c>
      <c r="F22" s="6">
        <v>-766525</v>
      </c>
      <c r="G22" s="6">
        <v>-921230</v>
      </c>
      <c r="H22" s="6">
        <v>-1057518</v>
      </c>
      <c r="I22" s="6">
        <v>-1211869</v>
      </c>
      <c r="J22" s="6">
        <v>-984037</v>
      </c>
      <c r="K22" s="6">
        <v>-294736</v>
      </c>
      <c r="L22" s="6">
        <v>-1140987</v>
      </c>
      <c r="M22" s="6">
        <v>-1398560</v>
      </c>
      <c r="N22" s="6">
        <v>-1038634</v>
      </c>
      <c r="O22" s="6">
        <v>-919005</v>
      </c>
      <c r="P22" s="6">
        <v>-1329727</v>
      </c>
      <c r="Q22" s="6">
        <v>-1099769</v>
      </c>
      <c r="R22" s="6">
        <v>-1156742</v>
      </c>
      <c r="S22" s="6">
        <v>-1068124</v>
      </c>
    </row>
    <row r="23" spans="1:19" ht="13.5" customHeight="1">
      <c r="A23" s="4">
        <v>16</v>
      </c>
      <c r="B23" s="14" t="s">
        <v>9</v>
      </c>
      <c r="C23" s="7">
        <v>0</v>
      </c>
      <c r="D23" s="7">
        <v>0</v>
      </c>
      <c r="E23" s="7">
        <v>0</v>
      </c>
      <c r="F23" s="7">
        <v>37</v>
      </c>
      <c r="G23" s="6">
        <v>46801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</row>
    <row r="24" spans="1:19" ht="13.5" customHeight="1">
      <c r="A24" s="4">
        <v>17</v>
      </c>
      <c r="B24" s="14" t="s">
        <v>37</v>
      </c>
      <c r="C24" s="6">
        <v>-86018</v>
      </c>
      <c r="D24" s="6">
        <v>-96008</v>
      </c>
      <c r="E24" s="6">
        <v>-149553</v>
      </c>
      <c r="F24" s="6">
        <v>-4596</v>
      </c>
      <c r="G24" s="6">
        <v>-238217</v>
      </c>
      <c r="H24" s="6">
        <v>-288073</v>
      </c>
      <c r="I24" s="6">
        <v>-243888</v>
      </c>
      <c r="J24" s="6">
        <v>-347987</v>
      </c>
      <c r="K24" s="6">
        <v>-389966</v>
      </c>
      <c r="L24" s="6">
        <v>-339725</v>
      </c>
      <c r="M24" s="6">
        <v>-264897</v>
      </c>
      <c r="N24" s="6">
        <v>-237146</v>
      </c>
      <c r="O24" s="6">
        <v>-111480</v>
      </c>
      <c r="P24" s="6">
        <v>-103608</v>
      </c>
      <c r="Q24" s="6">
        <v>-177429</v>
      </c>
      <c r="R24" s="6">
        <v>-124451</v>
      </c>
      <c r="S24" s="6">
        <v>-139496</v>
      </c>
    </row>
    <row r="25" spans="1:19" ht="13.5" customHeight="1">
      <c r="A25" s="4">
        <v>20</v>
      </c>
      <c r="B25" s="17" t="s">
        <v>10</v>
      </c>
      <c r="C25" s="5">
        <v>3247232</v>
      </c>
      <c r="D25" s="5">
        <v>1421025</v>
      </c>
      <c r="E25" s="5">
        <v>2393587</v>
      </c>
      <c r="F25" s="5">
        <v>2394567</v>
      </c>
      <c r="G25" s="5">
        <v>2910758</v>
      </c>
      <c r="H25" s="5">
        <v>2849473</v>
      </c>
      <c r="I25" s="5">
        <v>2157735</v>
      </c>
      <c r="J25" s="5">
        <v>826860</v>
      </c>
      <c r="K25" s="5">
        <v>5067819</v>
      </c>
      <c r="L25" s="5">
        <v>4514786</v>
      </c>
      <c r="M25" s="5">
        <v>5005013</v>
      </c>
      <c r="N25" s="5">
        <v>4128612</v>
      </c>
      <c r="O25" s="5">
        <v>3517852</v>
      </c>
      <c r="P25" s="5">
        <v>4378517</v>
      </c>
      <c r="Q25" s="5">
        <v>1940064</v>
      </c>
      <c r="R25" s="5">
        <v>4362510</v>
      </c>
      <c r="S25" s="5">
        <v>3904076</v>
      </c>
    </row>
    <row r="26" spans="1:19" ht="13.5" customHeight="1">
      <c r="B26" s="12" t="s">
        <v>11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3.5" customHeight="1">
      <c r="A27" s="4">
        <v>21</v>
      </c>
      <c r="B27" s="18" t="s">
        <v>17</v>
      </c>
      <c r="C27" s="9">
        <v>-2214148</v>
      </c>
      <c r="D27" s="9">
        <v>-1037608</v>
      </c>
      <c r="E27" s="9">
        <v>-816196</v>
      </c>
      <c r="F27" s="9">
        <v>-424206</v>
      </c>
      <c r="G27" s="9">
        <v>-762078</v>
      </c>
      <c r="H27" s="9">
        <v>-955791</v>
      </c>
      <c r="I27" s="9">
        <v>-308673</v>
      </c>
      <c r="J27" s="9">
        <v>-280898</v>
      </c>
      <c r="K27" s="9">
        <v>-151158</v>
      </c>
      <c r="L27" s="9">
        <v>-290439</v>
      </c>
      <c r="M27" s="9">
        <v>-268998</v>
      </c>
      <c r="N27" s="9">
        <v>-367442</v>
      </c>
      <c r="O27" s="9">
        <v>-329541</v>
      </c>
      <c r="P27" s="9">
        <v>-533164</v>
      </c>
      <c r="Q27" s="9">
        <v>-283735</v>
      </c>
      <c r="R27" s="9">
        <v>-296018</v>
      </c>
      <c r="S27" s="9">
        <v>-241544</v>
      </c>
    </row>
    <row r="28" spans="1:19" ht="13.5" customHeight="1">
      <c r="A28" s="4">
        <v>22</v>
      </c>
      <c r="B28" s="18" t="s">
        <v>18</v>
      </c>
      <c r="C28" s="10">
        <v>0</v>
      </c>
      <c r="D28" s="9">
        <v>1203</v>
      </c>
      <c r="E28" s="9">
        <v>13769</v>
      </c>
      <c r="F28" s="9">
        <v>8405</v>
      </c>
      <c r="G28" s="9">
        <v>28108</v>
      </c>
      <c r="H28" s="9">
        <v>82970</v>
      </c>
      <c r="I28" s="9">
        <v>4037</v>
      </c>
      <c r="J28" s="9">
        <v>40502</v>
      </c>
      <c r="K28" s="9">
        <v>14863</v>
      </c>
      <c r="L28" s="9">
        <v>2009</v>
      </c>
      <c r="M28" s="9">
        <v>4839</v>
      </c>
      <c r="N28" s="9">
        <v>1441</v>
      </c>
      <c r="O28" s="9">
        <v>3485</v>
      </c>
      <c r="P28" s="9">
        <v>4266</v>
      </c>
      <c r="Q28" s="9">
        <v>2485</v>
      </c>
      <c r="R28" s="9">
        <v>3525</v>
      </c>
      <c r="S28" s="9">
        <v>1300</v>
      </c>
    </row>
    <row r="29" spans="1:19" ht="13.5" customHeight="1">
      <c r="A29" s="4">
        <v>23</v>
      </c>
      <c r="B29" s="19" t="s">
        <v>19</v>
      </c>
      <c r="C29" s="10">
        <v>0</v>
      </c>
      <c r="D29" s="9">
        <v>-1358516</v>
      </c>
      <c r="E29" s="9">
        <v>-403932</v>
      </c>
      <c r="F29" s="9">
        <v>-1279963</v>
      </c>
      <c r="G29" s="9">
        <v>-136627</v>
      </c>
      <c r="H29" s="9">
        <v>-1664898</v>
      </c>
      <c r="I29" s="9">
        <v>-473592</v>
      </c>
      <c r="J29" s="9">
        <v>-3034021</v>
      </c>
      <c r="K29" s="9">
        <v>-7278047</v>
      </c>
      <c r="L29" s="9">
        <v>-10860587</v>
      </c>
      <c r="M29" s="9">
        <v>-14261677</v>
      </c>
      <c r="N29" s="9">
        <v>-16247323</v>
      </c>
      <c r="O29" s="9">
        <v>-18159840</v>
      </c>
      <c r="P29" s="9">
        <v>-22641270</v>
      </c>
      <c r="Q29" s="9">
        <v>-17562408</v>
      </c>
      <c r="R29" s="9">
        <v>-20386135</v>
      </c>
      <c r="S29" s="9">
        <v>-16845775</v>
      </c>
    </row>
    <row r="30" spans="1:19" ht="13.5" customHeight="1">
      <c r="A30" s="4">
        <v>24</v>
      </c>
      <c r="B30" s="18" t="s">
        <v>38</v>
      </c>
      <c r="C30" s="9">
        <v>101105</v>
      </c>
      <c r="D30" s="9">
        <v>62000</v>
      </c>
      <c r="E30" s="9">
        <v>212704</v>
      </c>
      <c r="F30" s="9">
        <v>30000</v>
      </c>
      <c r="G30" s="10">
        <v>0</v>
      </c>
      <c r="H30" s="10">
        <v>0</v>
      </c>
      <c r="I30" s="9">
        <v>569067</v>
      </c>
      <c r="J30" s="9">
        <v>809467</v>
      </c>
      <c r="K30" s="9">
        <v>3893567</v>
      </c>
      <c r="L30" s="9">
        <v>9875200</v>
      </c>
      <c r="M30" s="9">
        <v>9379639</v>
      </c>
      <c r="N30" s="9">
        <v>14066130</v>
      </c>
      <c r="O30" s="9">
        <v>15706420</v>
      </c>
      <c r="P30" s="9">
        <v>20288539</v>
      </c>
      <c r="Q30" s="9">
        <v>19195705</v>
      </c>
      <c r="R30" s="9">
        <v>20264668</v>
      </c>
      <c r="S30" s="9">
        <v>17920926</v>
      </c>
    </row>
    <row r="31" spans="1:19" ht="13.5" customHeight="1">
      <c r="B31" s="18" t="s">
        <v>39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</row>
    <row r="32" spans="1:19" ht="13.5" customHeight="1">
      <c r="B32" s="1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</row>
    <row r="33" spans="1:19" ht="13.5" customHeight="1">
      <c r="A33" s="4">
        <v>25</v>
      </c>
      <c r="B33" s="19" t="s">
        <v>41</v>
      </c>
      <c r="C33" s="9">
        <v>-77413</v>
      </c>
      <c r="D33" s="9">
        <v>-133915</v>
      </c>
      <c r="E33" s="9">
        <v>-16207</v>
      </c>
      <c r="F33" s="9">
        <v>-76274</v>
      </c>
      <c r="G33" s="9">
        <v>-22587</v>
      </c>
      <c r="H33" s="9">
        <v>-20000</v>
      </c>
      <c r="I33" s="9">
        <v>-118027</v>
      </c>
      <c r="J33" s="9">
        <v>-27825</v>
      </c>
      <c r="K33" s="9">
        <v>-43881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9">
        <v>-954279</v>
      </c>
      <c r="S33" s="9">
        <v>125894</v>
      </c>
    </row>
    <row r="34" spans="1:19" ht="13.5" customHeight="1">
      <c r="A34" s="4">
        <v>26</v>
      </c>
      <c r="B34" s="19" t="s">
        <v>42</v>
      </c>
      <c r="C34" s="9">
        <v>-528146</v>
      </c>
      <c r="D34" s="9">
        <v>38991</v>
      </c>
      <c r="E34" s="9">
        <v>27353</v>
      </c>
      <c r="F34" s="9">
        <v>118243</v>
      </c>
      <c r="G34" s="9">
        <v>42635</v>
      </c>
      <c r="H34" s="9">
        <v>32557</v>
      </c>
      <c r="I34" s="9">
        <v>64795</v>
      </c>
      <c r="J34" s="9">
        <v>581150</v>
      </c>
      <c r="K34" s="9">
        <v>66048</v>
      </c>
      <c r="L34" s="9">
        <v>28340</v>
      </c>
      <c r="M34" s="9">
        <v>82063</v>
      </c>
      <c r="N34" s="10">
        <v>0</v>
      </c>
      <c r="O34" s="9">
        <v>444561</v>
      </c>
      <c r="P34" s="10">
        <v>0</v>
      </c>
      <c r="Q34" s="10">
        <v>0</v>
      </c>
      <c r="R34" s="10">
        <v>0</v>
      </c>
      <c r="S34" s="10">
        <v>0</v>
      </c>
    </row>
    <row r="35" spans="1:19" ht="13.5" customHeight="1">
      <c r="B35" s="19" t="s">
        <v>43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</row>
    <row r="36" spans="1:19" ht="13.5" customHeight="1">
      <c r="A36" s="4">
        <v>27</v>
      </c>
      <c r="B36" s="19" t="s">
        <v>44</v>
      </c>
      <c r="C36" s="9">
        <v>183748</v>
      </c>
      <c r="D36" s="9">
        <v>404502</v>
      </c>
      <c r="E36" s="9">
        <v>629470</v>
      </c>
      <c r="F36" s="9">
        <v>652695</v>
      </c>
      <c r="G36" s="9">
        <v>355831</v>
      </c>
      <c r="H36" s="9">
        <v>573857</v>
      </c>
      <c r="I36" s="9">
        <v>645050</v>
      </c>
      <c r="J36" s="9">
        <v>800680</v>
      </c>
      <c r="K36" s="9">
        <v>678089</v>
      </c>
      <c r="L36" s="9">
        <v>934229</v>
      </c>
      <c r="M36" s="9">
        <v>955091</v>
      </c>
      <c r="N36" s="9">
        <v>1023969</v>
      </c>
      <c r="O36" s="9">
        <v>1111566</v>
      </c>
      <c r="P36" s="9">
        <v>1013860</v>
      </c>
      <c r="Q36" s="9">
        <v>1363536</v>
      </c>
      <c r="R36" s="9">
        <v>1387124</v>
      </c>
      <c r="S36" s="9">
        <v>1462274</v>
      </c>
    </row>
    <row r="37" spans="1:19" ht="13.5" customHeight="1">
      <c r="B37" s="19" t="s">
        <v>45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</row>
    <row r="38" spans="1:19" ht="13.5" customHeight="1">
      <c r="A38" s="4">
        <v>30</v>
      </c>
      <c r="B38" s="17" t="s">
        <v>12</v>
      </c>
      <c r="C38" s="5">
        <v>-2534853</v>
      </c>
      <c r="D38" s="5">
        <v>-2023343</v>
      </c>
      <c r="E38" s="5">
        <v>-353039</v>
      </c>
      <c r="F38" s="5">
        <v>-971100</v>
      </c>
      <c r="G38" s="5">
        <v>-494717</v>
      </c>
      <c r="H38" s="5">
        <v>-1951305</v>
      </c>
      <c r="I38" s="5">
        <v>382658</v>
      </c>
      <c r="J38" s="5">
        <v>-1110944</v>
      </c>
      <c r="K38" s="5">
        <v>-2820518</v>
      </c>
      <c r="L38" s="5">
        <v>-311248</v>
      </c>
      <c r="M38" s="5">
        <v>-4109044</v>
      </c>
      <c r="N38" s="5">
        <v>-1523225</v>
      </c>
      <c r="O38" s="5">
        <v>-1223348</v>
      </c>
      <c r="P38" s="5">
        <v>-1867768</v>
      </c>
      <c r="Q38" s="5">
        <v>2715583</v>
      </c>
      <c r="R38" s="5">
        <v>18884</v>
      </c>
      <c r="S38" s="5">
        <v>2423075</v>
      </c>
    </row>
    <row r="39" spans="1:19" ht="13.5" customHeight="1">
      <c r="B39" s="12" t="s">
        <v>13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3.5" customHeight="1">
      <c r="A40" s="4">
        <v>31</v>
      </c>
      <c r="B40" s="18" t="s">
        <v>20</v>
      </c>
      <c r="C40" s="10">
        <v>0</v>
      </c>
      <c r="D40" s="9">
        <v>28887</v>
      </c>
      <c r="E40" s="10">
        <v>0</v>
      </c>
      <c r="F40" s="10">
        <v>455</v>
      </c>
      <c r="G40" s="10">
        <v>0</v>
      </c>
      <c r="H40" s="10">
        <v>0</v>
      </c>
      <c r="I40" s="10">
        <v>0</v>
      </c>
      <c r="J40" s="9">
        <v>5820</v>
      </c>
      <c r="K40" s="9">
        <v>67208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</row>
    <row r="41" spans="1:19" ht="13.5" customHeight="1">
      <c r="A41" s="4">
        <v>32</v>
      </c>
      <c r="B41" s="18" t="s">
        <v>21</v>
      </c>
      <c r="C41" s="10">
        <v>0</v>
      </c>
      <c r="D41" s="10">
        <v>-120</v>
      </c>
      <c r="E41" s="10">
        <v>-282</v>
      </c>
      <c r="F41" s="9">
        <v>-1131</v>
      </c>
      <c r="G41" s="10">
        <v>0</v>
      </c>
      <c r="H41" s="10">
        <v>0</v>
      </c>
      <c r="I41" s="9">
        <v>7000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</row>
    <row r="42" spans="1:19" ht="13.5" customHeight="1">
      <c r="A42" s="4">
        <v>33</v>
      </c>
      <c r="B42" s="19" t="s">
        <v>46</v>
      </c>
      <c r="C42" s="9">
        <v>1384482</v>
      </c>
      <c r="D42" s="9">
        <v>843780</v>
      </c>
      <c r="E42" s="9">
        <v>554124</v>
      </c>
      <c r="F42" s="9">
        <v>421723</v>
      </c>
      <c r="G42" s="9">
        <v>1402550</v>
      </c>
      <c r="H42" s="9">
        <v>2044274</v>
      </c>
      <c r="I42" s="9">
        <v>2905342</v>
      </c>
      <c r="J42" s="9">
        <v>3880680</v>
      </c>
      <c r="K42" s="9">
        <v>3541517</v>
      </c>
      <c r="L42" s="9">
        <v>3255664</v>
      </c>
      <c r="M42" s="9">
        <v>3235968</v>
      </c>
      <c r="N42" s="9">
        <v>3061076</v>
      </c>
      <c r="O42" s="9">
        <v>2984179</v>
      </c>
      <c r="P42" s="9">
        <v>3279891</v>
      </c>
      <c r="Q42" s="9">
        <v>4130545</v>
      </c>
      <c r="R42" s="9">
        <v>2934074</v>
      </c>
      <c r="S42" s="9">
        <v>2791553</v>
      </c>
    </row>
    <row r="43" spans="1:19" ht="13.5" customHeight="1">
      <c r="A43" s="4">
        <v>34</v>
      </c>
      <c r="B43" s="19" t="s">
        <v>47</v>
      </c>
      <c r="C43" s="9">
        <v>-380338</v>
      </c>
      <c r="D43" s="9">
        <v>-609183</v>
      </c>
      <c r="E43" s="9">
        <v>-697792</v>
      </c>
      <c r="F43" s="9">
        <v>-233960</v>
      </c>
      <c r="G43" s="9">
        <v>-1394810</v>
      </c>
      <c r="H43" s="9">
        <v>-2364667</v>
      </c>
      <c r="I43" s="9">
        <v>-2592839</v>
      </c>
      <c r="J43" s="9">
        <v>-4336074</v>
      </c>
      <c r="K43" s="9">
        <v>-4023394</v>
      </c>
      <c r="L43" s="9">
        <v>-3371649</v>
      </c>
      <c r="M43" s="9">
        <v>-3346480</v>
      </c>
      <c r="N43" s="9">
        <v>-3309442</v>
      </c>
      <c r="O43" s="9">
        <v>-3301894</v>
      </c>
      <c r="P43" s="9">
        <v>-2908733</v>
      </c>
      <c r="Q43" s="9">
        <v>-4461478</v>
      </c>
      <c r="R43" s="9">
        <v>-3218974</v>
      </c>
      <c r="S43" s="9">
        <v>-3066634</v>
      </c>
    </row>
    <row r="44" spans="1:19" ht="13.5" customHeight="1">
      <c r="A44" s="4">
        <v>35</v>
      </c>
      <c r="B44" s="19" t="s">
        <v>48</v>
      </c>
      <c r="C44" s="10">
        <v>0</v>
      </c>
      <c r="D44" s="10">
        <v>-545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9">
        <v>-12727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</row>
    <row r="45" spans="1:19" ht="13.5" customHeight="1">
      <c r="B45" s="19" t="s">
        <v>49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</row>
    <row r="46" spans="1:19" ht="13.5" customHeight="1">
      <c r="B46" s="19" t="s">
        <v>50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</row>
    <row r="47" spans="1:19" ht="13.5" customHeight="1">
      <c r="A47" s="4">
        <v>36</v>
      </c>
      <c r="B47" s="19" t="s">
        <v>51</v>
      </c>
      <c r="C47" s="9">
        <v>-424476</v>
      </c>
      <c r="D47" s="9">
        <v>-1209802</v>
      </c>
      <c r="E47" s="9">
        <v>-2015815</v>
      </c>
      <c r="F47" s="9">
        <v>-1359345</v>
      </c>
      <c r="G47" s="9">
        <v>-2237714</v>
      </c>
      <c r="H47" s="9">
        <v>-609471</v>
      </c>
      <c r="I47" s="9">
        <v>-1678981</v>
      </c>
      <c r="J47" s="9">
        <v>-3757483</v>
      </c>
      <c r="K47" s="9">
        <v>-1008865</v>
      </c>
      <c r="L47" s="9">
        <v>-3888749</v>
      </c>
      <c r="M47" s="9">
        <v>-1136965</v>
      </c>
      <c r="N47" s="9">
        <v>-3734027</v>
      </c>
      <c r="O47" s="9">
        <v>-1096307</v>
      </c>
      <c r="P47" s="9">
        <v>-2418865</v>
      </c>
      <c r="Q47" s="9">
        <v>-3354093</v>
      </c>
      <c r="R47" s="9">
        <v>-4658550</v>
      </c>
      <c r="S47" s="9">
        <v>-6512668</v>
      </c>
    </row>
    <row r="48" spans="1:19" ht="13.5" customHeight="1">
      <c r="B48" s="19" t="s">
        <v>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</row>
    <row r="49" spans="1:19" ht="13.5" customHeight="1">
      <c r="B49" s="19" t="s">
        <v>53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</row>
    <row r="50" spans="1:19" ht="13.5" customHeight="1">
      <c r="A50" s="4">
        <v>40</v>
      </c>
      <c r="B50" s="17" t="s">
        <v>14</v>
      </c>
      <c r="C50" s="5">
        <v>579668</v>
      </c>
      <c r="D50" s="5">
        <v>-946984</v>
      </c>
      <c r="E50" s="5">
        <v>-2159765</v>
      </c>
      <c r="F50" s="5">
        <v>-1172258</v>
      </c>
      <c r="G50" s="5">
        <v>-2229974</v>
      </c>
      <c r="H50" s="5">
        <v>-929864</v>
      </c>
      <c r="I50" s="5">
        <v>-1359478</v>
      </c>
      <c r="J50" s="5">
        <v>-4207057</v>
      </c>
      <c r="K50" s="5">
        <v>-1423533</v>
      </c>
      <c r="L50" s="5">
        <v>-4004734</v>
      </c>
      <c r="M50" s="5">
        <v>-1247477</v>
      </c>
      <c r="N50" s="5">
        <v>-3995121</v>
      </c>
      <c r="O50" s="5">
        <v>-1414022</v>
      </c>
      <c r="P50" s="5">
        <v>-2047707</v>
      </c>
      <c r="Q50" s="5">
        <v>-3685025</v>
      </c>
      <c r="R50" s="5">
        <v>-4943450</v>
      </c>
      <c r="S50" s="5">
        <v>-6787750</v>
      </c>
    </row>
    <row r="51" spans="1:19" ht="13.5" customHeight="1">
      <c r="A51" s="4">
        <v>50</v>
      </c>
      <c r="B51" s="20" t="s">
        <v>22</v>
      </c>
      <c r="C51" s="5">
        <v>1292047</v>
      </c>
      <c r="D51" s="5">
        <v>-1549301</v>
      </c>
      <c r="E51" s="5">
        <v>-119216</v>
      </c>
      <c r="F51" s="5">
        <v>251209</v>
      </c>
      <c r="G51" s="5">
        <v>186068</v>
      </c>
      <c r="H51" s="5">
        <v>-31697</v>
      </c>
      <c r="I51" s="5">
        <v>1180916</v>
      </c>
      <c r="J51" s="5">
        <v>-4491141</v>
      </c>
      <c r="K51" s="5">
        <v>823768</v>
      </c>
      <c r="L51" s="5">
        <v>198804</v>
      </c>
      <c r="M51" s="5">
        <v>-351509</v>
      </c>
      <c r="N51" s="5">
        <v>-1389734</v>
      </c>
      <c r="O51" s="5">
        <v>880482</v>
      </c>
      <c r="P51" s="5">
        <v>463042</v>
      </c>
      <c r="Q51" s="5">
        <v>970623</v>
      </c>
      <c r="R51" s="5">
        <v>-562056</v>
      </c>
      <c r="S51" s="5">
        <v>-460598</v>
      </c>
    </row>
    <row r="52" spans="1:19" ht="13.5" customHeight="1">
      <c r="A52" s="4">
        <v>60</v>
      </c>
      <c r="B52" s="20" t="s">
        <v>15</v>
      </c>
      <c r="C52" s="5">
        <v>1787333</v>
      </c>
      <c r="D52" s="5">
        <v>3079380</v>
      </c>
      <c r="E52" s="5">
        <v>1530126</v>
      </c>
      <c r="F52" s="5">
        <v>1410978</v>
      </c>
      <c r="G52" s="5">
        <v>1662188</v>
      </c>
      <c r="H52" s="5">
        <v>1848755</v>
      </c>
      <c r="I52" s="5">
        <v>6755059</v>
      </c>
      <c r="J52" s="5">
        <v>7935974</v>
      </c>
      <c r="K52" s="5">
        <v>3444825</v>
      </c>
      <c r="L52" s="5">
        <v>4268599</v>
      </c>
      <c r="M52" s="5">
        <v>4467392</v>
      </c>
      <c r="N52" s="5">
        <v>4115885</v>
      </c>
      <c r="O52" s="5">
        <v>2726137</v>
      </c>
      <c r="P52" s="5">
        <v>3606454</v>
      </c>
      <c r="Q52" s="5">
        <v>4069464</v>
      </c>
      <c r="R52" s="5">
        <v>5039908</v>
      </c>
      <c r="S52" s="5">
        <v>4477502</v>
      </c>
    </row>
    <row r="53" spans="1:19" ht="13.5" customHeight="1">
      <c r="A53" s="4">
        <v>61</v>
      </c>
      <c r="B53" s="20" t="s">
        <v>16</v>
      </c>
      <c r="C53" s="3">
        <v>0</v>
      </c>
      <c r="D53" s="3">
        <v>47</v>
      </c>
      <c r="E53" s="3">
        <v>69</v>
      </c>
      <c r="F53" s="3">
        <v>0</v>
      </c>
      <c r="G53" s="3">
        <v>0</v>
      </c>
      <c r="H53" s="3">
        <v>0</v>
      </c>
      <c r="I53" s="3">
        <v>0</v>
      </c>
      <c r="J53" s="3">
        <v>-8</v>
      </c>
      <c r="K53" s="3">
        <v>6</v>
      </c>
      <c r="L53" s="3">
        <v>-11</v>
      </c>
      <c r="M53" s="3">
        <v>2</v>
      </c>
      <c r="N53" s="3">
        <v>-14</v>
      </c>
      <c r="O53" s="3">
        <v>-164</v>
      </c>
      <c r="P53" s="3">
        <v>-32</v>
      </c>
      <c r="Q53" s="3">
        <v>-179</v>
      </c>
      <c r="R53" s="3">
        <v>-350</v>
      </c>
      <c r="S53" s="3">
        <v>-22</v>
      </c>
    </row>
    <row r="54" spans="1:19" ht="13.5" customHeight="1">
      <c r="A54" s="4">
        <v>70</v>
      </c>
      <c r="B54" s="20" t="s">
        <v>23</v>
      </c>
      <c r="C54" s="5">
        <v>3079380</v>
      </c>
      <c r="D54" s="5">
        <v>1530126</v>
      </c>
      <c r="E54" s="5">
        <v>1410978</v>
      </c>
      <c r="F54" s="5">
        <v>1662188</v>
      </c>
      <c r="G54" s="5">
        <v>1848256</v>
      </c>
      <c r="H54" s="5">
        <v>1817059</v>
      </c>
      <c r="I54" s="5">
        <v>7935974</v>
      </c>
      <c r="J54" s="5">
        <v>3444825</v>
      </c>
      <c r="K54" s="5">
        <v>4268599</v>
      </c>
      <c r="L54" s="5">
        <v>4467392</v>
      </c>
      <c r="M54" s="5">
        <v>4115885</v>
      </c>
      <c r="N54" s="5">
        <v>2726137</v>
      </c>
      <c r="O54" s="5">
        <v>3606454</v>
      </c>
      <c r="P54" s="5">
        <v>4069464</v>
      </c>
      <c r="Q54" s="5">
        <v>5039908</v>
      </c>
      <c r="R54" s="5">
        <v>4477502</v>
      </c>
      <c r="S54" s="5">
        <v>4016882</v>
      </c>
    </row>
    <row r="56" spans="1:19" ht="13.5" customHeight="1">
      <c r="K56" s="147">
        <f>SUM(K25,K38,K50)</f>
        <v>823768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C1A2-78A2-44DD-A5AE-D7DBE119D69B}">
  <dimension ref="A1:J1556"/>
  <sheetViews>
    <sheetView workbookViewId="0">
      <selection activeCell="G1" sqref="G1"/>
    </sheetView>
  </sheetViews>
  <sheetFormatPr defaultRowHeight="14"/>
  <cols>
    <col min="1" max="1" width="15" bestFit="1" customWidth="1"/>
    <col min="5" max="5" width="9.75" bestFit="1" customWidth="1"/>
  </cols>
  <sheetData>
    <row r="1" spans="1:10">
      <c r="A1" t="s">
        <v>185</v>
      </c>
      <c r="B1" t="s">
        <v>186</v>
      </c>
      <c r="F1" s="38" t="s">
        <v>363</v>
      </c>
      <c r="G1" s="1">
        <f>SLOPE(I504:I1304,J504:J1304)</f>
        <v>0.31467274669714168</v>
      </c>
    </row>
    <row r="2" spans="1:10">
      <c r="A2" t="s">
        <v>187</v>
      </c>
      <c r="B2" t="s">
        <v>188</v>
      </c>
      <c r="F2" s="38" t="s">
        <v>364</v>
      </c>
      <c r="G2" s="1">
        <f>2/3*G1+1/3</f>
        <v>0.54311516446476116</v>
      </c>
    </row>
    <row r="3" spans="1:10">
      <c r="A3" s="34">
        <f>E5</f>
        <v>44200</v>
      </c>
    </row>
    <row r="4" spans="1:10">
      <c r="A4" s="37" t="str">
        <f>E1304</f>
        <v>03/25/2026</v>
      </c>
      <c r="F4" t="s">
        <v>189</v>
      </c>
      <c r="G4" s="35" t="s">
        <v>185</v>
      </c>
      <c r="I4" t="s">
        <v>362</v>
      </c>
      <c r="J4" s="35" t="s">
        <v>361</v>
      </c>
    </row>
    <row r="5" spans="1:10">
      <c r="E5" s="34">
        <v>44200</v>
      </c>
      <c r="F5" s="1">
        <v>1120.47</v>
      </c>
      <c r="G5" s="35">
        <v>85678.07</v>
      </c>
    </row>
    <row r="6" spans="1:10">
      <c r="E6" s="34">
        <v>44201</v>
      </c>
      <c r="F6" s="1">
        <v>1132.55</v>
      </c>
      <c r="G6" s="35">
        <v>85506.2</v>
      </c>
      <c r="I6" s="36">
        <f>F6/F5-1</f>
        <v>1.078119003632394E-2</v>
      </c>
      <c r="J6" s="36">
        <f>G6/G5-1</f>
        <v>-2.0059975674056041E-3</v>
      </c>
    </row>
    <row r="7" spans="1:10">
      <c r="E7" s="34">
        <v>44202</v>
      </c>
      <c r="F7" s="1">
        <v>1143.21</v>
      </c>
      <c r="G7" s="35">
        <v>85291.36</v>
      </c>
      <c r="I7" s="36">
        <f t="shared" ref="I7:I70" si="0">F7/F6-1</f>
        <v>9.41238797404087E-3</v>
      </c>
      <c r="J7" s="36">
        <f t="shared" ref="J7:J70" si="1">G7/G6-1</f>
        <v>-2.5125663402185694E-3</v>
      </c>
    </row>
    <row r="8" spans="1:10">
      <c r="E8" s="34">
        <v>44203</v>
      </c>
      <c r="F8" s="1">
        <v>1156.49</v>
      </c>
      <c r="G8" s="35">
        <v>84990.58</v>
      </c>
      <c r="I8" s="36">
        <f t="shared" si="0"/>
        <v>1.1616413432352646E-2</v>
      </c>
      <c r="J8" s="36">
        <f t="shared" si="1"/>
        <v>-3.5265002222968356E-3</v>
      </c>
    </row>
    <row r="9" spans="1:10">
      <c r="E9" s="34">
        <v>44204</v>
      </c>
      <c r="F9" s="1">
        <v>1167.69</v>
      </c>
      <c r="G9" s="35">
        <v>85162.46</v>
      </c>
      <c r="I9" s="36">
        <f t="shared" si="0"/>
        <v>9.6844763032970516E-3</v>
      </c>
      <c r="J9" s="36">
        <f t="shared" si="1"/>
        <v>2.0223417701115132E-3</v>
      </c>
    </row>
    <row r="10" spans="1:10">
      <c r="E10" s="34">
        <v>44207</v>
      </c>
      <c r="F10" s="1">
        <v>1184.8900000000001</v>
      </c>
      <c r="G10" s="35">
        <v>86924.14</v>
      </c>
      <c r="I10" s="36">
        <f t="shared" si="0"/>
        <v>1.4729936883933314E-2</v>
      </c>
      <c r="J10" s="36">
        <f t="shared" si="1"/>
        <v>2.0686109818809806E-2</v>
      </c>
    </row>
    <row r="11" spans="1:10">
      <c r="E11" s="34">
        <v>44208</v>
      </c>
      <c r="F11" s="1">
        <v>1192.28</v>
      </c>
      <c r="G11" s="35">
        <v>88299.12</v>
      </c>
      <c r="I11" s="36">
        <f t="shared" si="0"/>
        <v>6.2368658694054169E-3</v>
      </c>
      <c r="J11" s="36">
        <f t="shared" si="1"/>
        <v>1.5818160524797786E-2</v>
      </c>
    </row>
    <row r="12" spans="1:10">
      <c r="E12" s="34">
        <v>44209</v>
      </c>
      <c r="F12" s="1">
        <v>1186.05</v>
      </c>
      <c r="G12" s="35">
        <v>88986.6</v>
      </c>
      <c r="I12" s="36">
        <f t="shared" si="0"/>
        <v>-5.2252826517261708E-3</v>
      </c>
      <c r="J12" s="36">
        <f t="shared" si="1"/>
        <v>7.7858080578834254E-3</v>
      </c>
    </row>
    <row r="13" spans="1:10">
      <c r="E13" s="34">
        <v>44210</v>
      </c>
      <c r="F13" s="1">
        <v>1187.4000000000001</v>
      </c>
      <c r="G13" s="35">
        <v>88084.28</v>
      </c>
      <c r="I13" s="36">
        <f t="shared" si="0"/>
        <v>1.1382319463766333E-3</v>
      </c>
      <c r="J13" s="36">
        <f t="shared" si="1"/>
        <v>-1.0139953655943779E-2</v>
      </c>
    </row>
    <row r="14" spans="1:10">
      <c r="E14" s="34">
        <v>44211</v>
      </c>
      <c r="F14" s="1">
        <v>1194.2</v>
      </c>
      <c r="G14" s="35">
        <v>86150.720000000001</v>
      </c>
      <c r="I14" s="36">
        <f t="shared" si="0"/>
        <v>5.7267980461512824E-3</v>
      </c>
      <c r="J14" s="36">
        <f t="shared" si="1"/>
        <v>-2.1951249417035523E-2</v>
      </c>
    </row>
    <row r="15" spans="1:10">
      <c r="E15" s="34">
        <v>44214</v>
      </c>
      <c r="F15" s="1">
        <v>1191.94</v>
      </c>
      <c r="G15" s="35">
        <v>86107.75</v>
      </c>
      <c r="I15" s="36">
        <f t="shared" si="0"/>
        <v>-1.8924803215542019E-3</v>
      </c>
      <c r="J15" s="36">
        <f t="shared" si="1"/>
        <v>-4.9877702705214411E-4</v>
      </c>
    </row>
    <row r="16" spans="1:10">
      <c r="E16" s="34">
        <v>44215</v>
      </c>
      <c r="F16" s="1">
        <v>1131</v>
      </c>
      <c r="G16" s="35">
        <v>82928.12</v>
      </c>
      <c r="I16" s="36">
        <f t="shared" si="0"/>
        <v>-5.1126734567176202E-2</v>
      </c>
      <c r="J16" s="36">
        <f t="shared" si="1"/>
        <v>-3.6926176795933019E-2</v>
      </c>
    </row>
    <row r="17" spans="5:10">
      <c r="E17" s="34">
        <v>44216</v>
      </c>
      <c r="F17" s="1">
        <v>1134.68</v>
      </c>
      <c r="G17" s="35">
        <v>83658.58</v>
      </c>
      <c r="I17" s="36">
        <f t="shared" si="0"/>
        <v>3.2537577365163717E-3</v>
      </c>
      <c r="J17" s="36">
        <f t="shared" si="1"/>
        <v>8.8083511358993949E-3</v>
      </c>
    </row>
    <row r="18" spans="5:10">
      <c r="E18" s="34">
        <v>44217</v>
      </c>
      <c r="F18" s="1">
        <v>1164.21</v>
      </c>
      <c r="G18" s="35">
        <v>83357.8</v>
      </c>
      <c r="I18" s="36">
        <f t="shared" si="0"/>
        <v>2.6024958578630075E-2</v>
      </c>
      <c r="J18" s="36">
        <f t="shared" si="1"/>
        <v>-3.5953275802672602E-3</v>
      </c>
    </row>
    <row r="19" spans="5:10">
      <c r="E19" s="34">
        <v>44218</v>
      </c>
      <c r="F19" s="1">
        <v>1166.78</v>
      </c>
      <c r="G19" s="35">
        <v>83357.8</v>
      </c>
      <c r="I19" s="36">
        <f t="shared" si="0"/>
        <v>2.2075055187638082E-3</v>
      </c>
      <c r="J19" s="36">
        <f t="shared" si="1"/>
        <v>0</v>
      </c>
    </row>
    <row r="20" spans="5:10">
      <c r="E20" s="34">
        <v>44221</v>
      </c>
      <c r="F20" s="1">
        <v>1166.05</v>
      </c>
      <c r="G20" s="35">
        <v>83357.8</v>
      </c>
      <c r="I20" s="36">
        <f t="shared" si="0"/>
        <v>-6.2565350794496766E-4</v>
      </c>
      <c r="J20" s="36">
        <f t="shared" si="1"/>
        <v>0</v>
      </c>
    </row>
    <row r="21" spans="5:10">
      <c r="E21" s="34">
        <v>44222</v>
      </c>
      <c r="F21" s="1">
        <v>1136.1199999999999</v>
      </c>
      <c r="G21" s="35">
        <v>81639.09</v>
      </c>
      <c r="I21" s="36">
        <f t="shared" si="0"/>
        <v>-2.5667853008018549E-2</v>
      </c>
      <c r="J21" s="36">
        <f t="shared" si="1"/>
        <v>-2.0618466418259707E-2</v>
      </c>
    </row>
    <row r="22" spans="5:10">
      <c r="E22" s="34">
        <v>44223</v>
      </c>
      <c r="F22" s="1">
        <v>1097.17</v>
      </c>
      <c r="G22" s="35">
        <v>80264.11</v>
      </c>
      <c r="I22" s="36">
        <f t="shared" si="0"/>
        <v>-3.4283350350314934E-2</v>
      </c>
      <c r="J22" s="36">
        <f t="shared" si="1"/>
        <v>-1.6842176952241772E-2</v>
      </c>
    </row>
    <row r="23" spans="5:10">
      <c r="E23" s="34">
        <v>44224</v>
      </c>
      <c r="F23" s="1">
        <v>1023.94</v>
      </c>
      <c r="G23" s="35">
        <v>74678.28</v>
      </c>
      <c r="I23" s="36">
        <f t="shared" si="0"/>
        <v>-6.6744442520302205E-2</v>
      </c>
      <c r="J23" s="36">
        <f t="shared" si="1"/>
        <v>-6.9593122006834762E-2</v>
      </c>
    </row>
    <row r="24" spans="5:10">
      <c r="E24" s="34">
        <v>44225</v>
      </c>
      <c r="F24" s="1">
        <v>1056.6099999999999</v>
      </c>
      <c r="G24" s="35">
        <v>69479.16</v>
      </c>
      <c r="I24" s="36">
        <f t="shared" si="0"/>
        <v>3.1906166376935996E-2</v>
      </c>
      <c r="J24" s="36">
        <f t="shared" si="1"/>
        <v>-6.9620242994348547E-2</v>
      </c>
    </row>
    <row r="25" spans="5:10">
      <c r="E25" s="34">
        <v>44228</v>
      </c>
      <c r="F25" s="1">
        <v>1035.51</v>
      </c>
      <c r="G25" s="35">
        <v>74334.539999999994</v>
      </c>
      <c r="I25" s="36">
        <f t="shared" si="0"/>
        <v>-1.9969525179583725E-2</v>
      </c>
      <c r="J25" s="36">
        <f t="shared" si="1"/>
        <v>6.9882537440003389E-2</v>
      </c>
    </row>
    <row r="26" spans="5:10">
      <c r="E26" s="34">
        <v>44229</v>
      </c>
      <c r="F26" s="1">
        <v>1075.53</v>
      </c>
      <c r="G26" s="35">
        <v>76912.61</v>
      </c>
      <c r="I26" s="36">
        <f t="shared" si="0"/>
        <v>3.8647622910449986E-2</v>
      </c>
      <c r="J26" s="36">
        <f t="shared" si="1"/>
        <v>3.4681993054642035E-2</v>
      </c>
    </row>
    <row r="27" spans="5:10">
      <c r="E27" s="34">
        <v>44230</v>
      </c>
      <c r="F27" s="1">
        <v>1111.29</v>
      </c>
      <c r="G27" s="35">
        <v>76912.61</v>
      </c>
      <c r="I27" s="36">
        <f t="shared" si="0"/>
        <v>3.3248723884968356E-2</v>
      </c>
      <c r="J27" s="36">
        <f t="shared" si="1"/>
        <v>0</v>
      </c>
    </row>
    <row r="28" spans="5:10">
      <c r="E28" s="34">
        <v>44231</v>
      </c>
      <c r="F28" s="1">
        <v>1112.19</v>
      </c>
      <c r="G28" s="35">
        <v>78244.62</v>
      </c>
      <c r="I28" s="36">
        <f t="shared" si="0"/>
        <v>8.0986961099260846E-4</v>
      </c>
      <c r="J28" s="36">
        <f t="shared" si="1"/>
        <v>1.7318486526461507E-2</v>
      </c>
    </row>
    <row r="29" spans="5:10">
      <c r="E29" s="34">
        <v>44232</v>
      </c>
      <c r="F29" s="1">
        <v>1126.9100000000001</v>
      </c>
      <c r="G29" s="35">
        <v>78158.679999999993</v>
      </c>
      <c r="I29" s="36">
        <f t="shared" si="0"/>
        <v>1.3235148670640795E-2</v>
      </c>
      <c r="J29" s="36">
        <f t="shared" si="1"/>
        <v>-1.0983502763513009E-3</v>
      </c>
    </row>
    <row r="30" spans="5:10">
      <c r="E30" s="34">
        <v>44235</v>
      </c>
      <c r="F30" s="1">
        <v>1083.18</v>
      </c>
      <c r="G30" s="35">
        <v>74764.210000000006</v>
      </c>
      <c r="I30" s="36">
        <f t="shared" si="0"/>
        <v>-3.8805228456575969E-2</v>
      </c>
      <c r="J30" s="36">
        <f t="shared" si="1"/>
        <v>-4.3430492940771059E-2</v>
      </c>
    </row>
    <row r="31" spans="5:10">
      <c r="E31" s="34">
        <v>44236</v>
      </c>
      <c r="F31" s="1">
        <v>1114.93</v>
      </c>
      <c r="G31" s="35">
        <v>77428.23</v>
      </c>
      <c r="I31" s="36">
        <f t="shared" si="0"/>
        <v>2.9311841060580823E-2</v>
      </c>
      <c r="J31" s="36">
        <f t="shared" si="1"/>
        <v>3.5632289834935493E-2</v>
      </c>
    </row>
    <row r="32" spans="5:10">
      <c r="E32" s="34">
        <v>44244</v>
      </c>
      <c r="F32" s="1">
        <v>1155.78</v>
      </c>
      <c r="G32" s="35">
        <v>77943.839999999997</v>
      </c>
      <c r="I32" s="36">
        <f t="shared" si="0"/>
        <v>3.6639071511215926E-2</v>
      </c>
      <c r="J32" s="36">
        <f t="shared" si="1"/>
        <v>6.6591991060624967E-3</v>
      </c>
    </row>
    <row r="33" spans="5:10">
      <c r="E33" s="34">
        <v>44245</v>
      </c>
      <c r="F33" s="1">
        <v>1174.3800000000001</v>
      </c>
      <c r="G33" s="35">
        <v>82713.279999999999</v>
      </c>
      <c r="I33" s="36">
        <f t="shared" si="0"/>
        <v>1.609302808492985E-2</v>
      </c>
      <c r="J33" s="36">
        <f t="shared" si="1"/>
        <v>6.1190723987938123E-2</v>
      </c>
    </row>
    <row r="34" spans="5:10">
      <c r="E34" s="34">
        <v>44246</v>
      </c>
      <c r="F34" s="1">
        <v>1173.5</v>
      </c>
      <c r="G34" s="35">
        <v>82369.539999999994</v>
      </c>
      <c r="I34" s="36">
        <f t="shared" si="0"/>
        <v>-7.4933156218615071E-4</v>
      </c>
      <c r="J34" s="36">
        <f t="shared" si="1"/>
        <v>-4.1558018252934037E-3</v>
      </c>
    </row>
    <row r="35" spans="5:10">
      <c r="E35" s="34">
        <v>44249</v>
      </c>
      <c r="F35" s="1">
        <v>1175.04</v>
      </c>
      <c r="G35" s="35">
        <v>81639.09</v>
      </c>
      <c r="I35" s="36">
        <f t="shared" si="0"/>
        <v>1.3123135918193807E-3</v>
      </c>
      <c r="J35" s="36">
        <f t="shared" si="1"/>
        <v>-8.8679625987956312E-3</v>
      </c>
    </row>
    <row r="36" spans="5:10">
      <c r="E36" s="34">
        <v>44250</v>
      </c>
      <c r="F36" s="1">
        <v>1177.6400000000001</v>
      </c>
      <c r="G36" s="35">
        <v>79920.37</v>
      </c>
      <c r="I36" s="36">
        <f t="shared" si="0"/>
        <v>2.2126906318082895E-3</v>
      </c>
      <c r="J36" s="36">
        <f t="shared" si="1"/>
        <v>-2.1052659945131724E-2</v>
      </c>
    </row>
    <row r="37" spans="5:10">
      <c r="E37" s="34">
        <v>44251</v>
      </c>
      <c r="F37" s="1">
        <v>1162.01</v>
      </c>
      <c r="G37" s="35">
        <v>79619.59</v>
      </c>
      <c r="I37" s="36">
        <f t="shared" si="0"/>
        <v>-1.3272307326517518E-2</v>
      </c>
      <c r="J37" s="36">
        <f t="shared" si="1"/>
        <v>-3.7634960899204373E-3</v>
      </c>
    </row>
    <row r="38" spans="5:10">
      <c r="E38" s="34">
        <v>44252</v>
      </c>
      <c r="F38" s="1">
        <v>1165.43</v>
      </c>
      <c r="G38" s="35">
        <v>80564.89</v>
      </c>
      <c r="I38" s="36">
        <f t="shared" si="0"/>
        <v>2.9431760483988878E-3</v>
      </c>
      <c r="J38" s="36">
        <f t="shared" si="1"/>
        <v>1.1872706202079142E-2</v>
      </c>
    </row>
    <row r="39" spans="5:10">
      <c r="E39" s="34">
        <v>44253</v>
      </c>
      <c r="F39" s="1">
        <v>1168.47</v>
      </c>
      <c r="G39" s="35">
        <v>80779.73</v>
      </c>
      <c r="I39" s="36">
        <f t="shared" si="0"/>
        <v>2.6084792737444129E-3</v>
      </c>
      <c r="J39" s="36">
        <f t="shared" si="1"/>
        <v>2.6666703076241305E-3</v>
      </c>
    </row>
    <row r="40" spans="5:10">
      <c r="E40" s="34">
        <v>44256</v>
      </c>
      <c r="F40" s="1">
        <v>1186.17</v>
      </c>
      <c r="G40" s="35">
        <v>80693.789999999994</v>
      </c>
      <c r="I40" s="36">
        <f t="shared" si="0"/>
        <v>1.5148014069680915E-2</v>
      </c>
      <c r="J40" s="36">
        <f t="shared" si="1"/>
        <v>-1.0638807532533656E-3</v>
      </c>
    </row>
    <row r="41" spans="5:10">
      <c r="E41" s="34">
        <v>44257</v>
      </c>
      <c r="F41" s="1">
        <v>1186.6099999999999</v>
      </c>
      <c r="G41" s="35">
        <v>80305</v>
      </c>
      <c r="I41" s="36">
        <f t="shared" si="0"/>
        <v>3.7094177057239719E-4</v>
      </c>
      <c r="J41" s="36">
        <f t="shared" si="1"/>
        <v>-4.8180907105738191E-3</v>
      </c>
    </row>
    <row r="42" spans="5:10">
      <c r="E42" s="34">
        <v>44258</v>
      </c>
      <c r="F42" s="1">
        <v>1186.95</v>
      </c>
      <c r="G42" s="35">
        <v>79178.820000000007</v>
      </c>
      <c r="I42" s="36">
        <f t="shared" si="0"/>
        <v>2.8653053657068384E-4</v>
      </c>
      <c r="J42" s="36">
        <f t="shared" si="1"/>
        <v>-1.4023784322271249E-2</v>
      </c>
    </row>
    <row r="43" spans="5:10">
      <c r="E43" s="34">
        <v>44259</v>
      </c>
      <c r="F43" s="1">
        <v>1168.52</v>
      </c>
      <c r="G43" s="35">
        <v>77099.73</v>
      </c>
      <c r="I43" s="36">
        <f t="shared" si="0"/>
        <v>-1.552719154134552E-2</v>
      </c>
      <c r="J43" s="36">
        <f t="shared" si="1"/>
        <v>-2.6258158431762602E-2</v>
      </c>
    </row>
    <row r="44" spans="5:10">
      <c r="E44" s="34">
        <v>44260</v>
      </c>
      <c r="F44" s="1">
        <v>1168.69</v>
      </c>
      <c r="G44" s="35">
        <v>76450.009999999995</v>
      </c>
      <c r="I44" s="36">
        <f t="shared" si="0"/>
        <v>1.4548317529872179E-4</v>
      </c>
      <c r="J44" s="36">
        <f t="shared" si="1"/>
        <v>-8.4270074616344948E-3</v>
      </c>
    </row>
    <row r="45" spans="5:10">
      <c r="E45" s="34">
        <v>44263</v>
      </c>
      <c r="F45" s="1">
        <v>1168.27</v>
      </c>
      <c r="G45" s="35">
        <v>75800.3</v>
      </c>
      <c r="I45" s="36">
        <f t="shared" si="0"/>
        <v>-3.5937673805719328E-4</v>
      </c>
      <c r="J45" s="36">
        <f t="shared" si="1"/>
        <v>-8.4984946372144154E-3</v>
      </c>
    </row>
    <row r="46" spans="5:10">
      <c r="E46" s="34">
        <v>44264</v>
      </c>
      <c r="F46" s="1">
        <v>1161.97</v>
      </c>
      <c r="G46" s="35">
        <v>74934.009999999995</v>
      </c>
      <c r="I46" s="36">
        <f t="shared" si="0"/>
        <v>-5.39258904191664E-3</v>
      </c>
      <c r="J46" s="36">
        <f t="shared" si="1"/>
        <v>-1.1428582736480064E-2</v>
      </c>
    </row>
    <row r="47" spans="5:10">
      <c r="E47" s="34">
        <v>44265</v>
      </c>
      <c r="F47" s="1">
        <v>1170.08</v>
      </c>
      <c r="G47" s="35">
        <v>75063.95</v>
      </c>
      <c r="I47" s="36">
        <f t="shared" si="0"/>
        <v>6.9795261495562144E-3</v>
      </c>
      <c r="J47" s="36">
        <f t="shared" si="1"/>
        <v>1.7340590741106165E-3</v>
      </c>
    </row>
    <row r="48" spans="5:10">
      <c r="E48" s="34">
        <v>44266</v>
      </c>
      <c r="F48" s="1">
        <v>1181.73</v>
      </c>
      <c r="G48" s="35">
        <v>76233.440000000002</v>
      </c>
      <c r="I48" s="36">
        <f t="shared" si="0"/>
        <v>9.9565841651854115E-3</v>
      </c>
      <c r="J48" s="36">
        <f t="shared" si="1"/>
        <v>1.5579915525362198E-2</v>
      </c>
    </row>
    <row r="49" spans="5:10">
      <c r="E49" s="34">
        <v>44267</v>
      </c>
      <c r="F49" s="1">
        <v>1181.56</v>
      </c>
      <c r="G49" s="35">
        <v>77099.73</v>
      </c>
      <c r="I49" s="36">
        <f t="shared" si="0"/>
        <v>-1.4385688778317807E-4</v>
      </c>
      <c r="J49" s="36">
        <f t="shared" si="1"/>
        <v>1.1363648288729822E-2</v>
      </c>
    </row>
    <row r="50" spans="5:10">
      <c r="E50" s="34">
        <v>44270</v>
      </c>
      <c r="F50" s="1">
        <v>1184.56</v>
      </c>
      <c r="G50" s="35">
        <v>76666.59</v>
      </c>
      <c r="I50" s="36">
        <f t="shared" si="0"/>
        <v>2.5390162158502871E-3</v>
      </c>
      <c r="J50" s="36">
        <f t="shared" si="1"/>
        <v>-5.6179185063294224E-3</v>
      </c>
    </row>
    <row r="51" spans="5:10">
      <c r="E51" s="34">
        <v>44271</v>
      </c>
      <c r="F51" s="1">
        <v>1179.9000000000001</v>
      </c>
      <c r="G51" s="35">
        <v>78225.91</v>
      </c>
      <c r="I51" s="36">
        <f t="shared" si="0"/>
        <v>-3.9339501587085657E-3</v>
      </c>
      <c r="J51" s="36">
        <f t="shared" si="1"/>
        <v>2.0338976860716063E-2</v>
      </c>
    </row>
    <row r="52" spans="5:10">
      <c r="E52" s="34">
        <v>44272</v>
      </c>
      <c r="F52" s="1">
        <v>1186.0899999999999</v>
      </c>
      <c r="G52" s="35">
        <v>77619.5</v>
      </c>
      <c r="I52" s="36">
        <f t="shared" si="0"/>
        <v>5.2462073057037983E-3</v>
      </c>
      <c r="J52" s="36">
        <f t="shared" si="1"/>
        <v>-7.7520350993680598E-3</v>
      </c>
    </row>
    <row r="53" spans="5:10">
      <c r="E53" s="34">
        <v>44273</v>
      </c>
      <c r="F53" s="1">
        <v>1200.94</v>
      </c>
      <c r="G53" s="35">
        <v>78225.91</v>
      </c>
      <c r="I53" s="36">
        <f t="shared" si="0"/>
        <v>1.2520129163891447E-2</v>
      </c>
      <c r="J53" s="36">
        <f t="shared" si="1"/>
        <v>7.8125986382289181E-3</v>
      </c>
    </row>
    <row r="54" spans="5:10">
      <c r="E54" s="34">
        <v>44274</v>
      </c>
      <c r="F54" s="1">
        <v>1194.05</v>
      </c>
      <c r="G54" s="35">
        <v>77966.02</v>
      </c>
      <c r="I54" s="36">
        <f t="shared" si="0"/>
        <v>-5.7371725481706326E-3</v>
      </c>
      <c r="J54" s="36">
        <f t="shared" si="1"/>
        <v>-3.3223007568720098E-3</v>
      </c>
    </row>
    <row r="55" spans="5:10">
      <c r="E55" s="34">
        <v>44277</v>
      </c>
      <c r="F55" s="1">
        <v>1194.43</v>
      </c>
      <c r="G55" s="35">
        <v>77532.87</v>
      </c>
      <c r="I55" s="36">
        <f t="shared" si="0"/>
        <v>3.1824462962193323E-4</v>
      </c>
      <c r="J55" s="36">
        <f t="shared" si="1"/>
        <v>-5.5556253865467475E-3</v>
      </c>
    </row>
    <row r="56" spans="5:10">
      <c r="E56" s="34">
        <v>44278</v>
      </c>
      <c r="F56" s="1">
        <v>1183.45</v>
      </c>
      <c r="G56" s="35">
        <v>77099.73</v>
      </c>
      <c r="I56" s="36">
        <f t="shared" si="0"/>
        <v>-9.1926693066985976E-3</v>
      </c>
      <c r="J56" s="36">
        <f t="shared" si="1"/>
        <v>-5.5865338146259269E-3</v>
      </c>
    </row>
    <row r="57" spans="5:10">
      <c r="E57" s="34">
        <v>44279</v>
      </c>
      <c r="F57" s="1">
        <v>1161.81</v>
      </c>
      <c r="G57" s="35">
        <v>76016.87</v>
      </c>
      <c r="I57" s="36">
        <f t="shared" si="0"/>
        <v>-1.8285521145802619E-2</v>
      </c>
      <c r="J57" s="36">
        <f t="shared" si="1"/>
        <v>-1.4044925967963806E-2</v>
      </c>
    </row>
    <row r="58" spans="5:10">
      <c r="E58" s="34">
        <v>44280</v>
      </c>
      <c r="F58" s="1">
        <v>1163.0999999999999</v>
      </c>
      <c r="G58" s="35">
        <v>75800.3</v>
      </c>
      <c r="I58" s="36">
        <f t="shared" si="0"/>
        <v>1.1103364577684793E-3</v>
      </c>
      <c r="J58" s="36">
        <f t="shared" si="1"/>
        <v>-2.8489728661544866E-3</v>
      </c>
    </row>
    <row r="59" spans="5:10">
      <c r="E59" s="34">
        <v>44281</v>
      </c>
      <c r="F59" s="1">
        <v>1162.21</v>
      </c>
      <c r="G59" s="35">
        <v>74934.009999999995</v>
      </c>
      <c r="I59" s="36">
        <f t="shared" si="0"/>
        <v>-7.6519645774209E-4</v>
      </c>
      <c r="J59" s="36">
        <f t="shared" si="1"/>
        <v>-1.1428582736480064E-2</v>
      </c>
    </row>
    <row r="60" spans="5:10">
      <c r="E60" s="34">
        <v>44284</v>
      </c>
      <c r="F60" s="1">
        <v>1175.68</v>
      </c>
      <c r="G60" s="35">
        <v>75063.95</v>
      </c>
      <c r="I60" s="36">
        <f t="shared" si="0"/>
        <v>1.1589988040027199E-2</v>
      </c>
      <c r="J60" s="36">
        <f t="shared" si="1"/>
        <v>1.7340590741106165E-3</v>
      </c>
    </row>
    <row r="61" spans="5:10">
      <c r="E61" s="34">
        <v>44285</v>
      </c>
      <c r="F61" s="1">
        <v>1186.3599999999999</v>
      </c>
      <c r="G61" s="35">
        <v>75800.3</v>
      </c>
      <c r="I61" s="36">
        <f t="shared" si="0"/>
        <v>9.0841045182361579E-3</v>
      </c>
      <c r="J61" s="36">
        <f t="shared" si="1"/>
        <v>9.8096356506685023E-3</v>
      </c>
    </row>
    <row r="62" spans="5:10">
      <c r="E62" s="34">
        <v>44286</v>
      </c>
      <c r="F62" s="1">
        <v>1191.44</v>
      </c>
      <c r="G62" s="35">
        <v>77966.02</v>
      </c>
      <c r="I62" s="36">
        <f t="shared" si="0"/>
        <v>4.2820054620857917E-3</v>
      </c>
      <c r="J62" s="36">
        <f t="shared" si="1"/>
        <v>2.8571390878400216E-2</v>
      </c>
    </row>
    <row r="63" spans="5:10">
      <c r="E63" s="34">
        <v>44287</v>
      </c>
      <c r="F63" s="1">
        <v>1216.0999999999999</v>
      </c>
      <c r="G63" s="35">
        <v>77532.87</v>
      </c>
      <c r="I63" s="36">
        <f t="shared" si="0"/>
        <v>2.0697643188074766E-2</v>
      </c>
      <c r="J63" s="36">
        <f t="shared" si="1"/>
        <v>-5.5556253865467475E-3</v>
      </c>
    </row>
    <row r="64" spans="5:10">
      <c r="E64" s="34">
        <v>44288</v>
      </c>
      <c r="F64" s="1">
        <v>1224.45</v>
      </c>
      <c r="G64" s="35">
        <v>77966.02</v>
      </c>
      <c r="I64" s="36">
        <f t="shared" si="0"/>
        <v>6.8662116602253853E-3</v>
      </c>
      <c r="J64" s="36">
        <f t="shared" si="1"/>
        <v>5.5866627921810075E-3</v>
      </c>
    </row>
    <row r="65" spans="5:10">
      <c r="E65" s="34">
        <v>44291</v>
      </c>
      <c r="F65" s="1">
        <v>1236.05</v>
      </c>
      <c r="G65" s="35">
        <v>77749.45</v>
      </c>
      <c r="I65" s="36">
        <f t="shared" si="0"/>
        <v>9.4736412266731573E-3</v>
      </c>
      <c r="J65" s="36">
        <f t="shared" si="1"/>
        <v>-2.7777485627714649E-3</v>
      </c>
    </row>
    <row r="66" spans="5:10">
      <c r="E66" s="34">
        <v>44292</v>
      </c>
      <c r="F66" s="1">
        <v>1239.96</v>
      </c>
      <c r="G66" s="35">
        <v>77099.73</v>
      </c>
      <c r="I66" s="36">
        <f t="shared" si="0"/>
        <v>3.1633024554023059E-3</v>
      </c>
      <c r="J66" s="36">
        <f t="shared" si="1"/>
        <v>-8.3565864453060135E-3</v>
      </c>
    </row>
    <row r="67" spans="5:10">
      <c r="E67" s="34">
        <v>44293</v>
      </c>
      <c r="F67" s="1">
        <v>1242.3800000000001</v>
      </c>
      <c r="G67" s="35">
        <v>76666.59</v>
      </c>
      <c r="I67" s="36">
        <f t="shared" si="0"/>
        <v>1.9516758605115925E-3</v>
      </c>
      <c r="J67" s="36">
        <f t="shared" si="1"/>
        <v>-5.6179185063294224E-3</v>
      </c>
    </row>
    <row r="68" spans="5:10">
      <c r="E68" s="34">
        <v>44294</v>
      </c>
      <c r="F68" s="1">
        <v>1234.8900000000001</v>
      </c>
      <c r="G68" s="35">
        <v>75367.149999999994</v>
      </c>
      <c r="I68" s="36">
        <f t="shared" si="0"/>
        <v>-6.0287512677280608E-3</v>
      </c>
      <c r="J68" s="36">
        <f t="shared" si="1"/>
        <v>-1.6949234340538744E-2</v>
      </c>
    </row>
    <row r="69" spans="5:10">
      <c r="E69" s="34">
        <v>44295</v>
      </c>
      <c r="F69" s="1">
        <v>1231.6600000000001</v>
      </c>
      <c r="G69" s="35">
        <v>75367.149999999994</v>
      </c>
      <c r="I69" s="36">
        <f t="shared" si="0"/>
        <v>-2.6156175853719876E-3</v>
      </c>
      <c r="J69" s="36">
        <f t="shared" si="1"/>
        <v>0</v>
      </c>
    </row>
    <row r="70" spans="5:10">
      <c r="E70" s="34">
        <v>44298</v>
      </c>
      <c r="F70" s="1">
        <v>1252.45</v>
      </c>
      <c r="G70" s="35">
        <v>75800.3</v>
      </c>
      <c r="I70" s="36">
        <f t="shared" si="0"/>
        <v>1.6879658347271231E-2</v>
      </c>
      <c r="J70" s="36">
        <f t="shared" si="1"/>
        <v>5.7471988790873674E-3</v>
      </c>
    </row>
    <row r="71" spans="5:10">
      <c r="E71" s="34">
        <v>44299</v>
      </c>
      <c r="F71" s="1">
        <v>1248.33</v>
      </c>
      <c r="G71" s="35">
        <v>75107.27</v>
      </c>
      <c r="I71" s="36">
        <f t="shared" ref="I71:I134" si="2">F71/F70-1</f>
        <v>-3.2895524771449081E-3</v>
      </c>
      <c r="J71" s="36">
        <f t="shared" ref="J71:J134" si="3">G71/G70-1</f>
        <v>-9.1428398040640513E-3</v>
      </c>
    </row>
    <row r="72" spans="5:10">
      <c r="E72" s="34">
        <v>44300</v>
      </c>
      <c r="F72" s="1">
        <v>1255.8699999999999</v>
      </c>
      <c r="G72" s="35">
        <v>74804.06</v>
      </c>
      <c r="I72" s="36">
        <f t="shared" si="2"/>
        <v>6.0400695328959308E-3</v>
      </c>
      <c r="J72" s="36">
        <f t="shared" si="3"/>
        <v>-4.037025976313724E-3</v>
      </c>
    </row>
    <row r="73" spans="5:10">
      <c r="E73" s="34">
        <v>44301</v>
      </c>
      <c r="F73" s="1">
        <v>1247.25</v>
      </c>
      <c r="G73" s="35">
        <v>74370.92</v>
      </c>
      <c r="I73" s="36">
        <f t="shared" si="2"/>
        <v>-6.863767746661642E-3</v>
      </c>
      <c r="J73" s="36">
        <f t="shared" si="3"/>
        <v>-5.7903274234045732E-3</v>
      </c>
    </row>
    <row r="74" spans="5:10">
      <c r="E74" s="34">
        <v>44302</v>
      </c>
      <c r="F74" s="1">
        <v>1238.71</v>
      </c>
      <c r="G74" s="35">
        <v>73244.740000000005</v>
      </c>
      <c r="I74" s="36">
        <f t="shared" si="2"/>
        <v>-6.8470635397874791E-3</v>
      </c>
      <c r="J74" s="36">
        <f t="shared" si="3"/>
        <v>-1.5142746654202899E-2</v>
      </c>
    </row>
    <row r="75" spans="5:10">
      <c r="E75" s="34">
        <v>44305</v>
      </c>
      <c r="F75" s="1">
        <v>1260.58</v>
      </c>
      <c r="G75" s="35">
        <v>73634.570000000007</v>
      </c>
      <c r="I75" s="36">
        <f t="shared" si="2"/>
        <v>1.7655464152222855E-2</v>
      </c>
      <c r="J75" s="36">
        <f t="shared" si="3"/>
        <v>5.3222934506969022E-3</v>
      </c>
    </row>
    <row r="76" spans="5:10">
      <c r="E76" s="34">
        <v>44306</v>
      </c>
      <c r="F76" s="1">
        <v>1268.28</v>
      </c>
      <c r="G76" s="35">
        <v>73634.570000000007</v>
      </c>
      <c r="I76" s="36">
        <f t="shared" si="2"/>
        <v>6.1082993542656006E-3</v>
      </c>
      <c r="J76" s="36">
        <f t="shared" si="3"/>
        <v>0</v>
      </c>
    </row>
    <row r="77" spans="5:10">
      <c r="E77" s="34">
        <v>44308</v>
      </c>
      <c r="F77" s="1">
        <v>1227.82</v>
      </c>
      <c r="G77" s="35">
        <v>72595.03</v>
      </c>
      <c r="I77" s="36">
        <f t="shared" si="2"/>
        <v>-3.1901472860882518E-2</v>
      </c>
      <c r="J77" s="36">
        <f t="shared" si="3"/>
        <v>-1.4117553752266199E-2</v>
      </c>
    </row>
    <row r="78" spans="5:10">
      <c r="E78" s="34">
        <v>44309</v>
      </c>
      <c r="F78" s="1">
        <v>1248.53</v>
      </c>
      <c r="G78" s="35">
        <v>73634.570000000007</v>
      </c>
      <c r="I78" s="36">
        <f t="shared" si="2"/>
        <v>1.6867293251453752E-2</v>
      </c>
      <c r="J78" s="36">
        <f t="shared" si="3"/>
        <v>1.4319713071266893E-2</v>
      </c>
    </row>
    <row r="79" spans="5:10">
      <c r="E79" s="34">
        <v>44312</v>
      </c>
      <c r="F79" s="1">
        <v>1215.77</v>
      </c>
      <c r="G79" s="35">
        <v>73634.570000000007</v>
      </c>
      <c r="I79" s="36">
        <f t="shared" si="2"/>
        <v>-2.6238856895709373E-2</v>
      </c>
      <c r="J79" s="36">
        <f t="shared" si="3"/>
        <v>0</v>
      </c>
    </row>
    <row r="80" spans="5:10">
      <c r="E80" s="34">
        <v>44313</v>
      </c>
      <c r="F80" s="1">
        <v>1219.75</v>
      </c>
      <c r="G80" s="35">
        <v>73547.94</v>
      </c>
      <c r="I80" s="36">
        <f t="shared" si="2"/>
        <v>3.2736455086077587E-3</v>
      </c>
      <c r="J80" s="36">
        <f t="shared" si="3"/>
        <v>-1.1764854469851205E-3</v>
      </c>
    </row>
    <row r="81" spans="5:10">
      <c r="E81" s="34">
        <v>44314</v>
      </c>
      <c r="F81" s="1">
        <v>1229.55</v>
      </c>
      <c r="G81" s="35">
        <v>73547.94</v>
      </c>
      <c r="I81" s="36">
        <f t="shared" si="2"/>
        <v>8.0344332855093459E-3</v>
      </c>
      <c r="J81" s="36">
        <f t="shared" si="3"/>
        <v>0</v>
      </c>
    </row>
    <row r="82" spans="5:10">
      <c r="E82" s="34">
        <v>44315</v>
      </c>
      <c r="F82" s="1">
        <v>1239.3900000000001</v>
      </c>
      <c r="G82" s="35">
        <v>72378.45</v>
      </c>
      <c r="I82" s="36">
        <f t="shared" si="2"/>
        <v>8.0029279004514287E-3</v>
      </c>
      <c r="J82" s="36">
        <f t="shared" si="3"/>
        <v>-1.5901057188005607E-2</v>
      </c>
    </row>
    <row r="83" spans="5:10">
      <c r="E83" s="34">
        <v>44320</v>
      </c>
      <c r="F83" s="1">
        <v>1242.2</v>
      </c>
      <c r="G83" s="35">
        <v>69822.899999999994</v>
      </c>
      <c r="I83" s="36">
        <f t="shared" si="2"/>
        <v>2.2672443702143052E-3</v>
      </c>
      <c r="J83" s="36">
        <f t="shared" si="3"/>
        <v>-3.5308161476240607E-2</v>
      </c>
    </row>
    <row r="84" spans="5:10">
      <c r="E84" s="34">
        <v>44321</v>
      </c>
      <c r="F84" s="1">
        <v>1256.43</v>
      </c>
      <c r="G84" s="35">
        <v>69476.39</v>
      </c>
      <c r="I84" s="36">
        <f t="shared" si="2"/>
        <v>1.1455482208984069E-2</v>
      </c>
      <c r="J84" s="36">
        <f t="shared" si="3"/>
        <v>-4.9626984843080812E-3</v>
      </c>
    </row>
    <row r="85" spans="5:10">
      <c r="E85" s="34">
        <v>44322</v>
      </c>
      <c r="F85" s="1">
        <v>1250.57</v>
      </c>
      <c r="G85" s="35">
        <v>67570.55</v>
      </c>
      <c r="I85" s="36">
        <f t="shared" si="2"/>
        <v>-4.6640083410934841E-3</v>
      </c>
      <c r="J85" s="36">
        <f t="shared" si="3"/>
        <v>-2.7431477081638733E-2</v>
      </c>
    </row>
    <row r="86" spans="5:10">
      <c r="E86" s="34">
        <v>44323</v>
      </c>
      <c r="F86" s="1">
        <v>1241.81</v>
      </c>
      <c r="G86" s="35">
        <v>66271.12</v>
      </c>
      <c r="I86" s="36">
        <f t="shared" si="2"/>
        <v>-7.0048058085513398E-3</v>
      </c>
      <c r="J86" s="36">
        <f t="shared" si="3"/>
        <v>-1.9230715156233091E-2</v>
      </c>
    </row>
    <row r="87" spans="5:10">
      <c r="E87" s="34">
        <v>44326</v>
      </c>
      <c r="F87" s="1">
        <v>1259.58</v>
      </c>
      <c r="G87" s="35">
        <v>65188.25</v>
      </c>
      <c r="I87" s="36">
        <f t="shared" si="2"/>
        <v>1.4309757531345335E-2</v>
      </c>
      <c r="J87" s="36">
        <f t="shared" si="3"/>
        <v>-1.6339998478975382E-2</v>
      </c>
    </row>
    <row r="88" spans="5:10">
      <c r="E88" s="34">
        <v>44327</v>
      </c>
      <c r="F88" s="1">
        <v>1256.04</v>
      </c>
      <c r="G88" s="35">
        <v>65924.600000000006</v>
      </c>
      <c r="I88" s="36">
        <f t="shared" si="2"/>
        <v>-2.8104606297336687E-3</v>
      </c>
      <c r="J88" s="36">
        <f t="shared" si="3"/>
        <v>1.1295747316425908E-2</v>
      </c>
    </row>
    <row r="89" spans="5:10">
      <c r="E89" s="34">
        <v>44328</v>
      </c>
      <c r="F89" s="1">
        <v>1269.0899999999999</v>
      </c>
      <c r="G89" s="35">
        <v>65708.03</v>
      </c>
      <c r="I89" s="36">
        <f t="shared" si="2"/>
        <v>1.0389796503295967E-2</v>
      </c>
      <c r="J89" s="36">
        <f t="shared" si="3"/>
        <v>-3.2851166332447113E-3</v>
      </c>
    </row>
    <row r="90" spans="5:10">
      <c r="E90" s="34">
        <v>44329</v>
      </c>
      <c r="F90" s="1">
        <v>1261.99</v>
      </c>
      <c r="G90" s="35">
        <v>66790.89</v>
      </c>
      <c r="I90" s="36">
        <f t="shared" si="2"/>
        <v>-5.5945598814898245E-3</v>
      </c>
      <c r="J90" s="36">
        <f t="shared" si="3"/>
        <v>1.6479873160099245E-2</v>
      </c>
    </row>
    <row r="91" spans="5:10">
      <c r="E91" s="34">
        <v>44330</v>
      </c>
      <c r="F91" s="1">
        <v>1266.3599999999999</v>
      </c>
      <c r="G91" s="35">
        <v>67094.09</v>
      </c>
      <c r="I91" s="36">
        <f t="shared" si="2"/>
        <v>3.4627849666002408E-3</v>
      </c>
      <c r="J91" s="36">
        <f t="shared" si="3"/>
        <v>4.5395412458195672E-3</v>
      </c>
    </row>
    <row r="92" spans="5:10">
      <c r="E92" s="34">
        <v>44333</v>
      </c>
      <c r="F92" s="1">
        <v>1258.7</v>
      </c>
      <c r="G92" s="35">
        <v>66920.83</v>
      </c>
      <c r="I92" s="36">
        <f t="shared" si="2"/>
        <v>-6.0488328753276477E-3</v>
      </c>
      <c r="J92" s="36">
        <f t="shared" si="3"/>
        <v>-2.5823436907780328E-3</v>
      </c>
    </row>
    <row r="93" spans="5:10">
      <c r="E93" s="34">
        <v>44334</v>
      </c>
      <c r="F93" s="1">
        <v>1252.68</v>
      </c>
      <c r="G93" s="35">
        <v>66704.259999999995</v>
      </c>
      <c r="I93" s="36">
        <f t="shared" si="2"/>
        <v>-4.7827123222372592E-3</v>
      </c>
      <c r="J93" s="36">
        <f t="shared" si="3"/>
        <v>-3.2362121031673796E-3</v>
      </c>
    </row>
    <row r="94" spans="5:10">
      <c r="E94" s="34">
        <v>44335</v>
      </c>
      <c r="F94" s="1">
        <v>1262.49</v>
      </c>
      <c r="G94" s="35">
        <v>66487.69</v>
      </c>
      <c r="I94" s="36">
        <f t="shared" si="2"/>
        <v>7.8312098860042756E-3</v>
      </c>
      <c r="J94" s="36">
        <f t="shared" si="3"/>
        <v>-3.2467191750570334E-3</v>
      </c>
    </row>
    <row r="95" spans="5:10">
      <c r="E95" s="34">
        <v>44336</v>
      </c>
      <c r="F95" s="1">
        <v>1278.22</v>
      </c>
      <c r="G95" s="35">
        <v>65881.289999999994</v>
      </c>
      <c r="I95" s="36">
        <f t="shared" si="2"/>
        <v>1.2459504629739548E-2</v>
      </c>
      <c r="J95" s="36">
        <f t="shared" si="3"/>
        <v>-9.1204853108900474E-3</v>
      </c>
    </row>
    <row r="96" spans="5:10">
      <c r="E96" s="34">
        <v>44337</v>
      </c>
      <c r="F96" s="1">
        <v>1283.93</v>
      </c>
      <c r="G96" s="35">
        <v>65058.31</v>
      </c>
      <c r="I96" s="36">
        <f t="shared" si="2"/>
        <v>4.4671496299542035E-3</v>
      </c>
      <c r="J96" s="36">
        <f t="shared" si="3"/>
        <v>-1.2491862257099084E-2</v>
      </c>
    </row>
    <row r="97" spans="5:10">
      <c r="E97" s="34">
        <v>44340</v>
      </c>
      <c r="F97" s="1">
        <v>1297.98</v>
      </c>
      <c r="G97" s="35">
        <v>66660.95</v>
      </c>
      <c r="I97" s="36">
        <f t="shared" si="2"/>
        <v>1.094296418029006E-2</v>
      </c>
      <c r="J97" s="36">
        <f t="shared" si="3"/>
        <v>2.4633901495443089E-2</v>
      </c>
    </row>
    <row r="98" spans="5:10">
      <c r="E98" s="34">
        <v>44341</v>
      </c>
      <c r="F98" s="1">
        <v>1308.58</v>
      </c>
      <c r="G98" s="35">
        <v>68393.52</v>
      </c>
      <c r="I98" s="36">
        <f t="shared" si="2"/>
        <v>8.1665356939242262E-3</v>
      </c>
      <c r="J98" s="36">
        <f t="shared" si="3"/>
        <v>2.5990778709274354E-2</v>
      </c>
    </row>
    <row r="99" spans="5:10">
      <c r="E99" s="34">
        <v>44342</v>
      </c>
      <c r="F99" s="1">
        <v>1316.7</v>
      </c>
      <c r="G99" s="35">
        <v>70949.08</v>
      </c>
      <c r="I99" s="36">
        <f t="shared" si="2"/>
        <v>6.2051995292609075E-3</v>
      </c>
      <c r="J99" s="36">
        <f t="shared" si="3"/>
        <v>3.7365528196238396E-2</v>
      </c>
    </row>
    <row r="100" spans="5:10">
      <c r="E100" s="34">
        <v>44343</v>
      </c>
      <c r="F100" s="1">
        <v>1303.57</v>
      </c>
      <c r="G100" s="35">
        <v>70602.559999999998</v>
      </c>
      <c r="I100" s="36">
        <f t="shared" si="2"/>
        <v>-9.9718994455837429E-3</v>
      </c>
      <c r="J100" s="36">
        <f t="shared" si="3"/>
        <v>-4.88406614997694E-3</v>
      </c>
    </row>
    <row r="101" spans="5:10">
      <c r="E101" s="34">
        <v>44344</v>
      </c>
      <c r="F101" s="1">
        <v>1320.46</v>
      </c>
      <c r="G101" s="35">
        <v>69952.850000000006</v>
      </c>
      <c r="I101" s="36">
        <f t="shared" si="2"/>
        <v>1.2956726527919571E-2</v>
      </c>
      <c r="J101" s="36">
        <f t="shared" si="3"/>
        <v>-9.2023575349108322E-3</v>
      </c>
    </row>
    <row r="102" spans="5:10">
      <c r="E102" s="34">
        <v>44347</v>
      </c>
      <c r="F102" s="1">
        <v>1328.05</v>
      </c>
      <c r="G102" s="35">
        <v>67353.98</v>
      </c>
      <c r="I102" s="36">
        <f t="shared" si="2"/>
        <v>5.7479969101676964E-3</v>
      </c>
      <c r="J102" s="36">
        <f t="shared" si="3"/>
        <v>-3.7151738635381015E-2</v>
      </c>
    </row>
    <row r="103" spans="5:10">
      <c r="E103" s="34">
        <v>44348</v>
      </c>
      <c r="F103" s="1">
        <v>1337.78</v>
      </c>
      <c r="G103" s="35">
        <v>66704.259999999995</v>
      </c>
      <c r="I103" s="36">
        <f t="shared" si="2"/>
        <v>7.3265313805956911E-3</v>
      </c>
      <c r="J103" s="36">
        <f t="shared" si="3"/>
        <v>-9.6463490353502213E-3</v>
      </c>
    </row>
    <row r="104" spans="5:10">
      <c r="E104" s="34">
        <v>44349</v>
      </c>
      <c r="F104" s="1">
        <v>1340.78</v>
      </c>
      <c r="G104" s="35">
        <v>65837.97</v>
      </c>
      <c r="I104" s="36">
        <f t="shared" si="2"/>
        <v>2.2425211918253307E-3</v>
      </c>
      <c r="J104" s="36">
        <f t="shared" si="3"/>
        <v>-1.2987026615691288E-2</v>
      </c>
    </row>
    <row r="105" spans="5:10">
      <c r="E105" s="34">
        <v>44350</v>
      </c>
      <c r="F105" s="1">
        <v>1364.28</v>
      </c>
      <c r="G105" s="35">
        <v>66660.95</v>
      </c>
      <c r="I105" s="36">
        <f t="shared" si="2"/>
        <v>1.7527111084592484E-2</v>
      </c>
      <c r="J105" s="36">
        <f t="shared" si="3"/>
        <v>1.2500081639819527E-2</v>
      </c>
    </row>
    <row r="106" spans="5:10">
      <c r="E106" s="34">
        <v>44351</v>
      </c>
      <c r="F106" s="1">
        <v>1374.05</v>
      </c>
      <c r="G106" s="35">
        <v>66574.320000000007</v>
      </c>
      <c r="I106" s="36">
        <f t="shared" si="2"/>
        <v>7.1612865394199421E-3</v>
      </c>
      <c r="J106" s="36">
        <f t="shared" si="3"/>
        <v>-1.2995614373930708E-3</v>
      </c>
    </row>
    <row r="107" spans="5:10">
      <c r="E107" s="34">
        <v>44354</v>
      </c>
      <c r="F107" s="1">
        <v>1358.78</v>
      </c>
      <c r="G107" s="35">
        <v>67180.72</v>
      </c>
      <c r="I107" s="36">
        <f t="shared" si="2"/>
        <v>-1.1113132709872242E-2</v>
      </c>
      <c r="J107" s="36">
        <f t="shared" si="3"/>
        <v>9.1086172566237078E-3</v>
      </c>
    </row>
    <row r="108" spans="5:10">
      <c r="E108" s="34">
        <v>44355</v>
      </c>
      <c r="F108" s="1">
        <v>1319.88</v>
      </c>
      <c r="G108" s="35">
        <v>67917.070000000007</v>
      </c>
      <c r="I108" s="36">
        <f t="shared" si="2"/>
        <v>-2.8628622735100473E-2</v>
      </c>
      <c r="J108" s="36">
        <f t="shared" si="3"/>
        <v>1.0960733972485093E-2</v>
      </c>
    </row>
    <row r="109" spans="5:10">
      <c r="E109" s="34">
        <v>44356</v>
      </c>
      <c r="F109" s="1">
        <v>1332.9</v>
      </c>
      <c r="G109" s="35">
        <v>67960.38</v>
      </c>
      <c r="I109" s="36">
        <f t="shared" si="2"/>
        <v>9.8645331393762969E-3</v>
      </c>
      <c r="J109" s="36">
        <f t="shared" si="3"/>
        <v>6.3768946451903119E-4</v>
      </c>
    </row>
    <row r="110" spans="5:10">
      <c r="E110" s="34">
        <v>44357</v>
      </c>
      <c r="F110" s="1">
        <v>1323.58</v>
      </c>
      <c r="G110" s="35">
        <v>69303.13</v>
      </c>
      <c r="I110" s="36">
        <f t="shared" si="2"/>
        <v>-6.9922724885589371E-3</v>
      </c>
      <c r="J110" s="36">
        <f t="shared" si="3"/>
        <v>1.9757835374081267E-2</v>
      </c>
    </row>
    <row r="111" spans="5:10">
      <c r="E111" s="34">
        <v>44358</v>
      </c>
      <c r="F111" s="1">
        <v>1351.74</v>
      </c>
      <c r="G111" s="35">
        <v>71079.02</v>
      </c>
      <c r="I111" s="36">
        <f t="shared" si="2"/>
        <v>2.1275631242539284E-2</v>
      </c>
      <c r="J111" s="36">
        <f t="shared" si="3"/>
        <v>2.5624960950537234E-2</v>
      </c>
    </row>
    <row r="112" spans="5:10">
      <c r="E112" s="34">
        <v>44361</v>
      </c>
      <c r="F112" s="1">
        <v>1361.72</v>
      </c>
      <c r="G112" s="35">
        <v>71685.42</v>
      </c>
      <c r="I112" s="36">
        <f t="shared" si="2"/>
        <v>7.3830766271620885E-3</v>
      </c>
      <c r="J112" s="36">
        <f t="shared" si="3"/>
        <v>8.5313500383092933E-3</v>
      </c>
    </row>
    <row r="113" spans="5:10">
      <c r="E113" s="34">
        <v>44362</v>
      </c>
      <c r="F113" s="1">
        <v>1367.36</v>
      </c>
      <c r="G113" s="35">
        <v>72984.86</v>
      </c>
      <c r="I113" s="36">
        <f t="shared" si="2"/>
        <v>4.1418206386041323E-3</v>
      </c>
      <c r="J113" s="36">
        <f t="shared" si="3"/>
        <v>1.8126977563917457E-2</v>
      </c>
    </row>
    <row r="114" spans="5:10">
      <c r="E114" s="34">
        <v>44363</v>
      </c>
      <c r="F114" s="1">
        <v>1356.52</v>
      </c>
      <c r="G114" s="35">
        <v>73201.429999999993</v>
      </c>
      <c r="I114" s="36">
        <f t="shared" si="2"/>
        <v>-7.9276854668850483E-3</v>
      </c>
      <c r="J114" s="36">
        <f t="shared" si="3"/>
        <v>2.967327744411552E-3</v>
      </c>
    </row>
    <row r="115" spans="5:10">
      <c r="E115" s="34">
        <v>44364</v>
      </c>
      <c r="F115" s="1">
        <v>1359.92</v>
      </c>
      <c r="G115" s="35">
        <v>71902</v>
      </c>
      <c r="I115" s="36">
        <f t="shared" si="2"/>
        <v>2.506413469760993E-3</v>
      </c>
      <c r="J115" s="36">
        <f t="shared" si="3"/>
        <v>-1.7751429172899957E-2</v>
      </c>
    </row>
    <row r="116" spans="5:10">
      <c r="E116" s="34">
        <v>44365</v>
      </c>
      <c r="F116" s="1">
        <v>1377.77</v>
      </c>
      <c r="G116" s="35">
        <v>74154.350000000006</v>
      </c>
      <c r="I116" s="36">
        <f t="shared" si="2"/>
        <v>1.3125772104241262E-2</v>
      </c>
      <c r="J116" s="36">
        <f t="shared" si="3"/>
        <v>3.1325276070206742E-2</v>
      </c>
    </row>
    <row r="117" spans="5:10">
      <c r="E117" s="34">
        <v>44368</v>
      </c>
      <c r="F117" s="1">
        <v>1372.63</v>
      </c>
      <c r="G117" s="35">
        <v>73634.570000000007</v>
      </c>
      <c r="I117" s="36">
        <f t="shared" si="2"/>
        <v>-3.7306662215027542E-3</v>
      </c>
      <c r="J117" s="36">
        <f t="shared" si="3"/>
        <v>-7.0094337014618979E-3</v>
      </c>
    </row>
    <row r="118" spans="5:10">
      <c r="E118" s="34">
        <v>44369</v>
      </c>
      <c r="F118" s="1">
        <v>1379.97</v>
      </c>
      <c r="G118" s="35">
        <v>72378.45</v>
      </c>
      <c r="I118" s="36">
        <f t="shared" si="2"/>
        <v>5.3473987891856645E-3</v>
      </c>
      <c r="J118" s="36">
        <f t="shared" si="3"/>
        <v>-1.7058835272617312E-2</v>
      </c>
    </row>
    <row r="119" spans="5:10">
      <c r="E119" s="34">
        <v>44370</v>
      </c>
      <c r="F119" s="1">
        <v>1376.87</v>
      </c>
      <c r="G119" s="35">
        <v>73721.2</v>
      </c>
      <c r="I119" s="36">
        <f t="shared" si="2"/>
        <v>-2.2464256469344468E-3</v>
      </c>
      <c r="J119" s="36">
        <f t="shared" si="3"/>
        <v>1.8551792695201463E-2</v>
      </c>
    </row>
    <row r="120" spans="5:10">
      <c r="E120" s="34">
        <v>44371</v>
      </c>
      <c r="F120" s="1">
        <v>1379.72</v>
      </c>
      <c r="G120" s="35">
        <v>74457.55</v>
      </c>
      <c r="I120" s="36">
        <f t="shared" si="2"/>
        <v>2.0699121921461394E-3</v>
      </c>
      <c r="J120" s="36">
        <f t="shared" si="3"/>
        <v>9.988307298307797E-3</v>
      </c>
    </row>
    <row r="121" spans="5:10">
      <c r="E121" s="34">
        <v>44372</v>
      </c>
      <c r="F121" s="1">
        <v>1390.12</v>
      </c>
      <c r="G121" s="35">
        <v>74457.55</v>
      </c>
      <c r="I121" s="36">
        <f t="shared" si="2"/>
        <v>7.5377612848983588E-3</v>
      </c>
      <c r="J121" s="36">
        <f t="shared" si="3"/>
        <v>0</v>
      </c>
    </row>
    <row r="122" spans="5:10">
      <c r="E122" s="34">
        <v>44375</v>
      </c>
      <c r="F122" s="1">
        <v>1405.81</v>
      </c>
      <c r="G122" s="35">
        <v>74111.03</v>
      </c>
      <c r="I122" s="36">
        <f t="shared" si="2"/>
        <v>1.1286795384571224E-2</v>
      </c>
      <c r="J122" s="36">
        <f t="shared" si="3"/>
        <v>-4.653926969125366E-3</v>
      </c>
    </row>
    <row r="123" spans="5:10">
      <c r="E123" s="34">
        <v>44376</v>
      </c>
      <c r="F123" s="1">
        <v>1410.04</v>
      </c>
      <c r="G123" s="35">
        <v>73461.320000000007</v>
      </c>
      <c r="I123" s="36">
        <f t="shared" si="2"/>
        <v>3.0089414643514889E-3</v>
      </c>
      <c r="J123" s="36">
        <f t="shared" si="3"/>
        <v>-8.7667112439266948E-3</v>
      </c>
    </row>
    <row r="124" spans="5:10">
      <c r="E124" s="34">
        <v>44377</v>
      </c>
      <c r="F124" s="1">
        <v>1408.55</v>
      </c>
      <c r="G124" s="35">
        <v>73244.740000000005</v>
      </c>
      <c r="I124" s="36">
        <f t="shared" si="2"/>
        <v>-1.0567076111316354E-3</v>
      </c>
      <c r="J124" s="36">
        <f t="shared" si="3"/>
        <v>-2.9482181915598815E-3</v>
      </c>
    </row>
    <row r="125" spans="5:10">
      <c r="E125" s="34">
        <v>44378</v>
      </c>
      <c r="F125" s="1">
        <v>1417.08</v>
      </c>
      <c r="G125" s="35">
        <v>72638.34</v>
      </c>
      <c r="I125" s="36">
        <f t="shared" si="2"/>
        <v>6.0558730609492351E-3</v>
      </c>
      <c r="J125" s="36">
        <f t="shared" si="3"/>
        <v>-8.2790928058452673E-3</v>
      </c>
    </row>
    <row r="126" spans="5:10">
      <c r="E126" s="34">
        <v>44379</v>
      </c>
      <c r="F126" s="1">
        <v>1420.27</v>
      </c>
      <c r="G126" s="35">
        <v>73288.06</v>
      </c>
      <c r="I126" s="36">
        <f t="shared" si="2"/>
        <v>2.2511079120444144E-3</v>
      </c>
      <c r="J126" s="36">
        <f t="shared" si="3"/>
        <v>8.9445876654119516E-3</v>
      </c>
    </row>
    <row r="127" spans="5:10">
      <c r="E127" s="34">
        <v>44382</v>
      </c>
      <c r="F127" s="1">
        <v>1411.13</v>
      </c>
      <c r="G127" s="35">
        <v>72118.570000000007</v>
      </c>
      <c r="I127" s="36">
        <f t="shared" si="2"/>
        <v>-6.4353960866594395E-3</v>
      </c>
      <c r="J127" s="36">
        <f t="shared" si="3"/>
        <v>-1.595744245379116E-2</v>
      </c>
    </row>
    <row r="128" spans="5:10">
      <c r="E128" s="34">
        <v>44383</v>
      </c>
      <c r="F128" s="1">
        <v>1354.79</v>
      </c>
      <c r="G128" s="35">
        <v>71035.710000000006</v>
      </c>
      <c r="I128" s="36">
        <f t="shared" si="2"/>
        <v>-3.9925449816813563E-2</v>
      </c>
      <c r="J128" s="36">
        <f t="shared" si="3"/>
        <v>-1.5014995444307955E-2</v>
      </c>
    </row>
    <row r="129" spans="5:10">
      <c r="E129" s="34">
        <v>44384</v>
      </c>
      <c r="F129" s="1">
        <v>1388.55</v>
      </c>
      <c r="G129" s="35">
        <v>70385.990000000005</v>
      </c>
      <c r="I129" s="36">
        <f t="shared" si="2"/>
        <v>2.4918991135157498E-2</v>
      </c>
      <c r="J129" s="36">
        <f t="shared" si="3"/>
        <v>-9.1463856699679491E-3</v>
      </c>
    </row>
    <row r="130" spans="5:10">
      <c r="E130" s="34">
        <v>44385</v>
      </c>
      <c r="F130" s="1">
        <v>1374.68</v>
      </c>
      <c r="G130" s="35">
        <v>70385.990000000005</v>
      </c>
      <c r="I130" s="36">
        <f t="shared" si="2"/>
        <v>-9.9888372762952926E-3</v>
      </c>
      <c r="J130" s="36">
        <f t="shared" si="3"/>
        <v>0</v>
      </c>
    </row>
    <row r="131" spans="5:10">
      <c r="E131" s="34">
        <v>44386</v>
      </c>
      <c r="F131" s="1">
        <v>1347.14</v>
      </c>
      <c r="G131" s="35">
        <v>69303.13</v>
      </c>
      <c r="I131" s="36">
        <f t="shared" si="2"/>
        <v>-2.0033753309861124E-2</v>
      </c>
      <c r="J131" s="36">
        <f t="shared" si="3"/>
        <v>-1.5384595712868432E-2</v>
      </c>
    </row>
    <row r="132" spans="5:10">
      <c r="E132" s="34">
        <v>44389</v>
      </c>
      <c r="F132" s="1">
        <v>1296.3</v>
      </c>
      <c r="G132" s="35">
        <v>68783.350000000006</v>
      </c>
      <c r="I132" s="36">
        <f t="shared" si="2"/>
        <v>-3.7739210475526086E-2</v>
      </c>
      <c r="J132" s="36">
        <f t="shared" si="3"/>
        <v>-7.5000941515916963E-3</v>
      </c>
    </row>
    <row r="133" spans="5:10">
      <c r="E133" s="34">
        <v>44390</v>
      </c>
      <c r="F133" s="1">
        <v>1297.54</v>
      </c>
      <c r="G133" s="35">
        <v>68003.69</v>
      </c>
      <c r="I133" s="36">
        <f t="shared" si="2"/>
        <v>9.5656869551796753E-4</v>
      </c>
      <c r="J133" s="36">
        <f t="shared" si="3"/>
        <v>-1.1335010580322158E-2</v>
      </c>
    </row>
    <row r="134" spans="5:10">
      <c r="E134" s="34">
        <v>44391</v>
      </c>
      <c r="F134" s="1">
        <v>1279.9100000000001</v>
      </c>
      <c r="G134" s="35">
        <v>69303.13</v>
      </c>
      <c r="I134" s="36">
        <f t="shared" si="2"/>
        <v>-1.3587249718698402E-2</v>
      </c>
      <c r="J134" s="36">
        <f t="shared" si="3"/>
        <v>1.9108374854364563E-2</v>
      </c>
    </row>
    <row r="135" spans="5:10">
      <c r="E135" s="34">
        <v>44392</v>
      </c>
      <c r="F135" s="1">
        <v>1293.92</v>
      </c>
      <c r="G135" s="35">
        <v>69259.81</v>
      </c>
      <c r="I135" s="36">
        <f t="shared" ref="I135:I198" si="4">F135/F134-1</f>
        <v>1.0946082146400915E-2</v>
      </c>
      <c r="J135" s="36">
        <f t="shared" ref="J135:J198" si="5">G135/G134-1</f>
        <v>-6.2507999277960913E-4</v>
      </c>
    </row>
    <row r="136" spans="5:10">
      <c r="E136" s="34">
        <v>44393</v>
      </c>
      <c r="F136" s="1">
        <v>1299.31</v>
      </c>
      <c r="G136" s="35">
        <v>68436.84</v>
      </c>
      <c r="I136" s="36">
        <f t="shared" si="4"/>
        <v>4.165636206256762E-3</v>
      </c>
      <c r="J136" s="36">
        <f t="shared" si="5"/>
        <v>-1.1882360058452335E-2</v>
      </c>
    </row>
    <row r="137" spans="5:10">
      <c r="E137" s="34">
        <v>44396</v>
      </c>
      <c r="F137" s="1">
        <v>1243.51</v>
      </c>
      <c r="G137" s="35">
        <v>66920.83</v>
      </c>
      <c r="I137" s="36">
        <f t="shared" si="4"/>
        <v>-4.2945871270135605E-2</v>
      </c>
      <c r="J137" s="36">
        <f t="shared" si="5"/>
        <v>-2.2151957922078136E-2</v>
      </c>
    </row>
    <row r="138" spans="5:10">
      <c r="E138" s="34">
        <v>44397</v>
      </c>
      <c r="F138" s="1">
        <v>1273.29</v>
      </c>
      <c r="G138" s="35">
        <v>67137.41</v>
      </c>
      <c r="I138" s="36">
        <f t="shared" si="4"/>
        <v>2.394833978013855E-2</v>
      </c>
      <c r="J138" s="36">
        <f t="shared" si="5"/>
        <v>3.2363615334718432E-3</v>
      </c>
    </row>
    <row r="139" spans="5:10">
      <c r="E139" s="34">
        <v>44398</v>
      </c>
      <c r="F139" s="1">
        <v>1270.79</v>
      </c>
      <c r="G139" s="35">
        <v>67917.070000000007</v>
      </c>
      <c r="I139" s="36">
        <f t="shared" si="4"/>
        <v>-1.9634176032168327E-3</v>
      </c>
      <c r="J139" s="36">
        <f t="shared" si="5"/>
        <v>1.1612899574171998E-2</v>
      </c>
    </row>
    <row r="140" spans="5:10">
      <c r="E140" s="34">
        <v>44399</v>
      </c>
      <c r="F140" s="1">
        <v>1293.67</v>
      </c>
      <c r="G140" s="35">
        <v>67700.490000000005</v>
      </c>
      <c r="I140" s="36">
        <f t="shared" si="4"/>
        <v>1.8004548351812755E-2</v>
      </c>
      <c r="J140" s="36">
        <f t="shared" si="5"/>
        <v>-3.188889037763265E-3</v>
      </c>
    </row>
    <row r="141" spans="5:10">
      <c r="E141" s="34">
        <v>44400</v>
      </c>
      <c r="F141" s="1">
        <v>1268.83</v>
      </c>
      <c r="G141" s="35">
        <v>66531</v>
      </c>
      <c r="I141" s="36">
        <f t="shared" si="4"/>
        <v>-1.9201187319795698E-2</v>
      </c>
      <c r="J141" s="36">
        <f t="shared" si="5"/>
        <v>-1.7274468766769746E-2</v>
      </c>
    </row>
    <row r="142" spans="5:10">
      <c r="E142" s="34">
        <v>44403</v>
      </c>
      <c r="F142" s="1">
        <v>1272.71</v>
      </c>
      <c r="G142" s="35">
        <v>66487.69</v>
      </c>
      <c r="I142" s="36">
        <f t="shared" si="4"/>
        <v>3.0579352631954215E-3</v>
      </c>
      <c r="J142" s="36">
        <f t="shared" si="5"/>
        <v>-6.5097473358277647E-4</v>
      </c>
    </row>
    <row r="143" spans="5:10">
      <c r="E143" s="34">
        <v>44404</v>
      </c>
      <c r="F143" s="1">
        <v>1276.93</v>
      </c>
      <c r="G143" s="35">
        <v>66920.83</v>
      </c>
      <c r="I143" s="36">
        <f t="shared" si="4"/>
        <v>3.315759285304587E-3</v>
      </c>
      <c r="J143" s="36">
        <f t="shared" si="5"/>
        <v>6.5145893924123399E-3</v>
      </c>
    </row>
    <row r="144" spans="5:10">
      <c r="E144" s="34">
        <v>44405</v>
      </c>
      <c r="F144" s="1">
        <v>1277.07</v>
      </c>
      <c r="G144" s="35">
        <v>66920.83</v>
      </c>
      <c r="I144" s="36">
        <f t="shared" si="4"/>
        <v>1.096379597940178E-4</v>
      </c>
      <c r="J144" s="36">
        <f t="shared" si="5"/>
        <v>0</v>
      </c>
    </row>
    <row r="145" spans="5:10">
      <c r="E145" s="34">
        <v>44406</v>
      </c>
      <c r="F145" s="1">
        <v>1293.5999999999999</v>
      </c>
      <c r="G145" s="35">
        <v>68003.69</v>
      </c>
      <c r="I145" s="36">
        <f t="shared" si="4"/>
        <v>1.2943691418638048E-2</v>
      </c>
      <c r="J145" s="36">
        <f t="shared" si="5"/>
        <v>1.6181209946140918E-2</v>
      </c>
    </row>
    <row r="146" spans="5:10">
      <c r="E146" s="34">
        <v>44407</v>
      </c>
      <c r="F146" s="1">
        <v>1310.05</v>
      </c>
      <c r="G146" s="35">
        <v>68869.98</v>
      </c>
      <c r="I146" s="36">
        <f t="shared" si="4"/>
        <v>1.2716450216450292E-2</v>
      </c>
      <c r="J146" s="36">
        <f t="shared" si="5"/>
        <v>1.2738867552628319E-2</v>
      </c>
    </row>
    <row r="147" spans="5:10">
      <c r="E147" s="34">
        <v>44410</v>
      </c>
      <c r="F147" s="1">
        <v>1314.22</v>
      </c>
      <c r="G147" s="35">
        <v>67180.72</v>
      </c>
      <c r="I147" s="36">
        <f t="shared" si="4"/>
        <v>3.1830846150910919E-3</v>
      </c>
      <c r="J147" s="36">
        <f t="shared" si="5"/>
        <v>-2.452824873769377E-2</v>
      </c>
    </row>
    <row r="148" spans="5:10">
      <c r="E148" s="34">
        <v>44411</v>
      </c>
      <c r="F148" s="1">
        <v>1332.44</v>
      </c>
      <c r="G148" s="35">
        <v>67267.350000000006</v>
      </c>
      <c r="I148" s="36">
        <f t="shared" si="4"/>
        <v>1.3863736665094217E-2</v>
      </c>
      <c r="J148" s="36">
        <f t="shared" si="5"/>
        <v>1.2895068704235069E-3</v>
      </c>
    </row>
    <row r="149" spans="5:10">
      <c r="E149" s="34">
        <v>44412</v>
      </c>
      <c r="F149" s="1">
        <v>1334.74</v>
      </c>
      <c r="G149" s="35">
        <v>68133.64</v>
      </c>
      <c r="I149" s="36">
        <f t="shared" si="4"/>
        <v>1.7261565248716249E-3</v>
      </c>
      <c r="J149" s="36">
        <f t="shared" si="5"/>
        <v>1.28783131786816E-2</v>
      </c>
    </row>
    <row r="150" spans="5:10">
      <c r="E150" s="34">
        <v>44413</v>
      </c>
      <c r="F150" s="1">
        <v>1345.55</v>
      </c>
      <c r="G150" s="35">
        <v>67440.61</v>
      </c>
      <c r="I150" s="36">
        <f t="shared" si="4"/>
        <v>8.098955601840041E-3</v>
      </c>
      <c r="J150" s="36">
        <f t="shared" si="5"/>
        <v>-1.0171627407547845E-2</v>
      </c>
    </row>
    <row r="151" spans="5:10">
      <c r="E151" s="34">
        <v>44414</v>
      </c>
      <c r="F151" s="1">
        <v>1341.45</v>
      </c>
      <c r="G151" s="35">
        <v>67224.03</v>
      </c>
      <c r="I151" s="36">
        <f t="shared" si="4"/>
        <v>-3.0470811192448988E-3</v>
      </c>
      <c r="J151" s="36">
        <f t="shared" si="5"/>
        <v>-3.2114181648119633E-3</v>
      </c>
    </row>
    <row r="152" spans="5:10">
      <c r="E152" s="34">
        <v>44417</v>
      </c>
      <c r="F152" s="1">
        <v>1359.86</v>
      </c>
      <c r="G152" s="35">
        <v>67180.72</v>
      </c>
      <c r="I152" s="36">
        <f t="shared" si="4"/>
        <v>1.3723955421372391E-2</v>
      </c>
      <c r="J152" s="36">
        <f t="shared" si="5"/>
        <v>-6.4426366583492101E-4</v>
      </c>
    </row>
    <row r="153" spans="5:10">
      <c r="E153" s="34">
        <v>44418</v>
      </c>
      <c r="F153" s="1">
        <v>1362.43</v>
      </c>
      <c r="G153" s="35">
        <v>66747.58</v>
      </c>
      <c r="I153" s="36">
        <f t="shared" si="4"/>
        <v>1.8899004309267387E-3</v>
      </c>
      <c r="J153" s="36">
        <f t="shared" si="5"/>
        <v>-6.4473854998874369E-3</v>
      </c>
    </row>
    <row r="154" spans="5:10">
      <c r="E154" s="34">
        <v>44419</v>
      </c>
      <c r="F154" s="1">
        <v>1357.79</v>
      </c>
      <c r="G154" s="35">
        <v>66790.89</v>
      </c>
      <c r="I154" s="36">
        <f t="shared" si="4"/>
        <v>-3.405679557848873E-3</v>
      </c>
      <c r="J154" s="36">
        <f t="shared" si="5"/>
        <v>6.4886247561335431E-4</v>
      </c>
    </row>
    <row r="155" spans="5:10">
      <c r="E155" s="34">
        <v>44420</v>
      </c>
      <c r="F155" s="1">
        <v>1353.05</v>
      </c>
      <c r="G155" s="35">
        <v>66314.429999999993</v>
      </c>
      <c r="I155" s="36">
        <f t="shared" si="4"/>
        <v>-3.4909669389228126E-3</v>
      </c>
      <c r="J155" s="36">
        <f t="shared" si="5"/>
        <v>-7.1336075922929787E-3</v>
      </c>
    </row>
    <row r="156" spans="5:10">
      <c r="E156" s="34">
        <v>44421</v>
      </c>
      <c r="F156" s="1">
        <v>1357.05</v>
      </c>
      <c r="G156" s="35">
        <v>65751.34</v>
      </c>
      <c r="I156" s="36">
        <f t="shared" si="4"/>
        <v>2.9562839510735017E-3</v>
      </c>
      <c r="J156" s="36">
        <f t="shared" si="5"/>
        <v>-8.491213752421567E-3</v>
      </c>
    </row>
    <row r="157" spans="5:10">
      <c r="E157" s="34">
        <v>44424</v>
      </c>
      <c r="F157" s="1">
        <v>1370.96</v>
      </c>
      <c r="G157" s="35">
        <v>65664.710000000006</v>
      </c>
      <c r="I157" s="36">
        <f t="shared" si="4"/>
        <v>1.025017501197456E-2</v>
      </c>
      <c r="J157" s="36">
        <f t="shared" si="5"/>
        <v>-1.317539688164393E-3</v>
      </c>
    </row>
    <row r="158" spans="5:10">
      <c r="E158" s="34">
        <v>44425</v>
      </c>
      <c r="F158" s="1">
        <v>1363.09</v>
      </c>
      <c r="G158" s="35">
        <v>63022.53</v>
      </c>
      <c r="I158" s="36">
        <f t="shared" si="4"/>
        <v>-5.7405030051935757E-3</v>
      </c>
      <c r="J158" s="36">
        <f t="shared" si="5"/>
        <v>-4.0237442608061613E-2</v>
      </c>
    </row>
    <row r="159" spans="5:10">
      <c r="E159" s="34">
        <v>44426</v>
      </c>
      <c r="F159" s="1">
        <v>1360.94</v>
      </c>
      <c r="G159" s="35">
        <v>63239.1</v>
      </c>
      <c r="I159" s="36">
        <f t="shared" si="4"/>
        <v>-1.5772986376541009E-3</v>
      </c>
      <c r="J159" s="36">
        <f t="shared" si="5"/>
        <v>3.4363901290539456E-3</v>
      </c>
    </row>
    <row r="160" spans="5:10">
      <c r="E160" s="34">
        <v>44427</v>
      </c>
      <c r="F160" s="1">
        <v>1374.85</v>
      </c>
      <c r="G160" s="35">
        <v>64105.39</v>
      </c>
      <c r="I160" s="36">
        <f t="shared" si="4"/>
        <v>1.0220876746954266E-2</v>
      </c>
      <c r="J160" s="36">
        <f t="shared" si="5"/>
        <v>1.3698645300138645E-2</v>
      </c>
    </row>
    <row r="161" spans="5:10">
      <c r="E161" s="34">
        <v>44428</v>
      </c>
      <c r="F161" s="1">
        <v>1329.43</v>
      </c>
      <c r="G161" s="35">
        <v>61939.67</v>
      </c>
      <c r="I161" s="36">
        <f t="shared" si="4"/>
        <v>-3.3036331236134697E-2</v>
      </c>
      <c r="J161" s="36">
        <f t="shared" si="5"/>
        <v>-3.3783742677487849E-2</v>
      </c>
    </row>
    <row r="162" spans="5:10">
      <c r="E162" s="34">
        <v>44431</v>
      </c>
      <c r="F162" s="1">
        <v>1298.8599999999999</v>
      </c>
      <c r="G162" s="35">
        <v>60640.24</v>
      </c>
      <c r="I162" s="36">
        <f t="shared" si="4"/>
        <v>-2.2994817327727013E-2</v>
      </c>
      <c r="J162" s="36">
        <f t="shared" si="5"/>
        <v>-2.0978962270867818E-2</v>
      </c>
    </row>
    <row r="163" spans="5:10">
      <c r="E163" s="34">
        <v>44432</v>
      </c>
      <c r="F163" s="1">
        <v>1298.74</v>
      </c>
      <c r="G163" s="35">
        <v>61679.78</v>
      </c>
      <c r="I163" s="36">
        <f t="shared" si="4"/>
        <v>-9.2388710099533533E-5</v>
      </c>
      <c r="J163" s="36">
        <f t="shared" si="5"/>
        <v>1.7142742179120596E-2</v>
      </c>
    </row>
    <row r="164" spans="5:10">
      <c r="E164" s="34">
        <v>44433</v>
      </c>
      <c r="F164" s="1">
        <v>1309.55</v>
      </c>
      <c r="G164" s="35">
        <v>63758.879999999997</v>
      </c>
      <c r="I164" s="36">
        <f t="shared" si="4"/>
        <v>8.3234519611314894E-3</v>
      </c>
      <c r="J164" s="36">
        <f t="shared" si="5"/>
        <v>3.3707967181465293E-2</v>
      </c>
    </row>
    <row r="165" spans="5:10">
      <c r="E165" s="34">
        <v>44434</v>
      </c>
      <c r="F165" s="1">
        <v>1301.1199999999999</v>
      </c>
      <c r="G165" s="35">
        <v>63932.14</v>
      </c>
      <c r="I165" s="36">
        <f t="shared" si="4"/>
        <v>-6.4373257989386312E-3</v>
      </c>
      <c r="J165" s="36">
        <f t="shared" si="5"/>
        <v>2.7174254001953724E-3</v>
      </c>
    </row>
    <row r="166" spans="5:10">
      <c r="E166" s="34">
        <v>44435</v>
      </c>
      <c r="F166" s="1">
        <v>1313.2</v>
      </c>
      <c r="G166" s="35">
        <v>64321.97</v>
      </c>
      <c r="I166" s="36">
        <f t="shared" si="4"/>
        <v>9.2843089030989479E-3</v>
      </c>
      <c r="J166" s="36">
        <f t="shared" si="5"/>
        <v>6.0975590680993896E-3</v>
      </c>
    </row>
    <row r="167" spans="5:10">
      <c r="E167" s="34">
        <v>44438</v>
      </c>
      <c r="F167" s="1">
        <v>1328.14</v>
      </c>
      <c r="G167" s="35">
        <v>63758.879999999997</v>
      </c>
      <c r="I167" s="36">
        <f t="shared" si="4"/>
        <v>1.1376789521778896E-2</v>
      </c>
      <c r="J167" s="36">
        <f t="shared" si="5"/>
        <v>-8.7542405806290136E-3</v>
      </c>
    </row>
    <row r="168" spans="5:10">
      <c r="E168" s="34">
        <v>44439</v>
      </c>
      <c r="F168" s="1">
        <v>1331.47</v>
      </c>
      <c r="G168" s="35">
        <v>64971.68</v>
      </c>
      <c r="I168" s="36">
        <f t="shared" si="4"/>
        <v>2.5072658002920356E-3</v>
      </c>
      <c r="J168" s="36">
        <f t="shared" si="5"/>
        <v>1.9021664119570625E-2</v>
      </c>
    </row>
    <row r="169" spans="5:10">
      <c r="E169" s="34">
        <v>44440</v>
      </c>
      <c r="F169" s="1">
        <v>1334.65</v>
      </c>
      <c r="G169" s="35">
        <v>64408.59</v>
      </c>
      <c r="I169" s="36">
        <f t="shared" si="4"/>
        <v>2.3883377019384699E-3</v>
      </c>
      <c r="J169" s="36">
        <f t="shared" si="5"/>
        <v>-8.6666990910502228E-3</v>
      </c>
    </row>
    <row r="170" spans="5:10">
      <c r="E170" s="34">
        <v>44445</v>
      </c>
      <c r="F170" s="1">
        <v>1346.39</v>
      </c>
      <c r="G170" s="35">
        <v>64625.17</v>
      </c>
      <c r="I170" s="36">
        <f t="shared" si="4"/>
        <v>8.7963136402802178E-3</v>
      </c>
      <c r="J170" s="36">
        <f t="shared" si="5"/>
        <v>3.3625949582190007E-3</v>
      </c>
    </row>
    <row r="171" spans="5:10">
      <c r="E171" s="34">
        <v>44446</v>
      </c>
      <c r="F171" s="1">
        <v>1341.9</v>
      </c>
      <c r="G171" s="35">
        <v>64408.59</v>
      </c>
      <c r="I171" s="36">
        <f t="shared" si="4"/>
        <v>-3.3348435445895719E-3</v>
      </c>
      <c r="J171" s="36">
        <f t="shared" si="5"/>
        <v>-3.3513258069572949E-3</v>
      </c>
    </row>
    <row r="172" spans="5:10">
      <c r="E172" s="34">
        <v>44447</v>
      </c>
      <c r="F172" s="1">
        <v>1333.61</v>
      </c>
      <c r="G172" s="35">
        <v>64928.37</v>
      </c>
      <c r="I172" s="36">
        <f t="shared" si="4"/>
        <v>-6.1778075862584103E-3</v>
      </c>
      <c r="J172" s="36">
        <f t="shared" si="5"/>
        <v>8.070041589173238E-3</v>
      </c>
    </row>
    <row r="173" spans="5:10">
      <c r="E173" s="34">
        <v>44448</v>
      </c>
      <c r="F173" s="1">
        <v>1343.98</v>
      </c>
      <c r="G173" s="35">
        <v>64451.91</v>
      </c>
      <c r="I173" s="36">
        <f t="shared" si="4"/>
        <v>7.7758865035506552E-3</v>
      </c>
      <c r="J173" s="36">
        <f t="shared" si="5"/>
        <v>-7.338240587281053E-3</v>
      </c>
    </row>
    <row r="174" spans="5:10">
      <c r="E174" s="34">
        <v>44449</v>
      </c>
      <c r="F174" s="1">
        <v>1345.31</v>
      </c>
      <c r="G174" s="35">
        <v>65578.09</v>
      </c>
      <c r="I174" s="36">
        <f t="shared" si="4"/>
        <v>9.8959805949494495E-4</v>
      </c>
      <c r="J174" s="36">
        <f t="shared" si="5"/>
        <v>1.7473182718712232E-2</v>
      </c>
    </row>
    <row r="175" spans="5:10">
      <c r="E175" s="34">
        <v>44452</v>
      </c>
      <c r="F175" s="1">
        <v>1341.43</v>
      </c>
      <c r="G175" s="35">
        <v>69952.850000000006</v>
      </c>
      <c r="I175" s="36">
        <f t="shared" si="4"/>
        <v>-2.8840936289775687E-3</v>
      </c>
      <c r="J175" s="36">
        <f t="shared" si="5"/>
        <v>6.6710695599704328E-2</v>
      </c>
    </row>
    <row r="176" spans="5:10">
      <c r="E176" s="34">
        <v>44453</v>
      </c>
      <c r="F176" s="1">
        <v>1339.7</v>
      </c>
      <c r="G176" s="35">
        <v>71902</v>
      </c>
      <c r="I176" s="36">
        <f t="shared" si="4"/>
        <v>-1.2896684881059661E-3</v>
      </c>
      <c r="J176" s="36">
        <f t="shared" si="5"/>
        <v>2.7863768238177489E-2</v>
      </c>
    </row>
    <row r="177" spans="5:10">
      <c r="E177" s="34">
        <v>44454</v>
      </c>
      <c r="F177" s="1">
        <v>1345.83</v>
      </c>
      <c r="G177" s="35">
        <v>71902</v>
      </c>
      <c r="I177" s="36">
        <f t="shared" si="4"/>
        <v>4.5756512652086467E-3</v>
      </c>
      <c r="J177" s="36">
        <f t="shared" si="5"/>
        <v>0</v>
      </c>
    </row>
    <row r="178" spans="5:10">
      <c r="E178" s="34">
        <v>44455</v>
      </c>
      <c r="F178" s="1">
        <v>1345.87</v>
      </c>
      <c r="G178" s="35">
        <v>69736.27</v>
      </c>
      <c r="I178" s="36">
        <f t="shared" si="4"/>
        <v>2.972143584245579E-5</v>
      </c>
      <c r="J178" s="36">
        <f t="shared" si="5"/>
        <v>-3.0120580790520379E-2</v>
      </c>
    </row>
    <row r="179" spans="5:10">
      <c r="E179" s="34">
        <v>44456</v>
      </c>
      <c r="F179" s="1">
        <v>1352.64</v>
      </c>
      <c r="G179" s="35">
        <v>69736.27</v>
      </c>
      <c r="I179" s="36">
        <f t="shared" si="4"/>
        <v>5.0302035114835331E-3</v>
      </c>
      <c r="J179" s="36">
        <f t="shared" si="5"/>
        <v>0</v>
      </c>
    </row>
    <row r="180" spans="5:10">
      <c r="E180" s="34">
        <v>44459</v>
      </c>
      <c r="F180" s="1">
        <v>1350.48</v>
      </c>
      <c r="G180" s="35">
        <v>68566.78</v>
      </c>
      <c r="I180" s="36">
        <f t="shared" si="4"/>
        <v>-1.5968772178850399E-3</v>
      </c>
      <c r="J180" s="36">
        <f t="shared" si="5"/>
        <v>-1.6770182861802096E-2</v>
      </c>
    </row>
    <row r="181" spans="5:10">
      <c r="E181" s="34">
        <v>44460</v>
      </c>
      <c r="F181" s="1">
        <v>1339.84</v>
      </c>
      <c r="G181" s="35">
        <v>68436.84</v>
      </c>
      <c r="I181" s="36">
        <f t="shared" si="4"/>
        <v>-7.8786801729756606E-3</v>
      </c>
      <c r="J181" s="36">
        <f t="shared" si="5"/>
        <v>-1.8950868044262936E-3</v>
      </c>
    </row>
    <row r="182" spans="5:10">
      <c r="E182" s="34">
        <v>44461</v>
      </c>
      <c r="F182" s="1">
        <v>1350.68</v>
      </c>
      <c r="G182" s="35">
        <v>68436.84</v>
      </c>
      <c r="I182" s="36">
        <f t="shared" si="4"/>
        <v>8.0905182708383983E-3</v>
      </c>
      <c r="J182" s="36">
        <f t="shared" si="5"/>
        <v>0</v>
      </c>
    </row>
    <row r="183" spans="5:10">
      <c r="E183" s="34">
        <v>44462</v>
      </c>
      <c r="F183" s="1">
        <v>1352.76</v>
      </c>
      <c r="G183" s="35">
        <v>68523.47</v>
      </c>
      <c r="I183" s="36">
        <f t="shared" si="4"/>
        <v>1.5399650546390475E-3</v>
      </c>
      <c r="J183" s="36">
        <f t="shared" si="5"/>
        <v>1.2658386915584963E-3</v>
      </c>
    </row>
    <row r="184" spans="5:10">
      <c r="E184" s="34">
        <v>44463</v>
      </c>
      <c r="F184" s="1">
        <v>1351.17</v>
      </c>
      <c r="G184" s="35">
        <v>69303.13</v>
      </c>
      <c r="I184" s="36">
        <f t="shared" si="4"/>
        <v>-1.1753747893195055E-3</v>
      </c>
      <c r="J184" s="36">
        <f t="shared" si="5"/>
        <v>1.13779993920331E-2</v>
      </c>
    </row>
    <row r="185" spans="5:10">
      <c r="E185" s="34">
        <v>44466</v>
      </c>
      <c r="F185" s="1">
        <v>1324.99</v>
      </c>
      <c r="G185" s="35">
        <v>68869.98</v>
      </c>
      <c r="I185" s="36">
        <f t="shared" si="4"/>
        <v>-1.9375800232391271E-2</v>
      </c>
      <c r="J185" s="36">
        <f t="shared" si="5"/>
        <v>-6.250078459659858E-3</v>
      </c>
    </row>
    <row r="186" spans="5:10">
      <c r="E186" s="34">
        <v>44467</v>
      </c>
      <c r="F186" s="1">
        <v>1339.31</v>
      </c>
      <c r="G186" s="35">
        <v>68047.009999999995</v>
      </c>
      <c r="I186" s="36">
        <f t="shared" si="4"/>
        <v>1.0807628736820618E-2</v>
      </c>
      <c r="J186" s="36">
        <f t="shared" si="5"/>
        <v>-1.1949618687271291E-2</v>
      </c>
    </row>
    <row r="187" spans="5:10">
      <c r="E187" s="34">
        <v>44468</v>
      </c>
      <c r="F187" s="1">
        <v>1339.21</v>
      </c>
      <c r="G187" s="35">
        <v>67917.070000000007</v>
      </c>
      <c r="I187" s="36">
        <f t="shared" si="4"/>
        <v>-7.4665312735588962E-5</v>
      </c>
      <c r="J187" s="36">
        <f t="shared" si="5"/>
        <v>-1.9095622276421587E-3</v>
      </c>
    </row>
    <row r="188" spans="5:10">
      <c r="E188" s="34">
        <v>44469</v>
      </c>
      <c r="F188" s="1">
        <v>1342.06</v>
      </c>
      <c r="G188" s="35">
        <v>67743.81</v>
      </c>
      <c r="I188" s="36">
        <f t="shared" si="4"/>
        <v>2.128120309734749E-3</v>
      </c>
      <c r="J188" s="36">
        <f t="shared" si="5"/>
        <v>-2.5510523348549752E-3</v>
      </c>
    </row>
    <row r="189" spans="5:10">
      <c r="E189" s="34">
        <v>44470</v>
      </c>
      <c r="F189" s="1">
        <v>1334.89</v>
      </c>
      <c r="G189" s="35">
        <v>66790.89</v>
      </c>
      <c r="I189" s="36">
        <f t="shared" si="4"/>
        <v>-5.3425331207247462E-3</v>
      </c>
      <c r="J189" s="36">
        <f t="shared" si="5"/>
        <v>-1.406652504487127E-2</v>
      </c>
    </row>
    <row r="190" spans="5:10">
      <c r="E190" s="34">
        <v>44473</v>
      </c>
      <c r="F190" s="1">
        <v>1339.54</v>
      </c>
      <c r="G190" s="35">
        <v>67137.41</v>
      </c>
      <c r="I190" s="36">
        <f t="shared" si="4"/>
        <v>3.4834330918651624E-3</v>
      </c>
      <c r="J190" s="36">
        <f t="shared" si="5"/>
        <v>5.188132692946601E-3</v>
      </c>
    </row>
    <row r="191" spans="5:10">
      <c r="E191" s="34">
        <v>44474</v>
      </c>
      <c r="F191" s="1">
        <v>1354.63</v>
      </c>
      <c r="G191" s="35">
        <v>69519.7</v>
      </c>
      <c r="I191" s="36">
        <f t="shared" si="4"/>
        <v>1.1265061140391497E-2</v>
      </c>
      <c r="J191" s="36">
        <f t="shared" si="5"/>
        <v>3.5483793610745495E-2</v>
      </c>
    </row>
    <row r="192" spans="5:10">
      <c r="E192" s="34">
        <v>44475</v>
      </c>
      <c r="F192" s="1">
        <v>1362.82</v>
      </c>
      <c r="G192" s="35">
        <v>68610.100000000006</v>
      </c>
      <c r="I192" s="36">
        <f t="shared" si="4"/>
        <v>6.045931361331025E-3</v>
      </c>
      <c r="J192" s="36">
        <f t="shared" si="5"/>
        <v>-1.3084061064705277E-2</v>
      </c>
    </row>
    <row r="193" spans="5:10">
      <c r="E193" s="34">
        <v>44476</v>
      </c>
      <c r="F193" s="1">
        <v>1365.99</v>
      </c>
      <c r="G193" s="35">
        <v>68696.73</v>
      </c>
      <c r="I193" s="36">
        <f t="shared" si="4"/>
        <v>2.3260592007749992E-3</v>
      </c>
      <c r="J193" s="36">
        <f t="shared" si="5"/>
        <v>1.2626420891383994E-3</v>
      </c>
    </row>
    <row r="194" spans="5:10">
      <c r="E194" s="34">
        <v>44477</v>
      </c>
      <c r="F194" s="1">
        <v>1372.73</v>
      </c>
      <c r="G194" s="35">
        <v>70472.62</v>
      </c>
      <c r="I194" s="36">
        <f t="shared" si="4"/>
        <v>4.9341503232087636E-3</v>
      </c>
      <c r="J194" s="36">
        <f t="shared" si="5"/>
        <v>2.5851157689747328E-2</v>
      </c>
    </row>
    <row r="195" spans="5:10">
      <c r="E195" s="34">
        <v>44480</v>
      </c>
      <c r="F195" s="1">
        <v>1394.09</v>
      </c>
      <c r="G195" s="35">
        <v>70602.559999999998</v>
      </c>
      <c r="I195" s="36">
        <f t="shared" si="4"/>
        <v>1.5560233986289917E-2</v>
      </c>
      <c r="J195" s="36">
        <f t="shared" si="5"/>
        <v>1.8438366559949682E-3</v>
      </c>
    </row>
    <row r="196" spans="5:10">
      <c r="E196" s="34">
        <v>44481</v>
      </c>
      <c r="F196" s="1">
        <v>1394.8</v>
      </c>
      <c r="G196" s="35">
        <v>70602.559999999998</v>
      </c>
      <c r="I196" s="36">
        <f t="shared" si="4"/>
        <v>5.0929280032141477E-4</v>
      </c>
      <c r="J196" s="36">
        <f t="shared" si="5"/>
        <v>0</v>
      </c>
    </row>
    <row r="197" spans="5:10">
      <c r="E197" s="34">
        <v>44482</v>
      </c>
      <c r="F197" s="1">
        <v>1391.91</v>
      </c>
      <c r="G197" s="35">
        <v>69736.27</v>
      </c>
      <c r="I197" s="36">
        <f t="shared" si="4"/>
        <v>-2.0719816461139962E-3</v>
      </c>
      <c r="J197" s="36">
        <f t="shared" si="5"/>
        <v>-1.2269951684471425E-2</v>
      </c>
    </row>
    <row r="198" spans="5:10">
      <c r="E198" s="34">
        <v>44483</v>
      </c>
      <c r="F198" s="1">
        <v>1391.85</v>
      </c>
      <c r="G198" s="35">
        <v>69303.13</v>
      </c>
      <c r="I198" s="36">
        <f t="shared" si="4"/>
        <v>-4.3106235317114105E-5</v>
      </c>
      <c r="J198" s="36">
        <f t="shared" si="5"/>
        <v>-6.211115105525411E-3</v>
      </c>
    </row>
    <row r="199" spans="5:10">
      <c r="E199" s="34">
        <v>44484</v>
      </c>
      <c r="F199" s="1">
        <v>1392.7</v>
      </c>
      <c r="G199" s="35">
        <v>70515.929999999993</v>
      </c>
      <c r="I199" s="36">
        <f t="shared" ref="I199:I262" si="6">F199/F198-1</f>
        <v>6.1069799188140372E-4</v>
      </c>
      <c r="J199" s="36">
        <f t="shared" ref="J199:J262" si="7">G199/G198-1</f>
        <v>1.7499931099792976E-2</v>
      </c>
    </row>
    <row r="200" spans="5:10">
      <c r="E200" s="34">
        <v>44487</v>
      </c>
      <c r="F200" s="1">
        <v>1395.53</v>
      </c>
      <c r="G200" s="35">
        <v>69303.13</v>
      </c>
      <c r="I200" s="36">
        <f t="shared" si="6"/>
        <v>2.0320241257987259E-3</v>
      </c>
      <c r="J200" s="36">
        <f t="shared" si="7"/>
        <v>-1.7198950648456113E-2</v>
      </c>
    </row>
    <row r="201" spans="5:10">
      <c r="E201" s="34">
        <v>44488</v>
      </c>
      <c r="F201" s="1">
        <v>1395.33</v>
      </c>
      <c r="G201" s="35">
        <v>68653.41</v>
      </c>
      <c r="I201" s="36">
        <f t="shared" si="6"/>
        <v>-1.4331472630468856E-4</v>
      </c>
      <c r="J201" s="36">
        <f t="shared" si="7"/>
        <v>-9.375045542676097E-3</v>
      </c>
    </row>
    <row r="202" spans="5:10">
      <c r="E202" s="34">
        <v>44489</v>
      </c>
      <c r="F202" s="1">
        <v>1393.8</v>
      </c>
      <c r="G202" s="35">
        <v>67224.03</v>
      </c>
      <c r="I202" s="36">
        <f t="shared" si="6"/>
        <v>-1.0965148029498106E-3</v>
      </c>
      <c r="J202" s="36">
        <f t="shared" si="7"/>
        <v>-2.0820233110052433E-2</v>
      </c>
    </row>
    <row r="203" spans="5:10">
      <c r="E203" s="34">
        <v>44490</v>
      </c>
      <c r="F203" s="1">
        <v>1384.77</v>
      </c>
      <c r="G203" s="35">
        <v>65837.97</v>
      </c>
      <c r="I203" s="36">
        <f t="shared" si="6"/>
        <v>-6.4786913473955376E-3</v>
      </c>
      <c r="J203" s="36">
        <f t="shared" si="7"/>
        <v>-2.0618519895340914E-2</v>
      </c>
    </row>
    <row r="204" spans="5:10">
      <c r="E204" s="34">
        <v>44491</v>
      </c>
      <c r="F204" s="1">
        <v>1389.24</v>
      </c>
      <c r="G204" s="35">
        <v>67787.12</v>
      </c>
      <c r="I204" s="36">
        <f t="shared" si="6"/>
        <v>3.2279728763622284E-3</v>
      </c>
      <c r="J204" s="36">
        <f t="shared" si="7"/>
        <v>2.9605256662682544E-2</v>
      </c>
    </row>
    <row r="205" spans="5:10">
      <c r="E205" s="34">
        <v>44494</v>
      </c>
      <c r="F205" s="1">
        <v>1385.4</v>
      </c>
      <c r="G205" s="35">
        <v>67873.75</v>
      </c>
      <c r="I205" s="36">
        <f t="shared" si="6"/>
        <v>-2.7641012352076499E-3</v>
      </c>
      <c r="J205" s="36">
        <f t="shared" si="7"/>
        <v>1.2779713904353951E-3</v>
      </c>
    </row>
    <row r="206" spans="5:10">
      <c r="E206" s="34">
        <v>44495</v>
      </c>
      <c r="F206" s="1">
        <v>1391.63</v>
      </c>
      <c r="G206" s="35">
        <v>67310.66</v>
      </c>
      <c r="I206" s="36">
        <f t="shared" si="6"/>
        <v>4.4968962032625459E-3</v>
      </c>
      <c r="J206" s="36">
        <f t="shared" si="7"/>
        <v>-8.2961380504243953E-3</v>
      </c>
    </row>
    <row r="207" spans="5:10">
      <c r="E207" s="34">
        <v>44496</v>
      </c>
      <c r="F207" s="1">
        <v>1423.02</v>
      </c>
      <c r="G207" s="35">
        <v>69259.81</v>
      </c>
      <c r="I207" s="36">
        <f t="shared" si="6"/>
        <v>2.255628292002898E-2</v>
      </c>
      <c r="J207" s="36">
        <f t="shared" si="7"/>
        <v>2.895752322143319E-2</v>
      </c>
    </row>
    <row r="208" spans="5:10">
      <c r="E208" s="34">
        <v>44497</v>
      </c>
      <c r="F208" s="1">
        <v>1438.01</v>
      </c>
      <c r="G208" s="35">
        <v>71295.59</v>
      </c>
      <c r="I208" s="36">
        <f t="shared" si="6"/>
        <v>1.0533934870908368E-2</v>
      </c>
      <c r="J208" s="36">
        <f t="shared" si="7"/>
        <v>2.9393381240866878E-2</v>
      </c>
    </row>
    <row r="209" spans="5:10">
      <c r="E209" s="34">
        <v>44498</v>
      </c>
      <c r="F209" s="1">
        <v>1444.27</v>
      </c>
      <c r="G209" s="35">
        <v>69519.7</v>
      </c>
      <c r="I209" s="36">
        <f t="shared" si="6"/>
        <v>4.3532381555064781E-3</v>
      </c>
      <c r="J209" s="36">
        <f t="shared" si="7"/>
        <v>-2.4908833772187E-2</v>
      </c>
    </row>
    <row r="210" spans="5:10">
      <c r="E210" s="34">
        <v>44501</v>
      </c>
      <c r="F210" s="1">
        <v>1438.97</v>
      </c>
      <c r="G210" s="35">
        <v>70169.42</v>
      </c>
      <c r="I210" s="36">
        <f t="shared" si="6"/>
        <v>-3.6696739529311628E-3</v>
      </c>
      <c r="J210" s="36">
        <f t="shared" si="7"/>
        <v>9.345840100000391E-3</v>
      </c>
    </row>
    <row r="211" spans="5:10">
      <c r="E211" s="34">
        <v>44502</v>
      </c>
      <c r="F211" s="1">
        <v>1452.46</v>
      </c>
      <c r="G211" s="35">
        <v>71555.48</v>
      </c>
      <c r="I211" s="36">
        <f t="shared" si="6"/>
        <v>9.3747611138523812E-3</v>
      </c>
      <c r="J211" s="36">
        <f t="shared" si="7"/>
        <v>1.9753049120257771E-2</v>
      </c>
    </row>
    <row r="212" spans="5:10">
      <c r="E212" s="34">
        <v>44503</v>
      </c>
      <c r="F212" s="1">
        <v>1444.3</v>
      </c>
      <c r="G212" s="35">
        <v>74760.75</v>
      </c>
      <c r="I212" s="36">
        <f t="shared" si="6"/>
        <v>-5.6180548861931578E-3</v>
      </c>
      <c r="J212" s="36">
        <f t="shared" si="7"/>
        <v>4.4794193260949466E-2</v>
      </c>
    </row>
    <row r="213" spans="5:10">
      <c r="E213" s="34">
        <v>44504</v>
      </c>
      <c r="F213" s="1">
        <v>1448.34</v>
      </c>
      <c r="G213" s="35">
        <v>74414.23</v>
      </c>
      <c r="I213" s="36">
        <f t="shared" si="6"/>
        <v>2.7972027972027469E-3</v>
      </c>
      <c r="J213" s="36">
        <f t="shared" si="7"/>
        <v>-4.6350524840910179E-3</v>
      </c>
    </row>
    <row r="214" spans="5:10">
      <c r="E214" s="34">
        <v>44505</v>
      </c>
      <c r="F214" s="1">
        <v>1456.51</v>
      </c>
      <c r="G214" s="35">
        <v>74500.86</v>
      </c>
      <c r="I214" s="36">
        <f t="shared" si="6"/>
        <v>5.6409406631039438E-3</v>
      </c>
      <c r="J214" s="36">
        <f t="shared" si="7"/>
        <v>1.1641590593627349E-3</v>
      </c>
    </row>
    <row r="215" spans="5:10">
      <c r="E215" s="34">
        <v>44508</v>
      </c>
      <c r="F215" s="1">
        <v>1467.57</v>
      </c>
      <c r="G215" s="35">
        <v>75237.210000000006</v>
      </c>
      <c r="I215" s="36">
        <f t="shared" si="6"/>
        <v>7.5934940371160664E-3</v>
      </c>
      <c r="J215" s="36">
        <f t="shared" si="7"/>
        <v>9.8837785228251818E-3</v>
      </c>
    </row>
    <row r="216" spans="5:10">
      <c r="E216" s="34">
        <v>44509</v>
      </c>
      <c r="F216" s="1">
        <v>1461.5</v>
      </c>
      <c r="G216" s="35">
        <v>75367.149999999994</v>
      </c>
      <c r="I216" s="36">
        <f t="shared" si="6"/>
        <v>-4.1360889088765118E-3</v>
      </c>
      <c r="J216" s="36">
        <f t="shared" si="7"/>
        <v>1.7270709533219186E-3</v>
      </c>
    </row>
    <row r="217" spans="5:10">
      <c r="E217" s="34">
        <v>44510</v>
      </c>
      <c r="F217" s="1">
        <v>1465.02</v>
      </c>
      <c r="G217" s="35">
        <v>75367.149999999994</v>
      </c>
      <c r="I217" s="36">
        <f t="shared" si="6"/>
        <v>2.4084844338008171E-3</v>
      </c>
      <c r="J217" s="36">
        <f t="shared" si="7"/>
        <v>0</v>
      </c>
    </row>
    <row r="218" spans="5:10">
      <c r="E218" s="34">
        <v>44511</v>
      </c>
      <c r="F218" s="1">
        <v>1462.35</v>
      </c>
      <c r="G218" s="35">
        <v>74500.86</v>
      </c>
      <c r="I218" s="36">
        <f t="shared" si="6"/>
        <v>-1.8225007167138596E-3</v>
      </c>
      <c r="J218" s="36">
        <f t="shared" si="7"/>
        <v>-1.1494265074372456E-2</v>
      </c>
    </row>
    <row r="219" spans="5:10">
      <c r="E219" s="34">
        <v>44512</v>
      </c>
      <c r="F219" s="1">
        <v>1473.37</v>
      </c>
      <c r="G219" s="35">
        <v>74500.86</v>
      </c>
      <c r="I219" s="36">
        <f t="shared" si="6"/>
        <v>7.5358156392109077E-3</v>
      </c>
      <c r="J219" s="36">
        <f t="shared" si="7"/>
        <v>0</v>
      </c>
    </row>
    <row r="220" spans="5:10">
      <c r="E220" s="34">
        <v>44515</v>
      </c>
      <c r="F220" s="1">
        <v>1476.57</v>
      </c>
      <c r="G220" s="35">
        <v>73634.570000000007</v>
      </c>
      <c r="I220" s="36">
        <f t="shared" si="6"/>
        <v>2.1718916497552865E-3</v>
      </c>
      <c r="J220" s="36">
        <f t="shared" si="7"/>
        <v>-1.1627919462943059E-2</v>
      </c>
    </row>
    <row r="221" spans="5:10">
      <c r="E221" s="34">
        <v>44516</v>
      </c>
      <c r="F221" s="1">
        <v>1466.45</v>
      </c>
      <c r="G221" s="35">
        <v>73894.460000000006</v>
      </c>
      <c r="I221" s="36">
        <f t="shared" si="6"/>
        <v>-6.8537218012013623E-3</v>
      </c>
      <c r="J221" s="36">
        <f t="shared" si="7"/>
        <v>3.5294563409551394E-3</v>
      </c>
    </row>
    <row r="222" spans="5:10">
      <c r="E222" s="34">
        <v>44517</v>
      </c>
      <c r="F222" s="1">
        <v>1475.85</v>
      </c>
      <c r="G222" s="35">
        <v>73851.149999999994</v>
      </c>
      <c r="I222" s="36">
        <f t="shared" si="6"/>
        <v>6.4100378464999608E-3</v>
      </c>
      <c r="J222" s="36">
        <f t="shared" si="7"/>
        <v>-5.8610618441512496E-4</v>
      </c>
    </row>
    <row r="223" spans="5:10">
      <c r="E223" s="34">
        <v>44518</v>
      </c>
      <c r="F223" s="1">
        <v>1469.83</v>
      </c>
      <c r="G223" s="35">
        <v>72854.91</v>
      </c>
      <c r="I223" s="36">
        <f t="shared" si="6"/>
        <v>-4.0790053189687647E-3</v>
      </c>
      <c r="J223" s="36">
        <f t="shared" si="7"/>
        <v>-1.3489837328193088E-2</v>
      </c>
    </row>
    <row r="224" spans="5:10">
      <c r="E224" s="34">
        <v>44519</v>
      </c>
      <c r="F224" s="1">
        <v>1452.35</v>
      </c>
      <c r="G224" s="35">
        <v>72378.45</v>
      </c>
      <c r="I224" s="36">
        <f t="shared" si="6"/>
        <v>-1.1892531789390648E-2</v>
      </c>
      <c r="J224" s="36">
        <f t="shared" si="7"/>
        <v>-6.5398474859141853E-3</v>
      </c>
    </row>
    <row r="225" spans="5:10">
      <c r="E225" s="34">
        <v>44522</v>
      </c>
      <c r="F225" s="1">
        <v>1447.25</v>
      </c>
      <c r="G225" s="35">
        <v>72768.28</v>
      </c>
      <c r="I225" s="36">
        <f t="shared" si="6"/>
        <v>-3.5115502461526837E-3</v>
      </c>
      <c r="J225" s="36">
        <f t="shared" si="7"/>
        <v>5.3859954171442403E-3</v>
      </c>
    </row>
    <row r="226" spans="5:10">
      <c r="E226" s="34">
        <v>44523</v>
      </c>
      <c r="F226" s="1">
        <v>1463.63</v>
      </c>
      <c r="G226" s="35">
        <v>72768.28</v>
      </c>
      <c r="I226" s="36">
        <f t="shared" si="6"/>
        <v>1.131801692865797E-2</v>
      </c>
      <c r="J226" s="36">
        <f t="shared" si="7"/>
        <v>0</v>
      </c>
    </row>
    <row r="227" spans="5:10">
      <c r="E227" s="34">
        <v>44524</v>
      </c>
      <c r="F227" s="1">
        <v>1488.87</v>
      </c>
      <c r="G227" s="35">
        <v>72768.28</v>
      </c>
      <c r="I227" s="36">
        <f t="shared" si="6"/>
        <v>1.7244795474265828E-2</v>
      </c>
      <c r="J227" s="36">
        <f t="shared" si="7"/>
        <v>0</v>
      </c>
    </row>
    <row r="228" spans="5:10">
      <c r="E228" s="34">
        <v>44525</v>
      </c>
      <c r="F228" s="1">
        <v>1500.81</v>
      </c>
      <c r="G228" s="35">
        <v>71468.850000000006</v>
      </c>
      <c r="I228" s="36">
        <f t="shared" si="6"/>
        <v>8.0195047250599671E-3</v>
      </c>
      <c r="J228" s="36">
        <f t="shared" si="7"/>
        <v>-1.7857093777673416E-2</v>
      </c>
    </row>
    <row r="229" spans="5:10">
      <c r="E229" s="34">
        <v>44526</v>
      </c>
      <c r="F229" s="1">
        <v>1493.03</v>
      </c>
      <c r="G229" s="35">
        <v>69389.759999999995</v>
      </c>
      <c r="I229" s="36">
        <f t="shared" si="6"/>
        <v>-5.1838673782823586E-3</v>
      </c>
      <c r="J229" s="36">
        <f t="shared" si="7"/>
        <v>-2.9090855666489834E-2</v>
      </c>
    </row>
    <row r="230" spans="5:10">
      <c r="E230" s="34">
        <v>44529</v>
      </c>
      <c r="F230" s="1">
        <v>1484.84</v>
      </c>
      <c r="G230" s="35">
        <v>67613.86</v>
      </c>
      <c r="I230" s="36">
        <f t="shared" si="6"/>
        <v>-5.4854892400019173E-3</v>
      </c>
      <c r="J230" s="36">
        <f t="shared" si="7"/>
        <v>-2.5593113450745442E-2</v>
      </c>
    </row>
    <row r="231" spans="5:10">
      <c r="E231" s="34">
        <v>44530</v>
      </c>
      <c r="F231" s="1">
        <v>1478.44</v>
      </c>
      <c r="G231" s="35">
        <v>66704.259999999995</v>
      </c>
      <c r="I231" s="36">
        <f t="shared" si="6"/>
        <v>-4.3102287115108773E-3</v>
      </c>
      <c r="J231" s="36">
        <f t="shared" si="7"/>
        <v>-1.3452863066832799E-2</v>
      </c>
    </row>
    <row r="232" spans="5:10">
      <c r="E232" s="34">
        <v>44531</v>
      </c>
      <c r="F232" s="1">
        <v>1485.19</v>
      </c>
      <c r="G232" s="35">
        <v>67787.12</v>
      </c>
      <c r="I232" s="36">
        <f t="shared" si="6"/>
        <v>4.5656232244799533E-3</v>
      </c>
      <c r="J232" s="36">
        <f t="shared" si="7"/>
        <v>1.6233745790748655E-2</v>
      </c>
    </row>
    <row r="233" spans="5:10">
      <c r="E233" s="34">
        <v>44532</v>
      </c>
      <c r="F233" s="1">
        <v>1482.05</v>
      </c>
      <c r="G233" s="35">
        <v>68869.98</v>
      </c>
      <c r="I233" s="36">
        <f t="shared" si="6"/>
        <v>-2.1142076098008555E-3</v>
      </c>
      <c r="J233" s="36">
        <f t="shared" si="7"/>
        <v>1.5974421099465452E-2</v>
      </c>
    </row>
    <row r="234" spans="5:10">
      <c r="E234" s="34">
        <v>44533</v>
      </c>
      <c r="F234" s="1">
        <v>1443.32</v>
      </c>
      <c r="G234" s="35">
        <v>68003.69</v>
      </c>
      <c r="I234" s="36">
        <f t="shared" si="6"/>
        <v>-2.6132721568098205E-2</v>
      </c>
      <c r="J234" s="36">
        <f t="shared" si="7"/>
        <v>-1.2578630050422479E-2</v>
      </c>
    </row>
    <row r="235" spans="5:10">
      <c r="E235" s="34">
        <v>44536</v>
      </c>
      <c r="F235" s="1">
        <v>1413.58</v>
      </c>
      <c r="G235" s="35">
        <v>65664.710000000006</v>
      </c>
      <c r="I235" s="36">
        <f t="shared" si="6"/>
        <v>-2.0605271180334284E-2</v>
      </c>
      <c r="J235" s="36">
        <f t="shared" si="7"/>
        <v>-3.43948982768435E-2</v>
      </c>
    </row>
    <row r="236" spans="5:10">
      <c r="E236" s="34">
        <v>44537</v>
      </c>
      <c r="F236" s="1">
        <v>1446.77</v>
      </c>
      <c r="G236" s="35">
        <v>66271.12</v>
      </c>
      <c r="I236" s="36">
        <f t="shared" si="6"/>
        <v>2.3479392747492334E-2</v>
      </c>
      <c r="J236" s="36">
        <f t="shared" si="7"/>
        <v>9.2349452240021446E-3</v>
      </c>
    </row>
    <row r="237" spans="5:10">
      <c r="E237" s="34">
        <v>44538</v>
      </c>
      <c r="F237" s="1">
        <v>1452.87</v>
      </c>
      <c r="G237" s="35">
        <v>66227.8</v>
      </c>
      <c r="I237" s="36">
        <f t="shared" si="6"/>
        <v>4.2162886982726189E-3</v>
      </c>
      <c r="J237" s="36">
        <f t="shared" si="7"/>
        <v>-6.5367840471075578E-4</v>
      </c>
    </row>
    <row r="238" spans="5:10">
      <c r="E238" s="34">
        <v>44539</v>
      </c>
      <c r="F238" s="1">
        <v>1467.98</v>
      </c>
      <c r="G238" s="35">
        <v>66054.539999999994</v>
      </c>
      <c r="I238" s="36">
        <f t="shared" si="6"/>
        <v>1.0400104620509776E-2</v>
      </c>
      <c r="J238" s="36">
        <f t="shared" si="7"/>
        <v>-2.6161219306697348E-3</v>
      </c>
    </row>
    <row r="239" spans="5:10">
      <c r="E239" s="34">
        <v>44540</v>
      </c>
      <c r="F239" s="1">
        <v>1463.54</v>
      </c>
      <c r="G239" s="35">
        <v>65967.92</v>
      </c>
      <c r="I239" s="36">
        <f t="shared" si="6"/>
        <v>-3.0245643673619815E-3</v>
      </c>
      <c r="J239" s="36">
        <f t="shared" si="7"/>
        <v>-1.311340598238897E-3</v>
      </c>
    </row>
    <row r="240" spans="5:10">
      <c r="E240" s="34">
        <v>44543</v>
      </c>
      <c r="F240" s="1">
        <v>1476.21</v>
      </c>
      <c r="G240" s="35">
        <v>65967.92</v>
      </c>
      <c r="I240" s="36">
        <f t="shared" si="6"/>
        <v>8.6570917091435273E-3</v>
      </c>
      <c r="J240" s="36">
        <f t="shared" si="7"/>
        <v>0</v>
      </c>
    </row>
    <row r="241" spans="5:10">
      <c r="E241" s="34">
        <v>44544</v>
      </c>
      <c r="F241" s="1">
        <v>1476.02</v>
      </c>
      <c r="G241" s="35">
        <v>66184.490000000005</v>
      </c>
      <c r="I241" s="36">
        <f t="shared" si="6"/>
        <v>-1.2870797515263099E-4</v>
      </c>
      <c r="J241" s="36">
        <f t="shared" si="7"/>
        <v>3.2829593535768087E-3</v>
      </c>
    </row>
    <row r="242" spans="5:10">
      <c r="E242" s="34">
        <v>44545</v>
      </c>
      <c r="F242" s="1">
        <v>1475.5</v>
      </c>
      <c r="G242" s="35">
        <v>66054.539999999994</v>
      </c>
      <c r="I242" s="36">
        <f t="shared" si="6"/>
        <v>-3.5229874933939698E-4</v>
      </c>
      <c r="J242" s="36">
        <f t="shared" si="7"/>
        <v>-1.9634509535393363E-3</v>
      </c>
    </row>
    <row r="243" spans="5:10">
      <c r="E243" s="34">
        <v>44546</v>
      </c>
      <c r="F243" s="1">
        <v>1476.61</v>
      </c>
      <c r="G243" s="35">
        <v>65404.83</v>
      </c>
      <c r="I243" s="36">
        <f t="shared" si="6"/>
        <v>7.5228736021681897E-4</v>
      </c>
      <c r="J243" s="36">
        <f t="shared" si="7"/>
        <v>-9.8359628270818789E-3</v>
      </c>
    </row>
    <row r="244" spans="5:10">
      <c r="E244" s="34">
        <v>44547</v>
      </c>
      <c r="F244" s="1">
        <v>1479.79</v>
      </c>
      <c r="G244" s="35">
        <v>64971.68</v>
      </c>
      <c r="I244" s="36">
        <f t="shared" si="6"/>
        <v>2.1535815144149151E-3</v>
      </c>
      <c r="J244" s="36">
        <f t="shared" si="7"/>
        <v>-6.6225995847707386E-3</v>
      </c>
    </row>
    <row r="245" spans="5:10">
      <c r="E245" s="34">
        <v>44550</v>
      </c>
      <c r="F245" s="1">
        <v>1477.33</v>
      </c>
      <c r="G245" s="35">
        <v>64538.54</v>
      </c>
      <c r="I245" s="36">
        <f t="shared" si="6"/>
        <v>-1.6623980429655294E-3</v>
      </c>
      <c r="J245" s="36">
        <f t="shared" si="7"/>
        <v>-6.6665968926769015E-3</v>
      </c>
    </row>
    <row r="246" spans="5:10">
      <c r="E246" s="34">
        <v>44551</v>
      </c>
      <c r="F246" s="1">
        <v>1478.74</v>
      </c>
      <c r="G246" s="35">
        <v>64495.22</v>
      </c>
      <c r="I246" s="36">
        <f t="shared" si="6"/>
        <v>9.5442453615657286E-4</v>
      </c>
      <c r="J246" s="36">
        <f t="shared" si="7"/>
        <v>-6.7122683593401344E-4</v>
      </c>
    </row>
    <row r="247" spans="5:10">
      <c r="E247" s="34">
        <v>44552</v>
      </c>
      <c r="F247" s="1">
        <v>1477.67</v>
      </c>
      <c r="G247" s="35">
        <v>63932.14</v>
      </c>
      <c r="I247" s="36">
        <f t="shared" si="6"/>
        <v>-7.2358900144708915E-4</v>
      </c>
      <c r="J247" s="36">
        <f t="shared" si="7"/>
        <v>-8.7305694902661823E-3</v>
      </c>
    </row>
    <row r="248" spans="5:10">
      <c r="E248" s="34">
        <v>44553</v>
      </c>
      <c r="F248" s="1">
        <v>1456.96</v>
      </c>
      <c r="G248" s="35">
        <v>63628.93</v>
      </c>
      <c r="I248" s="36">
        <f t="shared" si="6"/>
        <v>-1.401530788335692E-2</v>
      </c>
      <c r="J248" s="36">
        <f t="shared" si="7"/>
        <v>-4.7426849781658786E-3</v>
      </c>
    </row>
    <row r="249" spans="5:10">
      <c r="E249" s="34">
        <v>44554</v>
      </c>
      <c r="F249" s="1">
        <v>1477.03</v>
      </c>
      <c r="G249" s="35">
        <v>63672.25</v>
      </c>
      <c r="I249" s="36">
        <f t="shared" si="6"/>
        <v>1.3775258071601071E-2</v>
      </c>
      <c r="J249" s="36">
        <f t="shared" si="7"/>
        <v>6.8082238692368513E-4</v>
      </c>
    </row>
    <row r="250" spans="5:10">
      <c r="E250" s="34">
        <v>44557</v>
      </c>
      <c r="F250" s="1">
        <v>1488.88</v>
      </c>
      <c r="G250" s="35">
        <v>64062.080000000002</v>
      </c>
      <c r="I250" s="36">
        <f t="shared" si="6"/>
        <v>8.0228566786051392E-3</v>
      </c>
      <c r="J250" s="36">
        <f t="shared" si="7"/>
        <v>6.1224473769969645E-3</v>
      </c>
    </row>
    <row r="251" spans="5:10">
      <c r="E251" s="34">
        <v>44558</v>
      </c>
      <c r="F251" s="1">
        <v>1494.39</v>
      </c>
      <c r="G251" s="35">
        <v>64235.34</v>
      </c>
      <c r="I251" s="36">
        <f t="shared" si="6"/>
        <v>3.7007683627960919E-3</v>
      </c>
      <c r="J251" s="36">
        <f t="shared" si="7"/>
        <v>2.7045640728493581E-3</v>
      </c>
    </row>
    <row r="252" spans="5:10">
      <c r="E252" s="34">
        <v>44559</v>
      </c>
      <c r="F252" s="1">
        <v>1485.82</v>
      </c>
      <c r="G252" s="35">
        <v>64235.34</v>
      </c>
      <c r="I252" s="36">
        <f t="shared" si="6"/>
        <v>-5.7347814158286159E-3</v>
      </c>
      <c r="J252" s="36">
        <f t="shared" si="7"/>
        <v>0</v>
      </c>
    </row>
    <row r="253" spans="5:10">
      <c r="E253" s="34">
        <v>44560</v>
      </c>
      <c r="F253" s="1">
        <v>1485.97</v>
      </c>
      <c r="G253" s="35">
        <v>64495.22</v>
      </c>
      <c r="I253" s="36">
        <f t="shared" si="6"/>
        <v>1.0095435517087914E-4</v>
      </c>
      <c r="J253" s="36">
        <f t="shared" si="7"/>
        <v>4.0457480259310508E-3</v>
      </c>
    </row>
    <row r="254" spans="5:10">
      <c r="E254" s="34">
        <v>44561</v>
      </c>
      <c r="F254" s="1">
        <v>1498.28</v>
      </c>
      <c r="G254" s="35">
        <v>65404.83</v>
      </c>
      <c r="I254" s="36">
        <f t="shared" si="6"/>
        <v>8.2841510932252227E-3</v>
      </c>
      <c r="J254" s="36">
        <f t="shared" si="7"/>
        <v>1.4103525811680395E-2</v>
      </c>
    </row>
    <row r="255" spans="5:10">
      <c r="E255" s="34">
        <v>44565</v>
      </c>
      <c r="F255" s="1">
        <v>1525.58</v>
      </c>
      <c r="G255" s="35">
        <v>68003.69</v>
      </c>
      <c r="I255" s="36">
        <f t="shared" si="6"/>
        <v>1.8220893290973539E-2</v>
      </c>
      <c r="J255" s="36">
        <f t="shared" si="7"/>
        <v>3.973498593299607E-2</v>
      </c>
    </row>
    <row r="256" spans="5:10">
      <c r="E256" s="34">
        <v>44566</v>
      </c>
      <c r="F256" s="1">
        <v>1522.5</v>
      </c>
      <c r="G256" s="35">
        <v>68999.929999999993</v>
      </c>
      <c r="I256" s="36">
        <f t="shared" si="6"/>
        <v>-2.0189042855831563E-3</v>
      </c>
      <c r="J256" s="36">
        <f t="shared" si="7"/>
        <v>1.4649793268570965E-2</v>
      </c>
    </row>
    <row r="257" spans="5:10">
      <c r="E257" s="34">
        <v>44567</v>
      </c>
      <c r="F257" s="1">
        <v>1528.57</v>
      </c>
      <c r="G257" s="35">
        <v>67830.44</v>
      </c>
      <c r="I257" s="36">
        <f t="shared" si="6"/>
        <v>3.9868637110016536E-3</v>
      </c>
      <c r="J257" s="36">
        <f t="shared" si="7"/>
        <v>-1.6949147629569894E-2</v>
      </c>
    </row>
    <row r="258" spans="5:10">
      <c r="E258" s="34">
        <v>44568</v>
      </c>
      <c r="F258" s="1">
        <v>1528.48</v>
      </c>
      <c r="G258" s="35">
        <v>67218.14</v>
      </c>
      <c r="I258" s="36">
        <f t="shared" si="6"/>
        <v>-5.8878559699548916E-5</v>
      </c>
      <c r="J258" s="36">
        <f t="shared" si="7"/>
        <v>-9.0269206568615035E-3</v>
      </c>
    </row>
    <row r="259" spans="5:10">
      <c r="E259" s="34">
        <v>44571</v>
      </c>
      <c r="F259" s="1">
        <v>1503.71</v>
      </c>
      <c r="G259" s="35">
        <v>66691.62</v>
      </c>
      <c r="I259" s="36">
        <f t="shared" si="6"/>
        <v>-1.6205642206636672E-2</v>
      </c>
      <c r="J259" s="36">
        <f t="shared" si="7"/>
        <v>-7.8330046026267031E-3</v>
      </c>
    </row>
    <row r="260" spans="5:10">
      <c r="E260" s="34">
        <v>44572</v>
      </c>
      <c r="F260" s="1">
        <v>1492.31</v>
      </c>
      <c r="G260" s="35">
        <v>67086.509999999995</v>
      </c>
      <c r="I260" s="36">
        <f t="shared" si="6"/>
        <v>-7.5812490440311242E-3</v>
      </c>
      <c r="J260" s="36">
        <f t="shared" si="7"/>
        <v>5.9211337196487523E-3</v>
      </c>
    </row>
    <row r="261" spans="5:10">
      <c r="E261" s="34">
        <v>44573</v>
      </c>
      <c r="F261" s="1">
        <v>1510.51</v>
      </c>
      <c r="G261" s="35">
        <v>67042.63</v>
      </c>
      <c r="I261" s="36">
        <f t="shared" si="6"/>
        <v>1.2195857429086576E-2</v>
      </c>
      <c r="J261" s="36">
        <f t="shared" si="7"/>
        <v>-6.5408082787421495E-4</v>
      </c>
    </row>
    <row r="262" spans="5:10">
      <c r="E262" s="34">
        <v>44574</v>
      </c>
      <c r="F262" s="1">
        <v>1496.05</v>
      </c>
      <c r="G262" s="35">
        <v>66252.86</v>
      </c>
      <c r="I262" s="36">
        <f t="shared" si="6"/>
        <v>-9.5729257005912061E-3</v>
      </c>
      <c r="J262" s="36">
        <f t="shared" si="7"/>
        <v>-1.1780116621319947E-2</v>
      </c>
    </row>
    <row r="263" spans="5:10">
      <c r="E263" s="34">
        <v>44575</v>
      </c>
      <c r="F263" s="1">
        <v>1496.02</v>
      </c>
      <c r="G263" s="35">
        <v>66647.75</v>
      </c>
      <c r="I263" s="36">
        <f t="shared" ref="I263:I326" si="8">F263/F262-1</f>
        <v>-2.0052805721704203E-5</v>
      </c>
      <c r="J263" s="36">
        <f t="shared" ref="J263:J326" si="9">G263/G262-1</f>
        <v>5.9603464665525241E-3</v>
      </c>
    </row>
    <row r="264" spans="5:10">
      <c r="E264" s="34">
        <v>44578</v>
      </c>
      <c r="F264" s="1">
        <v>1452.84</v>
      </c>
      <c r="G264" s="35">
        <v>65814.100000000006</v>
      </c>
      <c r="I264" s="36">
        <f t="shared" si="8"/>
        <v>-2.8863250491303671E-2</v>
      </c>
      <c r="J264" s="36">
        <f t="shared" si="9"/>
        <v>-1.2508299229906372E-2</v>
      </c>
    </row>
    <row r="265" spans="5:10">
      <c r="E265" s="34">
        <v>44579</v>
      </c>
      <c r="F265" s="1">
        <v>1438.94</v>
      </c>
      <c r="G265" s="35">
        <v>66252.86</v>
      </c>
      <c r="I265" s="36">
        <f t="shared" si="8"/>
        <v>-9.5674678560611071E-3</v>
      </c>
      <c r="J265" s="36">
        <f t="shared" si="9"/>
        <v>6.6666565371249487E-3</v>
      </c>
    </row>
    <row r="266" spans="5:10">
      <c r="E266" s="34">
        <v>44580</v>
      </c>
      <c r="F266" s="1">
        <v>1442.79</v>
      </c>
      <c r="G266" s="35">
        <v>65814.100000000006</v>
      </c>
      <c r="I266" s="36">
        <f t="shared" si="8"/>
        <v>2.6755806357456891E-3</v>
      </c>
      <c r="J266" s="36">
        <f t="shared" si="9"/>
        <v>-6.622506560471475E-3</v>
      </c>
    </row>
    <row r="267" spans="5:10">
      <c r="E267" s="34">
        <v>44581</v>
      </c>
      <c r="F267" s="1">
        <v>1465.3</v>
      </c>
      <c r="G267" s="35">
        <v>65814.100000000006</v>
      </c>
      <c r="I267" s="36">
        <f t="shared" si="8"/>
        <v>1.5601716119463038E-2</v>
      </c>
      <c r="J267" s="36">
        <f t="shared" si="9"/>
        <v>0</v>
      </c>
    </row>
    <row r="268" spans="5:10">
      <c r="E268" s="34">
        <v>44582</v>
      </c>
      <c r="F268" s="1">
        <v>1472.89</v>
      </c>
      <c r="G268" s="35">
        <v>64936.58</v>
      </c>
      <c r="I268" s="36">
        <f t="shared" si="8"/>
        <v>5.1798266566573936E-3</v>
      </c>
      <c r="J268" s="36">
        <f t="shared" si="9"/>
        <v>-1.3333313074250119E-2</v>
      </c>
    </row>
    <row r="269" spans="5:10">
      <c r="E269" s="34">
        <v>44585</v>
      </c>
      <c r="F269" s="1">
        <v>1439.71</v>
      </c>
      <c r="G269" s="35">
        <v>63620.3</v>
      </c>
      <c r="I269" s="36">
        <f t="shared" si="8"/>
        <v>-2.252714051965865E-2</v>
      </c>
      <c r="J269" s="36">
        <f t="shared" si="9"/>
        <v>-2.0270239054782313E-2</v>
      </c>
    </row>
    <row r="270" spans="5:10">
      <c r="E270" s="34">
        <v>44586</v>
      </c>
      <c r="F270" s="1">
        <v>1479.58</v>
      </c>
      <c r="G270" s="35">
        <v>63620.3</v>
      </c>
      <c r="I270" s="36">
        <f t="shared" si="8"/>
        <v>2.7693077078022599E-2</v>
      </c>
      <c r="J270" s="36">
        <f t="shared" si="9"/>
        <v>0</v>
      </c>
    </row>
    <row r="271" spans="5:10">
      <c r="E271" s="34">
        <v>44587</v>
      </c>
      <c r="F271" s="1">
        <v>1481.58</v>
      </c>
      <c r="G271" s="35">
        <v>63049.91</v>
      </c>
      <c r="I271" s="36">
        <f t="shared" si="8"/>
        <v>1.3517349518106236E-3</v>
      </c>
      <c r="J271" s="36">
        <f t="shared" si="9"/>
        <v>-8.965534585658963E-3</v>
      </c>
    </row>
    <row r="272" spans="5:10">
      <c r="E272" s="34">
        <v>44588</v>
      </c>
      <c r="F272" s="1">
        <v>1470.76</v>
      </c>
      <c r="G272" s="35">
        <v>65287.59</v>
      </c>
      <c r="I272" s="36">
        <f t="shared" si="8"/>
        <v>-7.3030143495457223E-3</v>
      </c>
      <c r="J272" s="36">
        <f t="shared" si="9"/>
        <v>3.5490613705871921E-2</v>
      </c>
    </row>
    <row r="273" spans="5:10">
      <c r="E273" s="34">
        <v>44589</v>
      </c>
      <c r="F273" s="1">
        <v>1478.96</v>
      </c>
      <c r="G273" s="35">
        <v>65243.71</v>
      </c>
      <c r="I273" s="36">
        <f t="shared" si="8"/>
        <v>5.5753487992602491E-3</v>
      </c>
      <c r="J273" s="36">
        <f t="shared" si="9"/>
        <v>-6.7210322819388768E-4</v>
      </c>
    </row>
    <row r="274" spans="5:10">
      <c r="E274" s="34">
        <v>44599</v>
      </c>
      <c r="F274" s="1">
        <v>1497.66</v>
      </c>
      <c r="G274" s="35">
        <v>66735.5</v>
      </c>
      <c r="I274" s="36">
        <f t="shared" si="8"/>
        <v>1.264402012224819E-2</v>
      </c>
      <c r="J274" s="36">
        <f t="shared" si="9"/>
        <v>2.2864886132318407E-2</v>
      </c>
    </row>
    <row r="275" spans="5:10">
      <c r="E275" s="34">
        <v>44600</v>
      </c>
      <c r="F275" s="1">
        <v>1500.99</v>
      </c>
      <c r="G275" s="35">
        <v>67920.149999999994</v>
      </c>
      <c r="I275" s="36">
        <f t="shared" si="8"/>
        <v>2.2234686110331747E-3</v>
      </c>
      <c r="J275" s="36">
        <f t="shared" si="9"/>
        <v>1.7751421657138833E-2</v>
      </c>
    </row>
    <row r="276" spans="5:10">
      <c r="E276" s="34">
        <v>44601</v>
      </c>
      <c r="F276" s="1">
        <v>1505.38</v>
      </c>
      <c r="G276" s="35">
        <v>67481.39</v>
      </c>
      <c r="I276" s="36">
        <f t="shared" si="8"/>
        <v>2.9247363406819105E-3</v>
      </c>
      <c r="J276" s="36">
        <f t="shared" si="9"/>
        <v>-6.4599386190989927E-3</v>
      </c>
    </row>
    <row r="277" spans="5:10">
      <c r="E277" s="34">
        <v>44602</v>
      </c>
      <c r="F277" s="1">
        <v>1506.79</v>
      </c>
      <c r="G277" s="35">
        <v>68885.429999999993</v>
      </c>
      <c r="I277" s="36">
        <f t="shared" si="8"/>
        <v>9.3664058244424808E-4</v>
      </c>
      <c r="J277" s="36">
        <f t="shared" si="9"/>
        <v>2.0806328974551258E-2</v>
      </c>
    </row>
    <row r="278" spans="5:10">
      <c r="E278" s="34">
        <v>44603</v>
      </c>
      <c r="F278" s="1">
        <v>1501.71</v>
      </c>
      <c r="G278" s="35">
        <v>70026.210000000006</v>
      </c>
      <c r="I278" s="36">
        <f t="shared" si="8"/>
        <v>-3.3714054380503677E-3</v>
      </c>
      <c r="J278" s="36">
        <f t="shared" si="9"/>
        <v>1.6560541176849908E-2</v>
      </c>
    </row>
    <row r="279" spans="5:10">
      <c r="E279" s="34">
        <v>44606</v>
      </c>
      <c r="F279" s="1">
        <v>1471.96</v>
      </c>
      <c r="G279" s="35">
        <v>73667.92</v>
      </c>
      <c r="I279" s="36">
        <f t="shared" si="8"/>
        <v>-1.981074907938285E-2</v>
      </c>
      <c r="J279" s="36">
        <f t="shared" si="9"/>
        <v>5.200495642988523E-2</v>
      </c>
    </row>
    <row r="280" spans="5:10">
      <c r="E280" s="34">
        <v>44607</v>
      </c>
      <c r="F280" s="1">
        <v>1492.75</v>
      </c>
      <c r="G280" s="35">
        <v>74589.320000000007</v>
      </c>
      <c r="I280" s="36">
        <f t="shared" si="8"/>
        <v>1.4124025109377936E-2</v>
      </c>
      <c r="J280" s="36">
        <f t="shared" si="9"/>
        <v>1.2507479510756037E-2</v>
      </c>
    </row>
    <row r="281" spans="5:10">
      <c r="E281" s="34">
        <v>44608</v>
      </c>
      <c r="F281" s="1">
        <v>1492.1</v>
      </c>
      <c r="G281" s="35">
        <v>73887.3</v>
      </c>
      <c r="I281" s="36">
        <f t="shared" si="8"/>
        <v>-4.3543795009215458E-4</v>
      </c>
      <c r="J281" s="36">
        <f t="shared" si="9"/>
        <v>-9.4118031911271105E-3</v>
      </c>
    </row>
    <row r="282" spans="5:10">
      <c r="E282" s="34">
        <v>44609</v>
      </c>
      <c r="F282" s="1">
        <v>1507.99</v>
      </c>
      <c r="G282" s="35">
        <v>74808.7</v>
      </c>
      <c r="I282" s="36">
        <f t="shared" si="8"/>
        <v>1.0649420280142152E-2</v>
      </c>
      <c r="J282" s="36">
        <f t="shared" si="9"/>
        <v>1.2470343347232848E-2</v>
      </c>
    </row>
    <row r="283" spans="5:10">
      <c r="E283" s="34">
        <v>44610</v>
      </c>
      <c r="F283" s="1">
        <v>1504.84</v>
      </c>
      <c r="G283" s="35">
        <v>74326.06</v>
      </c>
      <c r="I283" s="36">
        <f t="shared" si="8"/>
        <v>-2.0888732683904676E-3</v>
      </c>
      <c r="J283" s="36">
        <f t="shared" si="9"/>
        <v>-6.4516560239651355E-3</v>
      </c>
    </row>
    <row r="284" spans="5:10">
      <c r="E284" s="34">
        <v>44613</v>
      </c>
      <c r="F284" s="1">
        <v>1510.84</v>
      </c>
      <c r="G284" s="35">
        <v>74413.81</v>
      </c>
      <c r="I284" s="36">
        <f t="shared" si="8"/>
        <v>3.9871348449005417E-3</v>
      </c>
      <c r="J284" s="36">
        <f t="shared" si="9"/>
        <v>1.1806087932011433E-3</v>
      </c>
    </row>
    <row r="285" spans="5:10">
      <c r="E285" s="34">
        <v>44614</v>
      </c>
      <c r="F285" s="1">
        <v>1503.47</v>
      </c>
      <c r="G285" s="35">
        <v>73887.3</v>
      </c>
      <c r="I285" s="36">
        <f t="shared" si="8"/>
        <v>-4.8780810674855513E-3</v>
      </c>
      <c r="J285" s="36">
        <f t="shared" si="9"/>
        <v>-7.0754339819449896E-3</v>
      </c>
    </row>
    <row r="286" spans="5:10">
      <c r="E286" s="34">
        <v>44615</v>
      </c>
      <c r="F286" s="1">
        <v>1512.3</v>
      </c>
      <c r="G286" s="35">
        <v>74501.56</v>
      </c>
      <c r="I286" s="36">
        <f t="shared" si="8"/>
        <v>5.8730802742987809E-3</v>
      </c>
      <c r="J286" s="36">
        <f t="shared" si="9"/>
        <v>8.3134720039843568E-3</v>
      </c>
    </row>
    <row r="287" spans="5:10">
      <c r="E287" s="34">
        <v>44616</v>
      </c>
      <c r="F287" s="1">
        <v>1494.85</v>
      </c>
      <c r="G287" s="35">
        <v>74457.69</v>
      </c>
      <c r="I287" s="36">
        <f t="shared" si="8"/>
        <v>-1.1538715863254723E-2</v>
      </c>
      <c r="J287" s="36">
        <f t="shared" si="9"/>
        <v>-5.8884673018921863E-4</v>
      </c>
    </row>
    <row r="288" spans="5:10">
      <c r="E288" s="34">
        <v>44617</v>
      </c>
      <c r="F288" s="1">
        <v>1498.89</v>
      </c>
      <c r="G288" s="35">
        <v>74413.81</v>
      </c>
      <c r="I288" s="36">
        <f t="shared" si="8"/>
        <v>2.7026123022377835E-3</v>
      </c>
      <c r="J288" s="36">
        <f t="shared" si="9"/>
        <v>-5.8932797942035098E-4</v>
      </c>
    </row>
    <row r="289" spans="5:10">
      <c r="E289" s="34">
        <v>44620</v>
      </c>
      <c r="F289" s="1">
        <v>1490.13</v>
      </c>
      <c r="G289" s="35">
        <v>74501.56</v>
      </c>
      <c r="I289" s="36">
        <f t="shared" si="8"/>
        <v>-5.8443248003522408E-3</v>
      </c>
      <c r="J289" s="36">
        <f t="shared" si="9"/>
        <v>1.1792165997144277E-3</v>
      </c>
    </row>
    <row r="290" spans="5:10">
      <c r="E290" s="34">
        <v>44621</v>
      </c>
      <c r="F290" s="1">
        <v>1498.78</v>
      </c>
      <c r="G290" s="35">
        <v>73711.8</v>
      </c>
      <c r="I290" s="36">
        <f t="shared" si="8"/>
        <v>5.8048626629889633E-3</v>
      </c>
      <c r="J290" s="36">
        <f t="shared" si="9"/>
        <v>-1.0600583397179841E-2</v>
      </c>
    </row>
    <row r="291" spans="5:10">
      <c r="E291" s="34">
        <v>44622</v>
      </c>
      <c r="F291" s="1">
        <v>1485.52</v>
      </c>
      <c r="G291" s="35">
        <v>74816.42</v>
      </c>
      <c r="I291" s="36">
        <f t="shared" si="8"/>
        <v>-8.8471957191849082E-3</v>
      </c>
      <c r="J291" s="36">
        <f t="shared" si="9"/>
        <v>1.4985660369167375E-2</v>
      </c>
    </row>
    <row r="292" spans="5:10">
      <c r="E292" s="34">
        <v>44623</v>
      </c>
      <c r="F292" s="1">
        <v>1505</v>
      </c>
      <c r="G292" s="35">
        <v>73975.289999999994</v>
      </c>
      <c r="I292" s="36">
        <f t="shared" si="8"/>
        <v>1.3113253271581637E-2</v>
      </c>
      <c r="J292" s="36">
        <f t="shared" si="9"/>
        <v>-1.1242585517991954E-2</v>
      </c>
    </row>
    <row r="293" spans="5:10">
      <c r="E293" s="34">
        <v>44624</v>
      </c>
      <c r="F293" s="1">
        <v>1505.33</v>
      </c>
      <c r="G293" s="35">
        <v>70832.12</v>
      </c>
      <c r="I293" s="36">
        <f t="shared" si="8"/>
        <v>2.1926910299008284E-4</v>
      </c>
      <c r="J293" s="36">
        <f t="shared" si="9"/>
        <v>-4.2489458304252659E-2</v>
      </c>
    </row>
    <row r="294" spans="5:10">
      <c r="E294" s="34">
        <v>44627</v>
      </c>
      <c r="F294" s="1">
        <v>1499.05</v>
      </c>
      <c r="G294" s="35">
        <v>68441.53</v>
      </c>
      <c r="I294" s="36">
        <f t="shared" si="8"/>
        <v>-4.1718427188722762E-3</v>
      </c>
      <c r="J294" s="36">
        <f t="shared" si="9"/>
        <v>-3.3750084001438863E-2</v>
      </c>
    </row>
    <row r="295" spans="5:10">
      <c r="E295" s="34">
        <v>44628</v>
      </c>
      <c r="F295" s="1">
        <v>1473.71</v>
      </c>
      <c r="G295" s="35">
        <v>68884.23</v>
      </c>
      <c r="I295" s="36">
        <f t="shared" si="8"/>
        <v>-1.6904039224842293E-2</v>
      </c>
      <c r="J295" s="36">
        <f t="shared" si="9"/>
        <v>6.468294908076988E-3</v>
      </c>
    </row>
    <row r="296" spans="5:10">
      <c r="E296" s="34">
        <v>44629</v>
      </c>
      <c r="F296" s="1">
        <v>1473.74</v>
      </c>
      <c r="G296" s="35">
        <v>68618.61</v>
      </c>
      <c r="I296" s="36">
        <f t="shared" si="8"/>
        <v>2.035678661327367E-5</v>
      </c>
      <c r="J296" s="36">
        <f t="shared" si="9"/>
        <v>-3.8560349734618748E-3</v>
      </c>
    </row>
    <row r="297" spans="5:10">
      <c r="E297" s="34">
        <v>44630</v>
      </c>
      <c r="F297" s="1">
        <v>1479.08</v>
      </c>
      <c r="G297" s="35">
        <v>69504.009999999995</v>
      </c>
      <c r="I297" s="36">
        <f t="shared" si="8"/>
        <v>3.6234342557031063E-3</v>
      </c>
      <c r="J297" s="36">
        <f t="shared" si="9"/>
        <v>1.2903205121759243E-2</v>
      </c>
    </row>
    <row r="298" spans="5:10">
      <c r="E298" s="34">
        <v>44631</v>
      </c>
      <c r="F298" s="1">
        <v>1466.54</v>
      </c>
      <c r="G298" s="35">
        <v>68175.91</v>
      </c>
      <c r="I298" s="36">
        <f t="shared" si="8"/>
        <v>-8.4782432322795254E-3</v>
      </c>
      <c r="J298" s="36">
        <f t="shared" si="9"/>
        <v>-1.9108250013200601E-2</v>
      </c>
    </row>
    <row r="299" spans="5:10">
      <c r="E299" s="34">
        <v>44634</v>
      </c>
      <c r="F299" s="1">
        <v>1446.25</v>
      </c>
      <c r="G299" s="35">
        <v>68175.91</v>
      </c>
      <c r="I299" s="36">
        <f t="shared" si="8"/>
        <v>-1.3835285774680517E-2</v>
      </c>
      <c r="J299" s="36">
        <f t="shared" si="9"/>
        <v>0</v>
      </c>
    </row>
    <row r="300" spans="5:10">
      <c r="E300" s="34">
        <v>44635</v>
      </c>
      <c r="F300" s="1">
        <v>1452.74</v>
      </c>
      <c r="G300" s="35">
        <v>66980.62</v>
      </c>
      <c r="I300" s="36">
        <f t="shared" si="8"/>
        <v>4.4874675885910875E-3</v>
      </c>
      <c r="J300" s="36">
        <f t="shared" si="9"/>
        <v>-1.7532439244302145E-2</v>
      </c>
    </row>
    <row r="301" spans="5:10">
      <c r="E301" s="34">
        <v>44636</v>
      </c>
      <c r="F301" s="1">
        <v>1459.33</v>
      </c>
      <c r="G301" s="35">
        <v>68175.91</v>
      </c>
      <c r="I301" s="36">
        <f t="shared" si="8"/>
        <v>4.5362556272974253E-3</v>
      </c>
      <c r="J301" s="36">
        <f t="shared" si="9"/>
        <v>1.7845311076547299E-2</v>
      </c>
    </row>
    <row r="302" spans="5:10">
      <c r="E302" s="34">
        <v>44637</v>
      </c>
      <c r="F302" s="1">
        <v>1461.34</v>
      </c>
      <c r="G302" s="35">
        <v>68175.91</v>
      </c>
      <c r="I302" s="36">
        <f t="shared" si="8"/>
        <v>1.377344397771596E-3</v>
      </c>
      <c r="J302" s="36">
        <f t="shared" si="9"/>
        <v>0</v>
      </c>
    </row>
    <row r="303" spans="5:10">
      <c r="E303" s="34">
        <v>44638</v>
      </c>
      <c r="F303" s="1">
        <v>1469.1</v>
      </c>
      <c r="G303" s="35">
        <v>67069.16</v>
      </c>
      <c r="I303" s="36">
        <f t="shared" si="8"/>
        <v>5.310194752761177E-3</v>
      </c>
      <c r="J303" s="36">
        <f t="shared" si="9"/>
        <v>-1.6233740041020406E-2</v>
      </c>
    </row>
    <row r="304" spans="5:10">
      <c r="E304" s="34">
        <v>44641</v>
      </c>
      <c r="F304" s="1">
        <v>1494.95</v>
      </c>
      <c r="G304" s="35">
        <v>67379.05</v>
      </c>
      <c r="I304" s="36">
        <f t="shared" si="8"/>
        <v>1.7595806956640203E-2</v>
      </c>
      <c r="J304" s="36">
        <f t="shared" si="9"/>
        <v>4.6204544681938131E-3</v>
      </c>
    </row>
    <row r="305" spans="5:10">
      <c r="E305" s="34">
        <v>44642</v>
      </c>
      <c r="F305" s="1">
        <v>1503.78</v>
      </c>
      <c r="G305" s="35">
        <v>68175.91</v>
      </c>
      <c r="I305" s="36">
        <f t="shared" si="8"/>
        <v>5.9065520585972475E-3</v>
      </c>
      <c r="J305" s="36">
        <f t="shared" si="9"/>
        <v>1.1826524713542286E-2</v>
      </c>
    </row>
    <row r="306" spans="5:10">
      <c r="E306" s="34">
        <v>44643</v>
      </c>
      <c r="F306" s="1">
        <v>1502.34</v>
      </c>
      <c r="G306" s="35">
        <v>69725.36</v>
      </c>
      <c r="I306" s="36">
        <f t="shared" si="8"/>
        <v>-9.5758688105973544E-4</v>
      </c>
      <c r="J306" s="36">
        <f t="shared" si="9"/>
        <v>2.2727236057428435E-2</v>
      </c>
    </row>
    <row r="307" spans="5:10">
      <c r="E307" s="34">
        <v>44644</v>
      </c>
      <c r="F307" s="1">
        <v>1498.26</v>
      </c>
      <c r="G307" s="35">
        <v>69858.17</v>
      </c>
      <c r="I307" s="36">
        <f t="shared" si="8"/>
        <v>-2.7157634090817506E-3</v>
      </c>
      <c r="J307" s="36">
        <f t="shared" si="9"/>
        <v>1.9047588997747056E-3</v>
      </c>
    </row>
    <row r="308" spans="5:10">
      <c r="E308" s="34">
        <v>44645</v>
      </c>
      <c r="F308" s="1">
        <v>1498.5</v>
      </c>
      <c r="G308" s="35">
        <v>69725.36</v>
      </c>
      <c r="I308" s="36">
        <f t="shared" si="8"/>
        <v>1.6018581554599898E-4</v>
      </c>
      <c r="J308" s="36">
        <f t="shared" si="9"/>
        <v>-1.9011376908384392E-3</v>
      </c>
    </row>
    <row r="309" spans="5:10">
      <c r="E309" s="34">
        <v>44648</v>
      </c>
      <c r="F309" s="1">
        <v>1483.18</v>
      </c>
      <c r="G309" s="35">
        <v>69769.63</v>
      </c>
      <c r="I309" s="36">
        <f t="shared" si="8"/>
        <v>-1.0223556890223473E-2</v>
      </c>
      <c r="J309" s="36">
        <f t="shared" si="9"/>
        <v>6.3491963325823519E-4</v>
      </c>
    </row>
    <row r="310" spans="5:10">
      <c r="E310" s="34">
        <v>44649</v>
      </c>
      <c r="F310" s="1">
        <v>1497.76</v>
      </c>
      <c r="G310" s="35">
        <v>69946.710000000006</v>
      </c>
      <c r="I310" s="36">
        <f t="shared" si="8"/>
        <v>9.8302296417156487E-3</v>
      </c>
      <c r="J310" s="36">
        <f t="shared" si="9"/>
        <v>2.5380670644232772E-3</v>
      </c>
    </row>
    <row r="311" spans="5:10">
      <c r="E311" s="34">
        <v>44650</v>
      </c>
      <c r="F311" s="1">
        <v>1490.51</v>
      </c>
      <c r="G311" s="35">
        <v>69902.44</v>
      </c>
      <c r="I311" s="36">
        <f t="shared" si="8"/>
        <v>-4.8405619057793059E-3</v>
      </c>
      <c r="J311" s="36">
        <f t="shared" si="9"/>
        <v>-6.3291039707236152E-4</v>
      </c>
    </row>
    <row r="312" spans="5:10">
      <c r="E312" s="34">
        <v>44651</v>
      </c>
      <c r="F312" s="1">
        <v>1492.15</v>
      </c>
      <c r="G312" s="35">
        <v>70389.42</v>
      </c>
      <c r="I312" s="36">
        <f t="shared" si="8"/>
        <v>1.1002945300602196E-3</v>
      </c>
      <c r="J312" s="36">
        <f t="shared" si="9"/>
        <v>6.9665665461748905E-3</v>
      </c>
    </row>
    <row r="313" spans="5:10">
      <c r="E313" s="34">
        <v>44652</v>
      </c>
      <c r="F313" s="1">
        <v>1516.44</v>
      </c>
      <c r="G313" s="35">
        <v>73178.429999999993</v>
      </c>
      <c r="I313" s="36">
        <f t="shared" si="8"/>
        <v>1.6278524277049788E-2</v>
      </c>
      <c r="J313" s="36">
        <f t="shared" si="9"/>
        <v>3.9622573960688801E-2</v>
      </c>
    </row>
    <row r="314" spans="5:10">
      <c r="E314" s="34">
        <v>44655</v>
      </c>
      <c r="F314" s="1">
        <v>1524.7</v>
      </c>
      <c r="G314" s="35">
        <v>73709.67</v>
      </c>
      <c r="I314" s="36">
        <f t="shared" si="8"/>
        <v>5.4469678984991887E-3</v>
      </c>
      <c r="J314" s="36">
        <f t="shared" si="9"/>
        <v>7.2595162262978352E-3</v>
      </c>
    </row>
    <row r="315" spans="5:10">
      <c r="E315" s="34">
        <v>44656</v>
      </c>
      <c r="F315" s="1">
        <v>1520.03</v>
      </c>
      <c r="G315" s="35">
        <v>73576.86</v>
      </c>
      <c r="I315" s="36">
        <f t="shared" si="8"/>
        <v>-3.0628976192038637E-3</v>
      </c>
      <c r="J315" s="36">
        <f t="shared" si="9"/>
        <v>-1.8017988684523312E-3</v>
      </c>
    </row>
    <row r="316" spans="5:10">
      <c r="E316" s="34">
        <v>44657</v>
      </c>
      <c r="F316" s="1">
        <v>1522.9</v>
      </c>
      <c r="G316" s="35">
        <v>75037.77</v>
      </c>
      <c r="I316" s="36">
        <f t="shared" si="8"/>
        <v>1.8881206291980757E-3</v>
      </c>
      <c r="J316" s="36">
        <f t="shared" si="9"/>
        <v>1.985556328443483E-2</v>
      </c>
    </row>
    <row r="317" spans="5:10">
      <c r="E317" s="34">
        <v>44658</v>
      </c>
      <c r="F317" s="1">
        <v>1502.35</v>
      </c>
      <c r="G317" s="35">
        <v>73709.67</v>
      </c>
      <c r="I317" s="36">
        <f t="shared" si="8"/>
        <v>-1.3493991726311716E-2</v>
      </c>
      <c r="J317" s="36">
        <f t="shared" si="9"/>
        <v>-1.7699086739917824E-2</v>
      </c>
    </row>
    <row r="318" spans="5:10">
      <c r="E318" s="34">
        <v>44659</v>
      </c>
      <c r="F318" s="1">
        <v>1482</v>
      </c>
      <c r="G318" s="35">
        <v>72691.460000000006</v>
      </c>
      <c r="I318" s="36">
        <f t="shared" si="8"/>
        <v>-1.3545445468765571E-2</v>
      </c>
      <c r="J318" s="36">
        <f t="shared" si="9"/>
        <v>-1.381379132480165E-2</v>
      </c>
    </row>
    <row r="319" spans="5:10">
      <c r="E319" s="34">
        <v>44663</v>
      </c>
      <c r="F319" s="1">
        <v>1455.25</v>
      </c>
      <c r="G319" s="35">
        <v>72293.03</v>
      </c>
      <c r="I319" s="36">
        <f t="shared" si="8"/>
        <v>-1.8049932523616752E-2</v>
      </c>
      <c r="J319" s="36">
        <f t="shared" si="9"/>
        <v>-5.4811115363483376E-3</v>
      </c>
    </row>
    <row r="320" spans="5:10">
      <c r="E320" s="34">
        <v>44664</v>
      </c>
      <c r="F320" s="1">
        <v>1477.2</v>
      </c>
      <c r="G320" s="35">
        <v>72381.570000000007</v>
      </c>
      <c r="I320" s="36">
        <f t="shared" si="8"/>
        <v>1.5083319017350938E-2</v>
      </c>
      <c r="J320" s="36">
        <f t="shared" si="9"/>
        <v>1.224737709845769E-3</v>
      </c>
    </row>
    <row r="321" spans="5:10">
      <c r="E321" s="34">
        <v>44665</v>
      </c>
      <c r="F321" s="1">
        <v>1472.12</v>
      </c>
      <c r="G321" s="35">
        <v>73886.75</v>
      </c>
      <c r="I321" s="36">
        <f t="shared" si="8"/>
        <v>-3.4389385323586596E-3</v>
      </c>
      <c r="J321" s="36">
        <f t="shared" si="9"/>
        <v>2.0795072557834748E-2</v>
      </c>
    </row>
    <row r="322" spans="5:10">
      <c r="E322" s="34">
        <v>44666</v>
      </c>
      <c r="F322" s="1">
        <v>1458.56</v>
      </c>
      <c r="G322" s="35">
        <v>74639.34</v>
      </c>
      <c r="I322" s="36">
        <f t="shared" si="8"/>
        <v>-9.2112056082384042E-3</v>
      </c>
      <c r="J322" s="36">
        <f t="shared" si="9"/>
        <v>1.0185723421316961E-2</v>
      </c>
    </row>
    <row r="323" spans="5:10">
      <c r="E323" s="34">
        <v>44669</v>
      </c>
      <c r="F323" s="1">
        <v>1432.6</v>
      </c>
      <c r="G323" s="35">
        <v>75259.12</v>
      </c>
      <c r="I323" s="36">
        <f t="shared" si="8"/>
        <v>-1.7798376480912759E-2</v>
      </c>
      <c r="J323" s="36">
        <f t="shared" si="9"/>
        <v>8.3036639927416278E-3</v>
      </c>
    </row>
    <row r="324" spans="5:10">
      <c r="E324" s="34">
        <v>44670</v>
      </c>
      <c r="F324" s="1">
        <v>1406.45</v>
      </c>
      <c r="G324" s="35">
        <v>74772.149999999994</v>
      </c>
      <c r="I324" s="36">
        <f t="shared" si="8"/>
        <v>-1.8253525059332643E-2</v>
      </c>
      <c r="J324" s="36">
        <f t="shared" si="9"/>
        <v>-6.4705779179985434E-3</v>
      </c>
    </row>
    <row r="325" spans="5:10">
      <c r="E325" s="34">
        <v>44671</v>
      </c>
      <c r="F325" s="1">
        <v>1384.72</v>
      </c>
      <c r="G325" s="35">
        <v>76144.52</v>
      </c>
      <c r="I325" s="36">
        <f t="shared" si="8"/>
        <v>-1.5450247075971424E-2</v>
      </c>
      <c r="J325" s="36">
        <f t="shared" si="9"/>
        <v>1.8354026198257101E-2</v>
      </c>
    </row>
    <row r="326" spans="5:10">
      <c r="E326" s="34">
        <v>44672</v>
      </c>
      <c r="F326" s="1">
        <v>1370.21</v>
      </c>
      <c r="G326" s="35">
        <v>75126.31</v>
      </c>
      <c r="I326" s="36">
        <f t="shared" si="8"/>
        <v>-1.047865272401638E-2</v>
      </c>
      <c r="J326" s="36">
        <f t="shared" si="9"/>
        <v>-1.3372071949498188E-2</v>
      </c>
    </row>
    <row r="327" spans="5:10">
      <c r="E327" s="34">
        <v>44673</v>
      </c>
      <c r="F327" s="1">
        <v>1379.23</v>
      </c>
      <c r="G327" s="35">
        <v>75391.929999999993</v>
      </c>
      <c r="I327" s="36">
        <f t="shared" ref="I327:I390" si="10">F327/F326-1</f>
        <v>6.5829325431867591E-3</v>
      </c>
      <c r="J327" s="36">
        <f t="shared" ref="J327:J390" si="11">G327/G326-1</f>
        <v>3.5356455015558286E-3</v>
      </c>
    </row>
    <row r="328" spans="5:10">
      <c r="E328" s="34">
        <v>44676</v>
      </c>
      <c r="F328" s="1">
        <v>1310.92</v>
      </c>
      <c r="G328" s="35">
        <v>70123.789999999994</v>
      </c>
      <c r="I328" s="36">
        <f t="shared" si="10"/>
        <v>-4.9527634984737778E-2</v>
      </c>
      <c r="J328" s="36">
        <f t="shared" si="11"/>
        <v>-6.9876709616002675E-2</v>
      </c>
    </row>
    <row r="329" spans="5:10">
      <c r="E329" s="34">
        <v>44677</v>
      </c>
      <c r="F329" s="1">
        <v>1341.34</v>
      </c>
      <c r="G329" s="35">
        <v>74816.42</v>
      </c>
      <c r="I329" s="36">
        <f t="shared" si="10"/>
        <v>2.3205077350257675E-2</v>
      </c>
      <c r="J329" s="36">
        <f t="shared" si="11"/>
        <v>6.6919229551055448E-2</v>
      </c>
    </row>
    <row r="330" spans="5:10">
      <c r="E330" s="34">
        <v>44678</v>
      </c>
      <c r="F330" s="1">
        <v>1353.77</v>
      </c>
      <c r="G330" s="35">
        <v>74816.42</v>
      </c>
      <c r="I330" s="36">
        <f t="shared" si="10"/>
        <v>9.2668525504346899E-3</v>
      </c>
      <c r="J330" s="36">
        <f t="shared" si="11"/>
        <v>0</v>
      </c>
    </row>
    <row r="331" spans="5:10">
      <c r="E331" s="34">
        <v>44679</v>
      </c>
      <c r="F331" s="1">
        <v>1350.99</v>
      </c>
      <c r="G331" s="35">
        <v>73045.62</v>
      </c>
      <c r="I331" s="36">
        <f t="shared" si="10"/>
        <v>-2.0535246016679665E-3</v>
      </c>
      <c r="J331" s="36">
        <f t="shared" si="11"/>
        <v>-2.3668601090509278E-2</v>
      </c>
    </row>
    <row r="332" spans="5:10">
      <c r="E332" s="34">
        <v>44680</v>
      </c>
      <c r="F332" s="1">
        <v>1366.8</v>
      </c>
      <c r="G332" s="35">
        <v>71761.789999999994</v>
      </c>
      <c r="I332" s="36">
        <f t="shared" si="10"/>
        <v>1.1702529256323091E-2</v>
      </c>
      <c r="J332" s="36">
        <f t="shared" si="11"/>
        <v>-1.7575728702145299E-2</v>
      </c>
    </row>
    <row r="333" spans="5:10">
      <c r="E333" s="34">
        <v>44685</v>
      </c>
      <c r="F333" s="1">
        <v>1348.68</v>
      </c>
      <c r="G333" s="35">
        <v>72381.570000000007</v>
      </c>
      <c r="I333" s="36">
        <f t="shared" si="10"/>
        <v>-1.3257243195785695E-2</v>
      </c>
      <c r="J333" s="36">
        <f t="shared" si="11"/>
        <v>8.6366296046964663E-3</v>
      </c>
    </row>
    <row r="334" spans="5:10">
      <c r="E334" s="34">
        <v>44686</v>
      </c>
      <c r="F334" s="1">
        <v>1360.68</v>
      </c>
      <c r="G334" s="35">
        <v>74993.5</v>
      </c>
      <c r="I334" s="36">
        <f t="shared" si="10"/>
        <v>8.8975887534477049E-3</v>
      </c>
      <c r="J334" s="36">
        <f t="shared" si="11"/>
        <v>3.6085567085654358E-2</v>
      </c>
    </row>
    <row r="335" spans="5:10">
      <c r="E335" s="34">
        <v>44687</v>
      </c>
      <c r="F335" s="1">
        <v>1329.26</v>
      </c>
      <c r="G335" s="35">
        <v>74152.37</v>
      </c>
      <c r="I335" s="36">
        <f t="shared" si="10"/>
        <v>-2.3091395478731291E-2</v>
      </c>
      <c r="J335" s="36">
        <f t="shared" si="11"/>
        <v>-1.1216038723356081E-2</v>
      </c>
    </row>
    <row r="336" spans="5:10">
      <c r="E336" s="34">
        <v>44690</v>
      </c>
      <c r="F336" s="1">
        <v>1269.6199999999999</v>
      </c>
      <c r="G336" s="35">
        <v>70876.39</v>
      </c>
      <c r="I336" s="36">
        <f t="shared" si="10"/>
        <v>-4.4867068895475759E-2</v>
      </c>
      <c r="J336" s="36">
        <f t="shared" si="11"/>
        <v>-4.4179032983032052E-2</v>
      </c>
    </row>
    <row r="337" spans="5:10">
      <c r="E337" s="34">
        <v>44691</v>
      </c>
      <c r="F337" s="1">
        <v>1293.56</v>
      </c>
      <c r="G337" s="35">
        <v>73001.350000000006</v>
      </c>
      <c r="I337" s="36">
        <f t="shared" si="10"/>
        <v>1.8856035664214454E-2</v>
      </c>
      <c r="J337" s="36">
        <f t="shared" si="11"/>
        <v>2.9981210950501325E-2</v>
      </c>
    </row>
    <row r="338" spans="5:10">
      <c r="E338" s="34">
        <v>44692</v>
      </c>
      <c r="F338" s="1">
        <v>1301.53</v>
      </c>
      <c r="G338" s="35">
        <v>72381.570000000007</v>
      </c>
      <c r="I338" s="36">
        <f t="shared" si="10"/>
        <v>6.1612913200779218E-3</v>
      </c>
      <c r="J338" s="36">
        <f t="shared" si="11"/>
        <v>-8.4899799798222597E-3</v>
      </c>
    </row>
    <row r="339" spans="5:10">
      <c r="E339" s="34">
        <v>44693</v>
      </c>
      <c r="F339" s="1">
        <v>1238.8399999999999</v>
      </c>
      <c r="G339" s="35">
        <v>73001.350000000006</v>
      </c>
      <c r="I339" s="36">
        <f t="shared" si="10"/>
        <v>-4.8166388788579595E-2</v>
      </c>
      <c r="J339" s="36">
        <f t="shared" si="11"/>
        <v>8.5626769355791055E-3</v>
      </c>
    </row>
    <row r="340" spans="5:10">
      <c r="E340" s="34">
        <v>44694</v>
      </c>
      <c r="F340" s="1">
        <v>1182.77</v>
      </c>
      <c r="G340" s="35">
        <v>72027.41</v>
      </c>
      <c r="I340" s="36">
        <f t="shared" si="10"/>
        <v>-4.5260082012204883E-2</v>
      </c>
      <c r="J340" s="36">
        <f t="shared" si="11"/>
        <v>-1.3341397111149345E-2</v>
      </c>
    </row>
    <row r="341" spans="5:10">
      <c r="E341" s="34">
        <v>44697</v>
      </c>
      <c r="F341" s="1">
        <v>1171.95</v>
      </c>
      <c r="G341" s="35">
        <v>69858.17</v>
      </c>
      <c r="I341" s="36">
        <f t="shared" si="10"/>
        <v>-9.1480169432771596E-3</v>
      </c>
      <c r="J341" s="36">
        <f t="shared" si="11"/>
        <v>-3.0116868008998265E-2</v>
      </c>
    </row>
    <row r="342" spans="5:10">
      <c r="E342" s="34">
        <v>44698</v>
      </c>
      <c r="F342" s="1">
        <v>1228.3699999999999</v>
      </c>
      <c r="G342" s="35">
        <v>73266.97</v>
      </c>
      <c r="I342" s="36">
        <f t="shared" si="10"/>
        <v>4.8141985579589486E-2</v>
      </c>
      <c r="J342" s="36">
        <f t="shared" si="11"/>
        <v>4.8796010545366419E-2</v>
      </c>
    </row>
    <row r="343" spans="5:10">
      <c r="E343" s="34">
        <v>44699</v>
      </c>
      <c r="F343" s="1">
        <v>1240.76</v>
      </c>
      <c r="G343" s="35">
        <v>71496.17</v>
      </c>
      <c r="I343" s="36">
        <f t="shared" si="10"/>
        <v>1.0086537443929844E-2</v>
      </c>
      <c r="J343" s="36">
        <f t="shared" si="11"/>
        <v>-2.4169144704632939E-2</v>
      </c>
    </row>
    <row r="344" spans="5:10">
      <c r="E344" s="34">
        <v>44700</v>
      </c>
      <c r="F344" s="1">
        <v>1241.6400000000001</v>
      </c>
      <c r="G344" s="35">
        <v>72115.95</v>
      </c>
      <c r="I344" s="36">
        <f t="shared" si="10"/>
        <v>7.0924272220262985E-4</v>
      </c>
      <c r="J344" s="36">
        <f t="shared" si="11"/>
        <v>8.6687161004568303E-3</v>
      </c>
    </row>
    <row r="345" spans="5:10">
      <c r="E345" s="34">
        <v>44701</v>
      </c>
      <c r="F345" s="1">
        <v>1240.71</v>
      </c>
      <c r="G345" s="35">
        <v>69282.66</v>
      </c>
      <c r="I345" s="36">
        <f t="shared" si="10"/>
        <v>-7.4900937469801754E-4</v>
      </c>
      <c r="J345" s="36">
        <f t="shared" si="11"/>
        <v>-3.9287979982236876E-2</v>
      </c>
    </row>
    <row r="346" spans="5:10">
      <c r="E346" s="34">
        <v>44704</v>
      </c>
      <c r="F346" s="1">
        <v>1218.81</v>
      </c>
      <c r="G346" s="35">
        <v>68220.179999999993</v>
      </c>
      <c r="I346" s="36">
        <f t="shared" si="10"/>
        <v>-1.7651183596489206E-2</v>
      </c>
      <c r="J346" s="36">
        <f t="shared" si="11"/>
        <v>-1.533543891068867E-2</v>
      </c>
    </row>
    <row r="347" spans="5:10">
      <c r="E347" s="34">
        <v>44705</v>
      </c>
      <c r="F347" s="1">
        <v>1233.3800000000001</v>
      </c>
      <c r="G347" s="35">
        <v>68175.91</v>
      </c>
      <c r="I347" s="36">
        <f t="shared" si="10"/>
        <v>1.1954283276310651E-2</v>
      </c>
      <c r="J347" s="36">
        <f t="shared" si="11"/>
        <v>-6.4892822035922393E-4</v>
      </c>
    </row>
    <row r="348" spans="5:10">
      <c r="E348" s="34">
        <v>44706</v>
      </c>
      <c r="F348" s="1">
        <v>1268.43</v>
      </c>
      <c r="G348" s="35">
        <v>68175.91</v>
      </c>
      <c r="I348" s="36">
        <f t="shared" si="10"/>
        <v>2.8417843649159114E-2</v>
      </c>
      <c r="J348" s="36">
        <f t="shared" si="11"/>
        <v>0</v>
      </c>
    </row>
    <row r="349" spans="5:10">
      <c r="E349" s="34">
        <v>44707</v>
      </c>
      <c r="F349" s="1">
        <v>1268.57</v>
      </c>
      <c r="G349" s="35">
        <v>67733.210000000006</v>
      </c>
      <c r="I349" s="36">
        <f t="shared" si="10"/>
        <v>1.1037266542102131E-4</v>
      </c>
      <c r="J349" s="36">
        <f t="shared" si="11"/>
        <v>-6.4934960164081401E-3</v>
      </c>
    </row>
    <row r="350" spans="5:10">
      <c r="E350" s="34">
        <v>44708</v>
      </c>
      <c r="F350" s="1">
        <v>1285.45</v>
      </c>
      <c r="G350" s="35">
        <v>68175.91</v>
      </c>
      <c r="I350" s="36">
        <f t="shared" si="10"/>
        <v>1.3306321290902368E-2</v>
      </c>
      <c r="J350" s="36">
        <f t="shared" si="11"/>
        <v>6.5359370979169995E-3</v>
      </c>
    </row>
    <row r="351" spans="5:10">
      <c r="E351" s="34">
        <v>44711</v>
      </c>
      <c r="F351" s="1">
        <v>1293.92</v>
      </c>
      <c r="G351" s="35">
        <v>67910.289999999994</v>
      </c>
      <c r="I351" s="36">
        <f t="shared" si="10"/>
        <v>6.5891322105100514E-3</v>
      </c>
      <c r="J351" s="36">
        <f t="shared" si="11"/>
        <v>-3.8960976098449951E-3</v>
      </c>
    </row>
    <row r="352" spans="5:10">
      <c r="E352" s="34">
        <v>44712</v>
      </c>
      <c r="F352" s="1">
        <v>1292.68</v>
      </c>
      <c r="G352" s="35">
        <v>67954.559999999998</v>
      </c>
      <c r="I352" s="36">
        <f t="shared" si="10"/>
        <v>-9.5832818103125383E-4</v>
      </c>
      <c r="J352" s="36">
        <f t="shared" si="11"/>
        <v>6.5188942647731452E-4</v>
      </c>
    </row>
    <row r="353" spans="5:10">
      <c r="E353" s="34">
        <v>44713</v>
      </c>
      <c r="F353" s="1">
        <v>1299.52</v>
      </c>
      <c r="G353" s="35">
        <v>67777.48</v>
      </c>
      <c r="I353" s="36">
        <f t="shared" si="10"/>
        <v>5.2913327350929684E-3</v>
      </c>
      <c r="J353" s="36">
        <f t="shared" si="11"/>
        <v>-2.6058589739967886E-3</v>
      </c>
    </row>
    <row r="354" spans="5:10">
      <c r="E354" s="34">
        <v>44714</v>
      </c>
      <c r="F354" s="1">
        <v>1288.6199999999999</v>
      </c>
      <c r="G354" s="35">
        <v>67733.210000000006</v>
      </c>
      <c r="I354" s="36">
        <f t="shared" si="10"/>
        <v>-8.3877123861119118E-3</v>
      </c>
      <c r="J354" s="36">
        <f t="shared" si="11"/>
        <v>-6.5316680407689898E-4</v>
      </c>
    </row>
    <row r="355" spans="5:10">
      <c r="E355" s="34">
        <v>44715</v>
      </c>
      <c r="F355" s="1">
        <v>1287.98</v>
      </c>
      <c r="G355" s="35">
        <v>68707.149999999994</v>
      </c>
      <c r="I355" s="36">
        <f t="shared" si="10"/>
        <v>-4.9665533671672257E-4</v>
      </c>
      <c r="J355" s="36">
        <f t="shared" si="11"/>
        <v>1.4379061615417132E-2</v>
      </c>
    </row>
    <row r="356" spans="5:10">
      <c r="E356" s="34">
        <v>44718</v>
      </c>
      <c r="F356" s="1">
        <v>1290.01</v>
      </c>
      <c r="G356" s="35">
        <v>70168.06</v>
      </c>
      <c r="I356" s="36">
        <f t="shared" si="10"/>
        <v>1.5761114303016743E-3</v>
      </c>
      <c r="J356" s="36">
        <f t="shared" si="11"/>
        <v>2.1262852556102274E-2</v>
      </c>
    </row>
    <row r="357" spans="5:10">
      <c r="E357" s="34">
        <v>44719</v>
      </c>
      <c r="F357" s="1">
        <v>1291.3499999999999</v>
      </c>
      <c r="G357" s="35">
        <v>70787.850000000006</v>
      </c>
      <c r="I357" s="36">
        <f t="shared" si="10"/>
        <v>1.0387516375840455E-3</v>
      </c>
      <c r="J357" s="36">
        <f t="shared" si="11"/>
        <v>8.8329362390808797E-3</v>
      </c>
    </row>
    <row r="358" spans="5:10">
      <c r="E358" s="34">
        <v>44720</v>
      </c>
      <c r="F358" s="1">
        <v>1307.9100000000001</v>
      </c>
      <c r="G358" s="35">
        <v>70699.31</v>
      </c>
      <c r="I358" s="36">
        <f t="shared" si="10"/>
        <v>1.2823789057962776E-2</v>
      </c>
      <c r="J358" s="36">
        <f t="shared" si="11"/>
        <v>-1.2507796182538167E-3</v>
      </c>
    </row>
    <row r="359" spans="5:10">
      <c r="E359" s="34">
        <v>44721</v>
      </c>
      <c r="F359" s="1">
        <v>1307.8</v>
      </c>
      <c r="G359" s="35">
        <v>69504.009999999995</v>
      </c>
      <c r="I359" s="36">
        <f t="shared" si="10"/>
        <v>-8.4103646275424104E-5</v>
      </c>
      <c r="J359" s="36">
        <f t="shared" si="11"/>
        <v>-1.6906812810478677E-2</v>
      </c>
    </row>
    <row r="360" spans="5:10">
      <c r="E360" s="34">
        <v>44722</v>
      </c>
      <c r="F360" s="1">
        <v>1284.08</v>
      </c>
      <c r="G360" s="35">
        <v>69813.899999999994</v>
      </c>
      <c r="I360" s="36">
        <f t="shared" si="10"/>
        <v>-1.8137329866952157E-2</v>
      </c>
      <c r="J360" s="36">
        <f t="shared" si="11"/>
        <v>4.4585916697468253E-3</v>
      </c>
    </row>
    <row r="361" spans="5:10">
      <c r="E361" s="34">
        <v>44725</v>
      </c>
      <c r="F361" s="1">
        <v>1227.04</v>
      </c>
      <c r="G361" s="35">
        <v>67733.210000000006</v>
      </c>
      <c r="I361" s="36">
        <f t="shared" si="10"/>
        <v>-4.4420908354619648E-2</v>
      </c>
      <c r="J361" s="36">
        <f t="shared" si="11"/>
        <v>-2.9803377264412734E-2</v>
      </c>
    </row>
    <row r="362" spans="5:10">
      <c r="E362" s="34">
        <v>44726</v>
      </c>
      <c r="F362" s="1">
        <v>1230.31</v>
      </c>
      <c r="G362" s="35">
        <v>66405.11</v>
      </c>
      <c r="I362" s="36">
        <f t="shared" si="10"/>
        <v>2.6649497978876724E-3</v>
      </c>
      <c r="J362" s="36">
        <f t="shared" si="11"/>
        <v>-1.9607811293750999E-2</v>
      </c>
    </row>
    <row r="363" spans="5:10">
      <c r="E363" s="34">
        <v>44727</v>
      </c>
      <c r="F363" s="1">
        <v>1213.93</v>
      </c>
      <c r="G363" s="35">
        <v>67290.509999999995</v>
      </c>
      <c r="I363" s="36">
        <f t="shared" si="10"/>
        <v>-1.3313717680909609E-2</v>
      </c>
      <c r="J363" s="36">
        <f t="shared" si="11"/>
        <v>1.333331124667958E-2</v>
      </c>
    </row>
    <row r="364" spans="5:10">
      <c r="E364" s="34">
        <v>44728</v>
      </c>
      <c r="F364" s="1">
        <v>1236.6300000000001</v>
      </c>
      <c r="G364" s="35">
        <v>69238.39</v>
      </c>
      <c r="I364" s="36">
        <f t="shared" si="10"/>
        <v>1.8699595528572477E-2</v>
      </c>
      <c r="J364" s="36">
        <f t="shared" si="11"/>
        <v>2.8947321100702084E-2</v>
      </c>
    </row>
    <row r="365" spans="5:10">
      <c r="E365" s="34">
        <v>44729</v>
      </c>
      <c r="F365" s="1">
        <v>1217.3</v>
      </c>
      <c r="G365" s="35">
        <v>69061.31</v>
      </c>
      <c r="I365" s="36">
        <f t="shared" si="10"/>
        <v>-1.5631191221303187E-2</v>
      </c>
      <c r="J365" s="36">
        <f t="shared" si="11"/>
        <v>-2.557540693826077E-3</v>
      </c>
    </row>
    <row r="366" spans="5:10">
      <c r="E366" s="34">
        <v>44732</v>
      </c>
      <c r="F366" s="1">
        <v>1180.4000000000001</v>
      </c>
      <c r="G366" s="35">
        <v>67290.509999999995</v>
      </c>
      <c r="I366" s="36">
        <f t="shared" si="10"/>
        <v>-3.0312987759796184E-2</v>
      </c>
      <c r="J366" s="36">
        <f t="shared" si="11"/>
        <v>-2.564098480031729E-2</v>
      </c>
    </row>
    <row r="367" spans="5:10">
      <c r="E367" s="34">
        <v>44733</v>
      </c>
      <c r="F367" s="1">
        <v>1172.47</v>
      </c>
      <c r="G367" s="35">
        <v>68618.61</v>
      </c>
      <c r="I367" s="36">
        <f t="shared" si="10"/>
        <v>-6.7180616740089016E-3</v>
      </c>
      <c r="J367" s="36">
        <f t="shared" si="11"/>
        <v>1.9736809841387926E-2</v>
      </c>
    </row>
    <row r="368" spans="5:10">
      <c r="E368" s="34">
        <v>44734</v>
      </c>
      <c r="F368" s="1">
        <v>1169.27</v>
      </c>
      <c r="G368" s="35">
        <v>69061.31</v>
      </c>
      <c r="I368" s="36">
        <f t="shared" si="10"/>
        <v>-2.7292809197677625E-3</v>
      </c>
      <c r="J368" s="36">
        <f t="shared" si="11"/>
        <v>6.4516025608796213E-3</v>
      </c>
    </row>
    <row r="369" spans="5:10">
      <c r="E369" s="34">
        <v>44735</v>
      </c>
      <c r="F369" s="1">
        <v>1188.8800000000001</v>
      </c>
      <c r="G369" s="35">
        <v>67910.289999999994</v>
      </c>
      <c r="I369" s="36">
        <f t="shared" si="10"/>
        <v>1.6771147810172193E-2</v>
      </c>
      <c r="J369" s="36">
        <f t="shared" si="11"/>
        <v>-1.6666640120206244E-2</v>
      </c>
    </row>
    <row r="370" spans="5:10">
      <c r="E370" s="34">
        <v>44736</v>
      </c>
      <c r="F370" s="1">
        <v>1185.48</v>
      </c>
      <c r="G370" s="35">
        <v>68884.23</v>
      </c>
      <c r="I370" s="36">
        <f t="shared" si="10"/>
        <v>-2.8598344660522024E-3</v>
      </c>
      <c r="J370" s="36">
        <f t="shared" si="11"/>
        <v>1.4341567382498255E-2</v>
      </c>
    </row>
    <row r="371" spans="5:10">
      <c r="E371" s="34">
        <v>44739</v>
      </c>
      <c r="F371" s="1">
        <v>1202.82</v>
      </c>
      <c r="G371" s="35">
        <v>69415.47</v>
      </c>
      <c r="I371" s="36">
        <f t="shared" si="10"/>
        <v>1.4626986537098929E-2</v>
      </c>
      <c r="J371" s="36">
        <f t="shared" si="11"/>
        <v>7.7120699469239717E-3</v>
      </c>
    </row>
    <row r="372" spans="5:10">
      <c r="E372" s="34">
        <v>44740</v>
      </c>
      <c r="F372" s="1">
        <v>1218.0999999999999</v>
      </c>
      <c r="G372" s="35">
        <v>69548.28</v>
      </c>
      <c r="I372" s="36">
        <f t="shared" si="10"/>
        <v>1.2703480154969027E-2</v>
      </c>
      <c r="J372" s="36">
        <f t="shared" si="11"/>
        <v>1.9132622742452643E-3</v>
      </c>
    </row>
    <row r="373" spans="5:10">
      <c r="E373" s="34">
        <v>44741</v>
      </c>
      <c r="F373" s="1">
        <v>1218.0899999999999</v>
      </c>
      <c r="G373" s="35">
        <v>68175.91</v>
      </c>
      <c r="I373" s="36">
        <f t="shared" si="10"/>
        <v>-8.2095066086251833E-6</v>
      </c>
      <c r="J373" s="36">
        <f t="shared" si="11"/>
        <v>-1.9732623150421458E-2</v>
      </c>
    </row>
    <row r="374" spans="5:10">
      <c r="E374" s="34">
        <v>44742</v>
      </c>
      <c r="F374" s="1">
        <v>1197.5999999999999</v>
      </c>
      <c r="G374" s="35">
        <v>68441.53</v>
      </c>
      <c r="I374" s="36">
        <f t="shared" si="10"/>
        <v>-1.682141713666474E-2</v>
      </c>
      <c r="J374" s="36">
        <f t="shared" si="11"/>
        <v>3.896097609844773E-3</v>
      </c>
    </row>
    <row r="375" spans="5:10">
      <c r="E375" s="34">
        <v>44743</v>
      </c>
      <c r="F375" s="1">
        <v>1198.9000000000001</v>
      </c>
      <c r="G375" s="35">
        <v>68131.64</v>
      </c>
      <c r="I375" s="36">
        <f t="shared" si="10"/>
        <v>1.0855043420174848E-3</v>
      </c>
      <c r="J375" s="36">
        <f t="shared" si="11"/>
        <v>-4.5278064356538694E-3</v>
      </c>
    </row>
    <row r="376" spans="5:10">
      <c r="E376" s="34">
        <v>44746</v>
      </c>
      <c r="F376" s="1">
        <v>1195.53</v>
      </c>
      <c r="G376" s="35">
        <v>67954.559999999998</v>
      </c>
      <c r="I376" s="36">
        <f t="shared" si="10"/>
        <v>-2.8109100008342214E-3</v>
      </c>
      <c r="J376" s="36">
        <f t="shared" si="11"/>
        <v>-2.5990861221012462E-3</v>
      </c>
    </row>
    <row r="377" spans="5:10">
      <c r="E377" s="34">
        <v>44747</v>
      </c>
      <c r="F377" s="1">
        <v>1181.29</v>
      </c>
      <c r="G377" s="35">
        <v>66759.27</v>
      </c>
      <c r="I377" s="36">
        <f t="shared" si="10"/>
        <v>-1.1911035273058812E-2</v>
      </c>
      <c r="J377" s="36">
        <f t="shared" si="11"/>
        <v>-1.7589548074477879E-2</v>
      </c>
    </row>
    <row r="378" spans="5:10">
      <c r="E378" s="34">
        <v>44748</v>
      </c>
      <c r="F378" s="1">
        <v>1149.6099999999999</v>
      </c>
      <c r="G378" s="35">
        <v>67556.13</v>
      </c>
      <c r="I378" s="36">
        <f t="shared" si="10"/>
        <v>-2.6818139491572857E-2</v>
      </c>
      <c r="J378" s="36">
        <f t="shared" si="11"/>
        <v>1.1936319854905619E-2</v>
      </c>
    </row>
    <row r="379" spans="5:10">
      <c r="E379" s="34">
        <v>44749</v>
      </c>
      <c r="F379" s="1">
        <v>1166.48</v>
      </c>
      <c r="G379" s="35">
        <v>69149.850000000006</v>
      </c>
      <c r="I379" s="36">
        <f t="shared" si="10"/>
        <v>1.4674541801132701E-2</v>
      </c>
      <c r="J379" s="36">
        <f t="shared" si="11"/>
        <v>2.3591049398477892E-2</v>
      </c>
    </row>
    <row r="380" spans="5:10">
      <c r="E380" s="34">
        <v>44750</v>
      </c>
      <c r="F380" s="1">
        <v>1171.31</v>
      </c>
      <c r="G380" s="35">
        <v>68662.880000000005</v>
      </c>
      <c r="I380" s="36">
        <f t="shared" si="10"/>
        <v>4.1406625060009805E-3</v>
      </c>
      <c r="J380" s="36">
        <f t="shared" si="11"/>
        <v>-7.0422423186745631E-3</v>
      </c>
    </row>
    <row r="381" spans="5:10">
      <c r="E381" s="34">
        <v>44753</v>
      </c>
      <c r="F381" s="1">
        <v>1155.29</v>
      </c>
      <c r="G381" s="35">
        <v>68662.880000000005</v>
      </c>
      <c r="I381" s="36">
        <f t="shared" si="10"/>
        <v>-1.3676994134772191E-2</v>
      </c>
      <c r="J381" s="36">
        <f t="shared" si="11"/>
        <v>0</v>
      </c>
    </row>
    <row r="382" spans="5:10">
      <c r="E382" s="34">
        <v>44754</v>
      </c>
      <c r="F382" s="1">
        <v>1174.82</v>
      </c>
      <c r="G382" s="35">
        <v>67998.83</v>
      </c>
      <c r="I382" s="36">
        <f t="shared" si="10"/>
        <v>1.6904846402201912E-2</v>
      </c>
      <c r="J382" s="36">
        <f t="shared" si="11"/>
        <v>-9.6711643904247024E-3</v>
      </c>
    </row>
    <row r="383" spans="5:10">
      <c r="E383" s="34">
        <v>44755</v>
      </c>
      <c r="F383" s="1">
        <v>1173.92</v>
      </c>
      <c r="G383" s="35">
        <v>67998.83</v>
      </c>
      <c r="I383" s="36">
        <f t="shared" si="10"/>
        <v>-7.6607480294843544E-4</v>
      </c>
      <c r="J383" s="36">
        <f t="shared" si="11"/>
        <v>0</v>
      </c>
    </row>
    <row r="384" spans="5:10">
      <c r="E384" s="34">
        <v>44756</v>
      </c>
      <c r="F384" s="1">
        <v>1182.17</v>
      </c>
      <c r="G384" s="35">
        <v>68574.34</v>
      </c>
      <c r="I384" s="36">
        <f t="shared" si="10"/>
        <v>7.0277361319339704E-3</v>
      </c>
      <c r="J384" s="36">
        <f t="shared" si="11"/>
        <v>8.4635279754077253E-3</v>
      </c>
    </row>
    <row r="385" spans="5:10">
      <c r="E385" s="34">
        <v>44757</v>
      </c>
      <c r="F385" s="1">
        <v>1179.25</v>
      </c>
      <c r="G385" s="35">
        <v>68175.91</v>
      </c>
      <c r="I385" s="36">
        <f t="shared" si="10"/>
        <v>-2.4700339206713551E-3</v>
      </c>
      <c r="J385" s="36">
        <f t="shared" si="11"/>
        <v>-5.8101908089818188E-3</v>
      </c>
    </row>
    <row r="386" spans="5:10">
      <c r="E386" s="34">
        <v>44760</v>
      </c>
      <c r="F386" s="1">
        <v>1176.49</v>
      </c>
      <c r="G386" s="35">
        <v>68264.45</v>
      </c>
      <c r="I386" s="36">
        <f t="shared" si="10"/>
        <v>-2.3404706381174867E-3</v>
      </c>
      <c r="J386" s="36">
        <f t="shared" si="11"/>
        <v>1.298699203281517E-3</v>
      </c>
    </row>
    <row r="387" spans="5:10">
      <c r="E387" s="34">
        <v>44761</v>
      </c>
      <c r="F387" s="1">
        <v>1178.33</v>
      </c>
      <c r="G387" s="35">
        <v>69415.47</v>
      </c>
      <c r="I387" s="36">
        <f t="shared" si="10"/>
        <v>1.5639741944257768E-3</v>
      </c>
      <c r="J387" s="36">
        <f t="shared" si="11"/>
        <v>1.6861192026010663E-2</v>
      </c>
    </row>
    <row r="388" spans="5:10">
      <c r="E388" s="34">
        <v>44762</v>
      </c>
      <c r="F388" s="1">
        <v>1194.1400000000001</v>
      </c>
      <c r="G388" s="35">
        <v>70743.58</v>
      </c>
      <c r="I388" s="36">
        <f t="shared" si="10"/>
        <v>1.3417293966885513E-2</v>
      </c>
      <c r="J388" s="36">
        <f t="shared" si="11"/>
        <v>1.9132766802558487E-2</v>
      </c>
    </row>
    <row r="389" spans="5:10">
      <c r="E389" s="34">
        <v>44763</v>
      </c>
      <c r="F389" s="1">
        <v>1198.47</v>
      </c>
      <c r="G389" s="35">
        <v>73045.62</v>
      </c>
      <c r="I389" s="36">
        <f t="shared" si="10"/>
        <v>3.6260404977639382E-3</v>
      </c>
      <c r="J389" s="36">
        <f t="shared" si="11"/>
        <v>3.254062064713148E-2</v>
      </c>
    </row>
    <row r="390" spans="5:10">
      <c r="E390" s="34">
        <v>44764</v>
      </c>
      <c r="F390" s="1">
        <v>1194.76</v>
      </c>
      <c r="G390" s="35">
        <v>73488.320000000007</v>
      </c>
      <c r="I390" s="36">
        <f t="shared" si="10"/>
        <v>-3.0956135739734769E-3</v>
      </c>
      <c r="J390" s="36">
        <f t="shared" si="11"/>
        <v>6.0605961041881873E-3</v>
      </c>
    </row>
    <row r="391" spans="5:10">
      <c r="E391" s="34">
        <v>44767</v>
      </c>
      <c r="F391" s="1">
        <v>1188.5</v>
      </c>
      <c r="G391" s="35">
        <v>73045.62</v>
      </c>
      <c r="I391" s="36">
        <f t="shared" ref="I391:I454" si="12">F391/F390-1</f>
        <v>-5.2395460176102304E-3</v>
      </c>
      <c r="J391" s="36">
        <f t="shared" ref="J391:J454" si="13">G391/G390-1</f>
        <v>-6.0240865487197759E-3</v>
      </c>
    </row>
    <row r="392" spans="5:10">
      <c r="E392" s="34">
        <v>44768</v>
      </c>
      <c r="F392" s="1">
        <v>1185.07</v>
      </c>
      <c r="G392" s="35">
        <v>74240.91</v>
      </c>
      <c r="I392" s="36">
        <f t="shared" si="12"/>
        <v>-2.8859907446361355E-3</v>
      </c>
      <c r="J392" s="36">
        <f t="shared" si="13"/>
        <v>1.6363609481307773E-2</v>
      </c>
    </row>
    <row r="393" spans="5:10">
      <c r="E393" s="34">
        <v>44769</v>
      </c>
      <c r="F393" s="1">
        <v>1191.04</v>
      </c>
      <c r="G393" s="35">
        <v>74240.91</v>
      </c>
      <c r="I393" s="36">
        <f t="shared" si="12"/>
        <v>5.0376770992430764E-3</v>
      </c>
      <c r="J393" s="36">
        <f t="shared" si="13"/>
        <v>0</v>
      </c>
    </row>
    <row r="394" spans="5:10">
      <c r="E394" s="34">
        <v>44770</v>
      </c>
      <c r="F394" s="1">
        <v>1208.1199999999999</v>
      </c>
      <c r="G394" s="35">
        <v>76587.23</v>
      </c>
      <c r="I394" s="36">
        <f t="shared" si="12"/>
        <v>1.4340408382589986E-2</v>
      </c>
      <c r="J394" s="36">
        <f t="shared" si="13"/>
        <v>3.1604138472979271E-2</v>
      </c>
    </row>
    <row r="395" spans="5:10">
      <c r="E395" s="34">
        <v>44771</v>
      </c>
      <c r="F395" s="1">
        <v>1206.33</v>
      </c>
      <c r="G395" s="35">
        <v>79686.13</v>
      </c>
      <c r="I395" s="36">
        <f t="shared" si="12"/>
        <v>-1.4816408965996342E-3</v>
      </c>
      <c r="J395" s="36">
        <f t="shared" si="13"/>
        <v>4.0462359064298514E-2</v>
      </c>
    </row>
    <row r="396" spans="5:10">
      <c r="E396" s="34">
        <v>44774</v>
      </c>
      <c r="F396" s="1">
        <v>1231.3499999999999</v>
      </c>
      <c r="G396" s="35">
        <v>81014.23</v>
      </c>
      <c r="I396" s="36">
        <f t="shared" si="12"/>
        <v>2.0740593369973359E-2</v>
      </c>
      <c r="J396" s="36">
        <f t="shared" si="13"/>
        <v>1.6666639476656586E-2</v>
      </c>
    </row>
    <row r="397" spans="5:10">
      <c r="E397" s="34">
        <v>44775</v>
      </c>
      <c r="F397" s="1">
        <v>1241.6199999999999</v>
      </c>
      <c r="G397" s="35">
        <v>83139.199999999997</v>
      </c>
      <c r="I397" s="36">
        <f t="shared" si="12"/>
        <v>8.3404393551793632E-3</v>
      </c>
      <c r="J397" s="36">
        <f t="shared" si="13"/>
        <v>2.6229589542479115E-2</v>
      </c>
    </row>
    <row r="398" spans="5:10">
      <c r="E398" s="34">
        <v>44776</v>
      </c>
      <c r="F398" s="1">
        <v>1249.76</v>
      </c>
      <c r="G398" s="35">
        <v>84068.87</v>
      </c>
      <c r="I398" s="36">
        <f t="shared" si="12"/>
        <v>6.5559510961485934E-3</v>
      </c>
      <c r="J398" s="36">
        <f t="shared" si="13"/>
        <v>1.1182089796389683E-2</v>
      </c>
    </row>
    <row r="399" spans="5:10">
      <c r="E399" s="34">
        <v>44777</v>
      </c>
      <c r="F399" s="1">
        <v>1254.1500000000001</v>
      </c>
      <c r="G399" s="35">
        <v>81899.63</v>
      </c>
      <c r="I399" s="36">
        <f t="shared" si="12"/>
        <v>3.5126744334912363E-3</v>
      </c>
      <c r="J399" s="36">
        <f t="shared" si="13"/>
        <v>-2.5803130219307024E-2</v>
      </c>
    </row>
    <row r="400" spans="5:10">
      <c r="E400" s="34">
        <v>44778</v>
      </c>
      <c r="F400" s="1">
        <v>1252.74</v>
      </c>
      <c r="G400" s="35">
        <v>80837.149999999994</v>
      </c>
      <c r="I400" s="36">
        <f t="shared" si="12"/>
        <v>-1.1242674321254587E-3</v>
      </c>
      <c r="J400" s="36">
        <f t="shared" si="13"/>
        <v>-1.2972952380859493E-2</v>
      </c>
    </row>
    <row r="401" spans="5:10">
      <c r="E401" s="34">
        <v>44781</v>
      </c>
      <c r="F401" s="1">
        <v>1256.75</v>
      </c>
      <c r="G401" s="35">
        <v>80128.83</v>
      </c>
      <c r="I401" s="36">
        <f t="shared" si="12"/>
        <v>3.2009834442900953E-3</v>
      </c>
      <c r="J401" s="36">
        <f t="shared" si="13"/>
        <v>-8.7623079240175539E-3</v>
      </c>
    </row>
    <row r="402" spans="5:10">
      <c r="E402" s="34">
        <v>44782</v>
      </c>
      <c r="F402" s="1">
        <v>1258.8499999999999</v>
      </c>
      <c r="G402" s="35">
        <v>79774.67</v>
      </c>
      <c r="I402" s="36">
        <f t="shared" si="12"/>
        <v>1.6709767256812835E-3</v>
      </c>
      <c r="J402" s="36">
        <f t="shared" si="13"/>
        <v>-4.4198823319896441E-3</v>
      </c>
    </row>
    <row r="403" spans="5:10">
      <c r="E403" s="34">
        <v>44783</v>
      </c>
      <c r="F403" s="1">
        <v>1256.5</v>
      </c>
      <c r="G403" s="35">
        <v>80571.53</v>
      </c>
      <c r="I403" s="36">
        <f t="shared" si="12"/>
        <v>-1.8667831751201236E-3</v>
      </c>
      <c r="J403" s="36">
        <f t="shared" si="13"/>
        <v>9.9888849430527227E-3</v>
      </c>
    </row>
    <row r="404" spans="5:10">
      <c r="E404" s="34">
        <v>44784</v>
      </c>
      <c r="F404" s="1">
        <v>1252.07</v>
      </c>
      <c r="G404" s="35">
        <v>80571.53</v>
      </c>
      <c r="I404" s="36">
        <f t="shared" si="12"/>
        <v>-3.5256665340230864E-3</v>
      </c>
      <c r="J404" s="36">
        <f t="shared" si="13"/>
        <v>0</v>
      </c>
    </row>
    <row r="405" spans="5:10">
      <c r="E405" s="34">
        <v>44785</v>
      </c>
      <c r="F405" s="1">
        <v>1262.33</v>
      </c>
      <c r="G405" s="35">
        <v>80571.53</v>
      </c>
      <c r="I405" s="36">
        <f t="shared" si="12"/>
        <v>8.194430023880539E-3</v>
      </c>
      <c r="J405" s="36">
        <f t="shared" si="13"/>
        <v>0</v>
      </c>
    </row>
    <row r="406" spans="5:10">
      <c r="E406" s="34">
        <v>44788</v>
      </c>
      <c r="F406" s="1">
        <v>1274.2</v>
      </c>
      <c r="G406" s="35">
        <v>82342.33</v>
      </c>
      <c r="I406" s="36">
        <f t="shared" si="12"/>
        <v>9.4032463777302677E-3</v>
      </c>
      <c r="J406" s="36">
        <f t="shared" si="13"/>
        <v>2.1977986517073722E-2</v>
      </c>
    </row>
    <row r="407" spans="5:10">
      <c r="E407" s="34">
        <v>44789</v>
      </c>
      <c r="F407" s="1">
        <v>1274.69</v>
      </c>
      <c r="G407" s="35">
        <v>83227.740000000005</v>
      </c>
      <c r="I407" s="36">
        <f t="shared" si="12"/>
        <v>3.8455501491130306E-4</v>
      </c>
      <c r="J407" s="36">
        <f t="shared" si="13"/>
        <v>1.0752792640188913E-2</v>
      </c>
    </row>
    <row r="408" spans="5:10">
      <c r="E408" s="34">
        <v>44790</v>
      </c>
      <c r="F408" s="1">
        <v>1275.28</v>
      </c>
      <c r="G408" s="35">
        <v>83449.09</v>
      </c>
      <c r="I408" s="36">
        <f t="shared" si="12"/>
        <v>4.6285763597420093E-4</v>
      </c>
      <c r="J408" s="36">
        <f t="shared" si="13"/>
        <v>2.6595699943310347E-3</v>
      </c>
    </row>
    <row r="409" spans="5:10">
      <c r="E409" s="34">
        <v>44791</v>
      </c>
      <c r="F409" s="1">
        <v>1273.6600000000001</v>
      </c>
      <c r="G409" s="35">
        <v>85662.59</v>
      </c>
      <c r="I409" s="36">
        <f t="shared" si="12"/>
        <v>-1.2703092654161585E-3</v>
      </c>
      <c r="J409" s="36">
        <f t="shared" si="13"/>
        <v>2.6525154438472587E-2</v>
      </c>
    </row>
    <row r="410" spans="5:10">
      <c r="E410" s="34">
        <v>44792</v>
      </c>
      <c r="F410" s="1">
        <v>1269.18</v>
      </c>
      <c r="G410" s="35">
        <v>86326.64</v>
      </c>
      <c r="I410" s="36">
        <f t="shared" si="12"/>
        <v>-3.5174222319928061E-3</v>
      </c>
      <c r="J410" s="36">
        <f t="shared" si="13"/>
        <v>7.7519253153564005E-3</v>
      </c>
    </row>
    <row r="411" spans="5:10">
      <c r="E411" s="34">
        <v>44795</v>
      </c>
      <c r="F411" s="1">
        <v>1260.43</v>
      </c>
      <c r="G411" s="35">
        <v>85883.94</v>
      </c>
      <c r="I411" s="36">
        <f t="shared" si="12"/>
        <v>-6.894215162545847E-3</v>
      </c>
      <c r="J411" s="36">
        <f t="shared" si="13"/>
        <v>-5.1281968115519661E-3</v>
      </c>
    </row>
    <row r="412" spans="5:10">
      <c r="E412" s="34">
        <v>44796</v>
      </c>
      <c r="F412" s="1">
        <v>1270.81</v>
      </c>
      <c r="G412" s="35">
        <v>84113.14</v>
      </c>
      <c r="I412" s="36">
        <f t="shared" si="12"/>
        <v>8.2352847837641185E-3</v>
      </c>
      <c r="J412" s="36">
        <f t="shared" si="13"/>
        <v>-2.061852309058021E-2</v>
      </c>
    </row>
    <row r="413" spans="5:10">
      <c r="E413" s="34">
        <v>44797</v>
      </c>
      <c r="F413" s="1">
        <v>1277.1600000000001</v>
      </c>
      <c r="G413" s="35">
        <v>82785.039999999994</v>
      </c>
      <c r="I413" s="36">
        <f t="shared" si="12"/>
        <v>4.9968130562398905E-3</v>
      </c>
      <c r="J413" s="36">
        <f t="shared" si="13"/>
        <v>-1.5789447403818269E-2</v>
      </c>
    </row>
    <row r="414" spans="5:10">
      <c r="E414" s="34">
        <v>44798</v>
      </c>
      <c r="F414" s="1">
        <v>1288.8800000000001</v>
      </c>
      <c r="G414" s="35">
        <v>83006.39</v>
      </c>
      <c r="I414" s="36">
        <f t="shared" si="12"/>
        <v>9.1766106047794782E-3</v>
      </c>
      <c r="J414" s="36">
        <f t="shared" si="13"/>
        <v>2.6737922697144256E-3</v>
      </c>
    </row>
    <row r="415" spans="5:10">
      <c r="E415" s="34">
        <v>44799</v>
      </c>
      <c r="F415" s="1">
        <v>1282.57</v>
      </c>
      <c r="G415" s="35">
        <v>83227.740000000005</v>
      </c>
      <c r="I415" s="36">
        <f t="shared" si="12"/>
        <v>-4.8957234187823051E-3</v>
      </c>
      <c r="J415" s="36">
        <f t="shared" si="13"/>
        <v>2.6666621690210057E-3</v>
      </c>
    </row>
    <row r="416" spans="5:10">
      <c r="E416" s="34">
        <v>44802</v>
      </c>
      <c r="F416" s="1">
        <v>1270.8</v>
      </c>
      <c r="G416" s="35">
        <v>83227.740000000005</v>
      </c>
      <c r="I416" s="36">
        <f t="shared" si="12"/>
        <v>-9.1768870315069861E-3</v>
      </c>
      <c r="J416" s="36">
        <f t="shared" si="13"/>
        <v>0</v>
      </c>
    </row>
    <row r="417" spans="5:10">
      <c r="E417" s="34">
        <v>44803</v>
      </c>
      <c r="F417" s="1">
        <v>1279.3900000000001</v>
      </c>
      <c r="G417" s="35">
        <v>83183.47</v>
      </c>
      <c r="I417" s="36">
        <f t="shared" si="12"/>
        <v>6.7595215612212822E-3</v>
      </c>
      <c r="J417" s="36">
        <f t="shared" si="13"/>
        <v>-5.3191399886631796E-4</v>
      </c>
    </row>
    <row r="418" spans="5:10">
      <c r="E418" s="34">
        <v>44804</v>
      </c>
      <c r="F418" s="1">
        <v>1280.51</v>
      </c>
      <c r="G418" s="35">
        <v>83183.47</v>
      </c>
      <c r="I418" s="36">
        <f t="shared" si="12"/>
        <v>8.7541719100503457E-4</v>
      </c>
      <c r="J418" s="36">
        <f t="shared" si="13"/>
        <v>0</v>
      </c>
    </row>
    <row r="419" spans="5:10">
      <c r="E419" s="34">
        <v>44809</v>
      </c>
      <c r="F419" s="1">
        <v>1277.3499999999999</v>
      </c>
      <c r="G419" s="35">
        <v>83227.740000000005</v>
      </c>
      <c r="I419" s="36">
        <f t="shared" si="12"/>
        <v>-2.4677667491859179E-3</v>
      </c>
      <c r="J419" s="36">
        <f t="shared" si="13"/>
        <v>5.3219708194429671E-4</v>
      </c>
    </row>
    <row r="420" spans="5:10">
      <c r="E420" s="34">
        <v>44810</v>
      </c>
      <c r="F420" s="1">
        <v>1277.4000000000001</v>
      </c>
      <c r="G420" s="35">
        <v>83493.36</v>
      </c>
      <c r="I420" s="36">
        <f t="shared" si="12"/>
        <v>3.914353935896564E-5</v>
      </c>
      <c r="J420" s="36">
        <f t="shared" si="13"/>
        <v>3.1914839931974637E-3</v>
      </c>
    </row>
    <row r="421" spans="5:10">
      <c r="E421" s="34">
        <v>44811</v>
      </c>
      <c r="F421" s="1">
        <v>1243.17</v>
      </c>
      <c r="G421" s="35">
        <v>83227.740000000005</v>
      </c>
      <c r="I421" s="36">
        <f t="shared" si="12"/>
        <v>-2.6796618130577765E-2</v>
      </c>
      <c r="J421" s="36">
        <f t="shared" si="13"/>
        <v>-3.1813308267866214E-3</v>
      </c>
    </row>
    <row r="422" spans="5:10">
      <c r="E422" s="34">
        <v>44812</v>
      </c>
      <c r="F422" s="1">
        <v>1234.5999999999999</v>
      </c>
      <c r="G422" s="35">
        <v>84865.73</v>
      </c>
      <c r="I422" s="36">
        <f t="shared" si="12"/>
        <v>-6.8936669964688724E-3</v>
      </c>
      <c r="J422" s="36">
        <f t="shared" si="13"/>
        <v>1.9680817958050989E-2</v>
      </c>
    </row>
    <row r="423" spans="5:10">
      <c r="E423" s="34">
        <v>44813</v>
      </c>
      <c r="F423" s="1">
        <v>1248.78</v>
      </c>
      <c r="G423" s="35">
        <v>85795.4</v>
      </c>
      <c r="I423" s="36">
        <f t="shared" si="12"/>
        <v>1.1485501376964358E-2</v>
      </c>
      <c r="J423" s="36">
        <f t="shared" si="13"/>
        <v>1.0954598516975E-2</v>
      </c>
    </row>
    <row r="424" spans="5:10">
      <c r="E424" s="34">
        <v>44816</v>
      </c>
      <c r="F424" s="1">
        <v>1249.6199999999999</v>
      </c>
      <c r="G424" s="35">
        <v>86326.64</v>
      </c>
      <c r="I424" s="36">
        <f t="shared" si="12"/>
        <v>6.726565127563866E-4</v>
      </c>
      <c r="J424" s="36">
        <f t="shared" si="13"/>
        <v>6.1919403604389078E-3</v>
      </c>
    </row>
    <row r="425" spans="5:10">
      <c r="E425" s="34">
        <v>44817</v>
      </c>
      <c r="F425" s="1">
        <v>1248.4000000000001</v>
      </c>
      <c r="G425" s="35">
        <v>84555.839999999997</v>
      </c>
      <c r="I425" s="36">
        <f t="shared" si="12"/>
        <v>-9.7629679422528426E-4</v>
      </c>
      <c r="J425" s="36">
        <f t="shared" si="13"/>
        <v>-2.0512787246208197E-2</v>
      </c>
    </row>
    <row r="426" spans="5:10">
      <c r="E426" s="34">
        <v>44818</v>
      </c>
      <c r="F426" s="1">
        <v>1240.77</v>
      </c>
      <c r="G426" s="35">
        <v>81456.929999999993</v>
      </c>
      <c r="I426" s="36">
        <f t="shared" si="12"/>
        <v>-6.1118231336111384E-3</v>
      </c>
      <c r="J426" s="36">
        <f t="shared" si="13"/>
        <v>-3.6649272244235309E-2</v>
      </c>
    </row>
    <row r="427" spans="5:10">
      <c r="E427" s="34">
        <v>44819</v>
      </c>
      <c r="F427" s="1">
        <v>1245.6600000000001</v>
      </c>
      <c r="G427" s="35">
        <v>82032.44</v>
      </c>
      <c r="I427" s="36">
        <f t="shared" si="12"/>
        <v>3.9411010904519816E-3</v>
      </c>
      <c r="J427" s="36">
        <f t="shared" si="13"/>
        <v>7.0652061156737389E-3</v>
      </c>
    </row>
    <row r="428" spans="5:10">
      <c r="E428" s="34">
        <v>44820</v>
      </c>
      <c r="F428" s="1">
        <v>1234.03</v>
      </c>
      <c r="G428" s="35">
        <v>82032.44</v>
      </c>
      <c r="I428" s="36">
        <f t="shared" si="12"/>
        <v>-9.336416036478723E-3</v>
      </c>
      <c r="J428" s="36">
        <f t="shared" si="13"/>
        <v>0</v>
      </c>
    </row>
    <row r="429" spans="5:10">
      <c r="E429" s="34">
        <v>44823</v>
      </c>
      <c r="F429" s="1">
        <v>1205.43</v>
      </c>
      <c r="G429" s="35">
        <v>82032.44</v>
      </c>
      <c r="I429" s="36">
        <f t="shared" si="12"/>
        <v>-2.3176097825822639E-2</v>
      </c>
      <c r="J429" s="36">
        <f t="shared" si="13"/>
        <v>0</v>
      </c>
    </row>
    <row r="430" spans="5:10">
      <c r="E430" s="34">
        <v>44824</v>
      </c>
      <c r="F430" s="1">
        <v>1218.93</v>
      </c>
      <c r="G430" s="35">
        <v>83006.39</v>
      </c>
      <c r="I430" s="36">
        <f t="shared" si="12"/>
        <v>1.119932306313931E-2</v>
      </c>
      <c r="J430" s="36">
        <f t="shared" si="13"/>
        <v>1.1872742051802776E-2</v>
      </c>
    </row>
    <row r="431" spans="5:10">
      <c r="E431" s="34">
        <v>44825</v>
      </c>
      <c r="F431" s="1">
        <v>1210.55</v>
      </c>
      <c r="G431" s="35">
        <v>83227.740000000005</v>
      </c>
      <c r="I431" s="36">
        <f t="shared" si="12"/>
        <v>-6.8748820686996837E-3</v>
      </c>
      <c r="J431" s="36">
        <f t="shared" si="13"/>
        <v>2.6666621690210057E-3</v>
      </c>
    </row>
    <row r="432" spans="5:10">
      <c r="E432" s="34">
        <v>44826</v>
      </c>
      <c r="F432" s="1">
        <v>1214.7</v>
      </c>
      <c r="G432" s="35">
        <v>82785.039999999994</v>
      </c>
      <c r="I432" s="36">
        <f t="shared" si="12"/>
        <v>3.4281937962084008E-3</v>
      </c>
      <c r="J432" s="36">
        <f t="shared" si="13"/>
        <v>-5.3191399886626245E-3</v>
      </c>
    </row>
    <row r="433" spans="5:10">
      <c r="E433" s="34">
        <v>44827</v>
      </c>
      <c r="F433" s="1">
        <v>1203.28</v>
      </c>
      <c r="G433" s="35">
        <v>82785.039999999994</v>
      </c>
      <c r="I433" s="36">
        <f t="shared" si="12"/>
        <v>-9.401498312340606E-3</v>
      </c>
      <c r="J433" s="36">
        <f t="shared" si="13"/>
        <v>0</v>
      </c>
    </row>
    <row r="434" spans="5:10">
      <c r="E434" s="34">
        <v>44830</v>
      </c>
      <c r="F434" s="1">
        <v>1174.3499999999999</v>
      </c>
      <c r="G434" s="35">
        <v>81899.63</v>
      </c>
      <c r="I434" s="36">
        <f t="shared" si="12"/>
        <v>-2.4042616847284148E-2</v>
      </c>
      <c r="J434" s="36">
        <f t="shared" si="13"/>
        <v>-1.0695289873629221E-2</v>
      </c>
    </row>
    <row r="435" spans="5:10">
      <c r="E435" s="34">
        <v>44831</v>
      </c>
      <c r="F435" s="1">
        <v>1166.54</v>
      </c>
      <c r="G435" s="35">
        <v>82032.44</v>
      </c>
      <c r="I435" s="36">
        <f t="shared" si="12"/>
        <v>-6.650487503725433E-3</v>
      </c>
      <c r="J435" s="36">
        <f t="shared" si="13"/>
        <v>1.6216190476074921E-3</v>
      </c>
    </row>
    <row r="436" spans="5:10">
      <c r="E436" s="34">
        <v>44832</v>
      </c>
      <c r="F436" s="1">
        <v>1143.6199999999999</v>
      </c>
      <c r="G436" s="35">
        <v>81014.23</v>
      </c>
      <c r="I436" s="36">
        <f t="shared" si="12"/>
        <v>-1.964784748058368E-2</v>
      </c>
      <c r="J436" s="36">
        <f t="shared" si="13"/>
        <v>-1.2412284701028065E-2</v>
      </c>
    </row>
    <row r="437" spans="5:10">
      <c r="E437" s="34">
        <v>44833</v>
      </c>
      <c r="F437" s="1">
        <v>1126.07</v>
      </c>
      <c r="G437" s="35">
        <v>80925.69</v>
      </c>
      <c r="I437" s="36">
        <f t="shared" si="12"/>
        <v>-1.5346006540634116E-2</v>
      </c>
      <c r="J437" s="36">
        <f t="shared" si="13"/>
        <v>-1.0928944211404668E-3</v>
      </c>
    </row>
    <row r="438" spans="5:10">
      <c r="E438" s="34">
        <v>44834</v>
      </c>
      <c r="F438" s="1">
        <v>1132.1099999999999</v>
      </c>
      <c r="G438" s="35">
        <v>81899.63</v>
      </c>
      <c r="I438" s="36">
        <f t="shared" si="12"/>
        <v>5.3637873311604967E-3</v>
      </c>
      <c r="J438" s="36">
        <f t="shared" si="13"/>
        <v>1.2034991607732914E-2</v>
      </c>
    </row>
    <row r="439" spans="5:10">
      <c r="E439" s="34">
        <v>44837</v>
      </c>
      <c r="F439" s="1">
        <v>1086.44</v>
      </c>
      <c r="G439" s="35">
        <v>80660.070000000007</v>
      </c>
      <c r="I439" s="36">
        <f t="shared" si="12"/>
        <v>-4.0340602944943349E-2</v>
      </c>
      <c r="J439" s="36">
        <f t="shared" si="13"/>
        <v>-1.5135111111002519E-2</v>
      </c>
    </row>
    <row r="440" spans="5:10">
      <c r="E440" s="34">
        <v>44838</v>
      </c>
      <c r="F440" s="1">
        <v>1078.1400000000001</v>
      </c>
      <c r="G440" s="35">
        <v>83227.740000000005</v>
      </c>
      <c r="I440" s="36">
        <f t="shared" si="12"/>
        <v>-7.6396303523433851E-3</v>
      </c>
      <c r="J440" s="36">
        <f t="shared" si="13"/>
        <v>3.1833223055720117E-2</v>
      </c>
    </row>
    <row r="441" spans="5:10">
      <c r="E441" s="34">
        <v>44839</v>
      </c>
      <c r="F441" s="1">
        <v>1104.26</v>
      </c>
      <c r="G441" s="35">
        <v>83670.44</v>
      </c>
      <c r="I441" s="36">
        <f t="shared" si="12"/>
        <v>2.4226909306768851E-2</v>
      </c>
      <c r="J441" s="36">
        <f t="shared" si="13"/>
        <v>5.3191399886622914E-3</v>
      </c>
    </row>
    <row r="442" spans="5:10">
      <c r="E442" s="34">
        <v>44840</v>
      </c>
      <c r="F442" s="1">
        <v>1074.52</v>
      </c>
      <c r="G442" s="35">
        <v>82253.789999999994</v>
      </c>
      <c r="I442" s="36">
        <f t="shared" si="12"/>
        <v>-2.6932063101081316E-2</v>
      </c>
      <c r="J442" s="36">
        <f t="shared" si="13"/>
        <v>-1.6931308117896893E-2</v>
      </c>
    </row>
    <row r="443" spans="5:10">
      <c r="E443" s="34">
        <v>44841</v>
      </c>
      <c r="F443" s="1">
        <v>1035.9100000000001</v>
      </c>
      <c r="G443" s="35">
        <v>82785.039999999994</v>
      </c>
      <c r="I443" s="36">
        <f t="shared" si="12"/>
        <v>-3.5932323269925126E-2</v>
      </c>
      <c r="J443" s="36">
        <f t="shared" si="13"/>
        <v>6.4586689561660915E-3</v>
      </c>
    </row>
    <row r="444" spans="5:10">
      <c r="E444" s="34">
        <v>44844</v>
      </c>
      <c r="F444" s="1">
        <v>1042.48</v>
      </c>
      <c r="G444" s="35">
        <v>81678.28</v>
      </c>
      <c r="I444" s="36">
        <f t="shared" si="12"/>
        <v>6.3422498093463897E-3</v>
      </c>
      <c r="J444" s="36">
        <f t="shared" si="13"/>
        <v>-1.3369082143343758E-2</v>
      </c>
    </row>
    <row r="445" spans="5:10">
      <c r="E445" s="34">
        <v>44845</v>
      </c>
      <c r="F445" s="1">
        <v>1006.2</v>
      </c>
      <c r="G445" s="35">
        <v>81235.58</v>
      </c>
      <c r="I445" s="36">
        <f t="shared" si="12"/>
        <v>-3.4801626889724435E-2</v>
      </c>
      <c r="J445" s="36">
        <f t="shared" si="13"/>
        <v>-5.420045573927279E-3</v>
      </c>
    </row>
    <row r="446" spans="5:10">
      <c r="E446" s="34">
        <v>44846</v>
      </c>
      <c r="F446" s="1">
        <v>1034.81</v>
      </c>
      <c r="G446" s="35">
        <v>81235.58</v>
      </c>
      <c r="I446" s="36">
        <f t="shared" si="12"/>
        <v>2.8433710991850436E-2</v>
      </c>
      <c r="J446" s="36">
        <f t="shared" si="13"/>
        <v>0</v>
      </c>
    </row>
    <row r="447" spans="5:10">
      <c r="E447" s="34">
        <v>44847</v>
      </c>
      <c r="F447" s="1">
        <v>1050.99</v>
      </c>
      <c r="G447" s="35">
        <v>84113.14</v>
      </c>
      <c r="I447" s="36">
        <f t="shared" si="12"/>
        <v>1.5635720567060751E-2</v>
      </c>
      <c r="J447" s="36">
        <f t="shared" si="13"/>
        <v>3.5422409737211114E-2</v>
      </c>
    </row>
    <row r="448" spans="5:10">
      <c r="E448" s="34">
        <v>44848</v>
      </c>
      <c r="F448" s="1">
        <v>1061.8499999999999</v>
      </c>
      <c r="G448" s="35">
        <v>83404.820000000007</v>
      </c>
      <c r="I448" s="36">
        <f t="shared" si="12"/>
        <v>1.033311449205021E-2</v>
      </c>
      <c r="J448" s="36">
        <f t="shared" si="13"/>
        <v>-8.4210386153696914E-3</v>
      </c>
    </row>
    <row r="449" spans="5:10">
      <c r="E449" s="34">
        <v>44851</v>
      </c>
      <c r="F449" s="1">
        <v>1051.58</v>
      </c>
      <c r="G449" s="35">
        <v>81943.899999999994</v>
      </c>
      <c r="I449" s="36">
        <f t="shared" si="12"/>
        <v>-9.6717992183453783E-3</v>
      </c>
      <c r="J449" s="36">
        <f t="shared" si="13"/>
        <v>-1.751601406249681E-2</v>
      </c>
    </row>
    <row r="450" spans="5:10">
      <c r="E450" s="34">
        <v>44852</v>
      </c>
      <c r="F450" s="1">
        <v>1063.6600000000001</v>
      </c>
      <c r="G450" s="35">
        <v>84024.6</v>
      </c>
      <c r="I450" s="36">
        <f t="shared" si="12"/>
        <v>1.148747598851263E-2</v>
      </c>
      <c r="J450" s="36">
        <f t="shared" si="13"/>
        <v>2.539176192492687E-2</v>
      </c>
    </row>
    <row r="451" spans="5:10">
      <c r="E451" s="34">
        <v>44853</v>
      </c>
      <c r="F451" s="1">
        <v>1060.07</v>
      </c>
      <c r="G451" s="35">
        <v>84511.57</v>
      </c>
      <c r="I451" s="36">
        <f t="shared" si="12"/>
        <v>-3.3751386721322385E-3</v>
      </c>
      <c r="J451" s="36">
        <f t="shared" si="13"/>
        <v>5.7955646322624954E-3</v>
      </c>
    </row>
    <row r="452" spans="5:10">
      <c r="E452" s="34">
        <v>44854</v>
      </c>
      <c r="F452" s="1">
        <v>1058.45</v>
      </c>
      <c r="G452" s="35">
        <v>84688.65</v>
      </c>
      <c r="I452" s="36">
        <f t="shared" si="12"/>
        <v>-1.528200967860549E-3</v>
      </c>
      <c r="J452" s="36">
        <f t="shared" si="13"/>
        <v>2.095334402141491E-3</v>
      </c>
    </row>
    <row r="453" spans="5:10">
      <c r="E453" s="34">
        <v>44855</v>
      </c>
      <c r="F453" s="1">
        <v>1019.82</v>
      </c>
      <c r="G453" s="35">
        <v>85441.24</v>
      </c>
      <c r="I453" s="36">
        <f t="shared" si="12"/>
        <v>-3.6496764136236926E-2</v>
      </c>
      <c r="J453" s="36">
        <f t="shared" si="13"/>
        <v>8.8865509132571852E-3</v>
      </c>
    </row>
    <row r="454" spans="5:10">
      <c r="E454" s="34">
        <v>44858</v>
      </c>
      <c r="F454" s="1">
        <v>986.15</v>
      </c>
      <c r="G454" s="35">
        <v>80128.83</v>
      </c>
      <c r="I454" s="36">
        <f t="shared" si="12"/>
        <v>-3.3015630209252689E-2</v>
      </c>
      <c r="J454" s="36">
        <f t="shared" si="13"/>
        <v>-6.2176180963665839E-2</v>
      </c>
    </row>
    <row r="455" spans="5:10">
      <c r="E455" s="34">
        <v>44859</v>
      </c>
      <c r="F455" s="1">
        <v>997.7</v>
      </c>
      <c r="G455" s="35">
        <v>83139.199999999997</v>
      </c>
      <c r="I455" s="36">
        <f t="shared" ref="I455:I518" si="14">F455/F454-1</f>
        <v>1.1712214166202051E-2</v>
      </c>
      <c r="J455" s="36">
        <f t="shared" ref="J455:J518" si="15">G455/G454-1</f>
        <v>3.7569124620938421E-2</v>
      </c>
    </row>
    <row r="456" spans="5:10">
      <c r="E456" s="34">
        <v>44860</v>
      </c>
      <c r="F456" s="1">
        <v>993.36</v>
      </c>
      <c r="G456" s="35">
        <v>82386.600000000006</v>
      </c>
      <c r="I456" s="36">
        <f t="shared" si="14"/>
        <v>-4.3500050115264921E-3</v>
      </c>
      <c r="J456" s="36">
        <f t="shared" si="15"/>
        <v>-9.0522882106153224E-3</v>
      </c>
    </row>
    <row r="457" spans="5:10">
      <c r="E457" s="34">
        <v>44861</v>
      </c>
      <c r="F457" s="1">
        <v>1028.01</v>
      </c>
      <c r="G457" s="35">
        <v>83183.47</v>
      </c>
      <c r="I457" s="36">
        <f t="shared" si="14"/>
        <v>3.4881613916404985E-2</v>
      </c>
      <c r="J457" s="36">
        <f t="shared" si="15"/>
        <v>9.6723253538804066E-3</v>
      </c>
    </row>
    <row r="458" spans="5:10">
      <c r="E458" s="34">
        <v>44862</v>
      </c>
      <c r="F458" s="1">
        <v>1027.3599999999999</v>
      </c>
      <c r="G458" s="35">
        <v>82386.600000000006</v>
      </c>
      <c r="I458" s="36">
        <f t="shared" si="14"/>
        <v>-6.3228956916772106E-4</v>
      </c>
      <c r="J458" s="36">
        <f t="shared" si="15"/>
        <v>-9.5796676911891199E-3</v>
      </c>
    </row>
    <row r="459" spans="5:10">
      <c r="E459" s="34">
        <v>44865</v>
      </c>
      <c r="F459" s="1">
        <v>1027.94</v>
      </c>
      <c r="G459" s="35">
        <v>82032.44</v>
      </c>
      <c r="I459" s="36">
        <f t="shared" si="14"/>
        <v>5.6455380781827991E-4</v>
      </c>
      <c r="J459" s="36">
        <f t="shared" si="15"/>
        <v>-4.2987573221859865E-3</v>
      </c>
    </row>
    <row r="460" spans="5:10">
      <c r="E460" s="34">
        <v>44866</v>
      </c>
      <c r="F460" s="1">
        <v>1033.75</v>
      </c>
      <c r="G460" s="35">
        <v>81279.850000000006</v>
      </c>
      <c r="I460" s="36">
        <f t="shared" si="14"/>
        <v>5.6520808607505302E-3</v>
      </c>
      <c r="J460" s="36">
        <f t="shared" si="15"/>
        <v>-9.1742973877163569E-3</v>
      </c>
    </row>
    <row r="461" spans="5:10">
      <c r="E461" s="34">
        <v>44867</v>
      </c>
      <c r="F461" s="1">
        <v>1023.19</v>
      </c>
      <c r="G461" s="35">
        <v>81235.58</v>
      </c>
      <c r="I461" s="36">
        <f t="shared" si="14"/>
        <v>-1.0215235792019328E-2</v>
      </c>
      <c r="J461" s="36">
        <f t="shared" si="15"/>
        <v>-5.446614382286219E-4</v>
      </c>
    </row>
    <row r="462" spans="5:10">
      <c r="E462" s="34">
        <v>44868</v>
      </c>
      <c r="F462" s="1">
        <v>1019.81</v>
      </c>
      <c r="G462" s="35">
        <v>80571.53</v>
      </c>
      <c r="I462" s="36">
        <f t="shared" si="14"/>
        <v>-3.3033942864962862E-3</v>
      </c>
      <c r="J462" s="36">
        <f t="shared" si="15"/>
        <v>-8.1743738396402588E-3</v>
      </c>
    </row>
    <row r="463" spans="5:10">
      <c r="E463" s="34">
        <v>44869</v>
      </c>
      <c r="F463" s="1">
        <v>997.15</v>
      </c>
      <c r="G463" s="35">
        <v>80571.53</v>
      </c>
      <c r="I463" s="36">
        <f t="shared" si="14"/>
        <v>-2.2219825261568293E-2</v>
      </c>
      <c r="J463" s="36">
        <f t="shared" si="15"/>
        <v>0</v>
      </c>
    </row>
    <row r="464" spans="5:10">
      <c r="E464" s="34">
        <v>44872</v>
      </c>
      <c r="F464" s="1">
        <v>975.19</v>
      </c>
      <c r="G464" s="35">
        <v>81456.929999999993</v>
      </c>
      <c r="I464" s="36">
        <f t="shared" si="14"/>
        <v>-2.2022764879907619E-2</v>
      </c>
      <c r="J464" s="36">
        <f t="shared" si="15"/>
        <v>1.098899325853675E-2</v>
      </c>
    </row>
    <row r="465" spans="5:10">
      <c r="E465" s="34">
        <v>44873</v>
      </c>
      <c r="F465" s="1">
        <v>981.65</v>
      </c>
      <c r="G465" s="35">
        <v>81014.23</v>
      </c>
      <c r="I465" s="36">
        <f t="shared" si="14"/>
        <v>6.6243501266418647E-3</v>
      </c>
      <c r="J465" s="36">
        <f t="shared" si="15"/>
        <v>-5.4347739351335855E-3</v>
      </c>
    </row>
    <row r="466" spans="5:10">
      <c r="E466" s="34">
        <v>44874</v>
      </c>
      <c r="F466" s="1">
        <v>985.59</v>
      </c>
      <c r="G466" s="35">
        <v>81678.28</v>
      </c>
      <c r="I466" s="36">
        <f t="shared" si="14"/>
        <v>4.0136504864258793E-3</v>
      </c>
      <c r="J466" s="36">
        <f t="shared" si="15"/>
        <v>8.1967081585543333E-3</v>
      </c>
    </row>
    <row r="467" spans="5:10">
      <c r="E467" s="34">
        <v>44875</v>
      </c>
      <c r="F467" s="1">
        <v>947.24</v>
      </c>
      <c r="G467" s="35">
        <v>81678.28</v>
      </c>
      <c r="I467" s="36">
        <f t="shared" si="14"/>
        <v>-3.8910703233596133E-2</v>
      </c>
      <c r="J467" s="36">
        <f t="shared" si="15"/>
        <v>0</v>
      </c>
    </row>
    <row r="468" spans="5:10">
      <c r="E468" s="34">
        <v>44876</v>
      </c>
      <c r="F468" s="1">
        <v>954.53</v>
      </c>
      <c r="G468" s="35">
        <v>83139.199999999997</v>
      </c>
      <c r="I468" s="36">
        <f t="shared" si="14"/>
        <v>7.6960432414170388E-3</v>
      </c>
      <c r="J468" s="36">
        <f t="shared" si="15"/>
        <v>1.788627282552957E-2</v>
      </c>
    </row>
    <row r="469" spans="5:10">
      <c r="E469" s="34">
        <v>44879</v>
      </c>
      <c r="F469" s="1">
        <v>941.04</v>
      </c>
      <c r="G469" s="35">
        <v>86326.64</v>
      </c>
      <c r="I469" s="36">
        <f t="shared" si="14"/>
        <v>-1.4132609766062898E-2</v>
      </c>
      <c r="J469" s="36">
        <f t="shared" si="15"/>
        <v>3.8338593587621705E-2</v>
      </c>
    </row>
    <row r="470" spans="5:10">
      <c r="E470" s="34">
        <v>44880</v>
      </c>
      <c r="F470" s="1">
        <v>911.9</v>
      </c>
      <c r="G470" s="35">
        <v>82563.69</v>
      </c>
      <c r="I470" s="36">
        <f t="shared" si="14"/>
        <v>-3.0965740032304678E-2</v>
      </c>
      <c r="J470" s="36">
        <f t="shared" si="15"/>
        <v>-4.3589672898192267E-2</v>
      </c>
    </row>
    <row r="471" spans="5:10">
      <c r="E471" s="34">
        <v>44881</v>
      </c>
      <c r="F471" s="1">
        <v>942.9</v>
      </c>
      <c r="G471" s="35">
        <v>80040.289999999994</v>
      </c>
      <c r="I471" s="36">
        <f t="shared" si="14"/>
        <v>3.399495558723542E-2</v>
      </c>
      <c r="J471" s="36">
        <f t="shared" si="15"/>
        <v>-3.0563071975101996E-2</v>
      </c>
    </row>
    <row r="472" spans="5:10">
      <c r="E472" s="34">
        <v>44882</v>
      </c>
      <c r="F472" s="1">
        <v>969.26</v>
      </c>
      <c r="G472" s="35">
        <v>81014.23</v>
      </c>
      <c r="I472" s="36">
        <f t="shared" si="14"/>
        <v>2.7956305016438643E-2</v>
      </c>
      <c r="J472" s="36">
        <f t="shared" si="15"/>
        <v>1.2168121829643663E-2</v>
      </c>
    </row>
    <row r="473" spans="5:10">
      <c r="E473" s="34">
        <v>44883</v>
      </c>
      <c r="F473" s="1">
        <v>969.33</v>
      </c>
      <c r="G473" s="35">
        <v>79331.97</v>
      </c>
      <c r="I473" s="36">
        <f t="shared" si="14"/>
        <v>7.2220044157411678E-5</v>
      </c>
      <c r="J473" s="36">
        <f t="shared" si="15"/>
        <v>-2.0764994001670978E-2</v>
      </c>
    </row>
    <row r="474" spans="5:10">
      <c r="E474" s="34">
        <v>44886</v>
      </c>
      <c r="F474" s="1">
        <v>960.65</v>
      </c>
      <c r="G474" s="35">
        <v>80837.149999999994</v>
      </c>
      <c r="I474" s="36">
        <f t="shared" si="14"/>
        <v>-8.9546387711100239E-3</v>
      </c>
      <c r="J474" s="36">
        <f t="shared" si="15"/>
        <v>1.8973183194618715E-2</v>
      </c>
    </row>
    <row r="475" spans="5:10">
      <c r="E475" s="34">
        <v>44887</v>
      </c>
      <c r="F475" s="1">
        <v>952.12</v>
      </c>
      <c r="G475" s="35">
        <v>80217.37</v>
      </c>
      <c r="I475" s="36">
        <f t="shared" si="14"/>
        <v>-8.8794045698225021E-3</v>
      </c>
      <c r="J475" s="36">
        <f t="shared" si="15"/>
        <v>-7.6670194335154429E-3</v>
      </c>
    </row>
    <row r="476" spans="5:10">
      <c r="E476" s="34">
        <v>44888</v>
      </c>
      <c r="F476" s="1">
        <v>946</v>
      </c>
      <c r="G476" s="35">
        <v>80571.53</v>
      </c>
      <c r="I476" s="36">
        <f t="shared" si="14"/>
        <v>-6.4277612065706258E-3</v>
      </c>
      <c r="J476" s="36">
        <f t="shared" si="15"/>
        <v>4.4150038825756521E-3</v>
      </c>
    </row>
    <row r="477" spans="5:10">
      <c r="E477" s="34">
        <v>44889</v>
      </c>
      <c r="F477" s="1">
        <v>947.71</v>
      </c>
      <c r="G477" s="35">
        <v>79907.48</v>
      </c>
      <c r="I477" s="36">
        <f t="shared" si="14"/>
        <v>1.8076109936575602E-3</v>
      </c>
      <c r="J477" s="36">
        <f t="shared" si="15"/>
        <v>-8.241744943902729E-3</v>
      </c>
    </row>
    <row r="478" spans="5:10">
      <c r="E478" s="34">
        <v>44890</v>
      </c>
      <c r="F478" s="1">
        <v>971.46</v>
      </c>
      <c r="G478" s="35">
        <v>79686.13</v>
      </c>
      <c r="I478" s="36">
        <f t="shared" si="14"/>
        <v>2.5060408774836285E-2</v>
      </c>
      <c r="J478" s="36">
        <f t="shared" si="15"/>
        <v>-2.7700785958960639E-3</v>
      </c>
    </row>
    <row r="479" spans="5:10">
      <c r="E479" s="34">
        <v>44893</v>
      </c>
      <c r="F479" s="1">
        <v>1005.69</v>
      </c>
      <c r="G479" s="35">
        <v>78402.3</v>
      </c>
      <c r="I479" s="36">
        <f t="shared" si="14"/>
        <v>3.5235624729788251E-2</v>
      </c>
      <c r="J479" s="36">
        <f t="shared" si="15"/>
        <v>-1.6111084827434841E-2</v>
      </c>
    </row>
    <row r="480" spans="5:10">
      <c r="E480" s="34">
        <v>44894</v>
      </c>
      <c r="F480" s="1">
        <v>1032.1600000000001</v>
      </c>
      <c r="G480" s="35">
        <v>77915.33</v>
      </c>
      <c r="I480" s="36">
        <f t="shared" si="14"/>
        <v>2.6320237846652494E-2</v>
      </c>
      <c r="J480" s="36">
        <f t="shared" si="15"/>
        <v>-6.2111698253750625E-3</v>
      </c>
    </row>
    <row r="481" spans="5:10">
      <c r="E481" s="34">
        <v>44895</v>
      </c>
      <c r="F481" s="1">
        <v>1048.42</v>
      </c>
      <c r="G481" s="35">
        <v>79686.13</v>
      </c>
      <c r="I481" s="36">
        <f t="shared" si="14"/>
        <v>1.5753371570299102E-2</v>
      </c>
      <c r="J481" s="36">
        <f t="shared" si="15"/>
        <v>2.2727234807322194E-2</v>
      </c>
    </row>
    <row r="482" spans="5:10">
      <c r="E482" s="34">
        <v>44896</v>
      </c>
      <c r="F482" s="1">
        <v>1036.28</v>
      </c>
      <c r="G482" s="35">
        <v>77649.710000000006</v>
      </c>
      <c r="I482" s="36">
        <f t="shared" si="14"/>
        <v>-1.1579328894908647E-2</v>
      </c>
      <c r="J482" s="36">
        <f t="shared" si="15"/>
        <v>-2.5555513864206958E-2</v>
      </c>
    </row>
    <row r="483" spans="5:10">
      <c r="E483" s="34">
        <v>44897</v>
      </c>
      <c r="F483" s="1">
        <v>1080.01</v>
      </c>
      <c r="G483" s="35">
        <v>78358.03</v>
      </c>
      <c r="I483" s="36">
        <f t="shared" si="14"/>
        <v>4.2199019570000385E-2</v>
      </c>
      <c r="J483" s="36">
        <f t="shared" si="15"/>
        <v>9.1219915695757159E-3</v>
      </c>
    </row>
    <row r="484" spans="5:10">
      <c r="E484" s="34">
        <v>44900</v>
      </c>
      <c r="F484" s="1">
        <v>1093.67</v>
      </c>
      <c r="G484" s="35">
        <v>79553.320000000007</v>
      </c>
      <c r="I484" s="36">
        <f t="shared" si="14"/>
        <v>1.2648031036749829E-2</v>
      </c>
      <c r="J484" s="36">
        <f t="shared" si="15"/>
        <v>1.5254211980571863E-2</v>
      </c>
    </row>
    <row r="485" spans="5:10">
      <c r="E485" s="34">
        <v>44901</v>
      </c>
      <c r="F485" s="1">
        <v>1048.69</v>
      </c>
      <c r="G485" s="35">
        <v>79022.080000000002</v>
      </c>
      <c r="I485" s="36">
        <f t="shared" si="14"/>
        <v>-4.1127579617251997E-2</v>
      </c>
      <c r="J485" s="36">
        <f t="shared" si="15"/>
        <v>-6.6777854148639681E-3</v>
      </c>
    </row>
    <row r="486" spans="5:10">
      <c r="E486" s="34">
        <v>44902</v>
      </c>
      <c r="F486" s="1">
        <v>1041.02</v>
      </c>
      <c r="G486" s="35">
        <v>79243.429999999993</v>
      </c>
      <c r="I486" s="36">
        <f t="shared" si="14"/>
        <v>-7.3138868493073383E-3</v>
      </c>
      <c r="J486" s="36">
        <f t="shared" si="15"/>
        <v>2.8011158400282898E-3</v>
      </c>
    </row>
    <row r="487" spans="5:10">
      <c r="E487" s="34">
        <v>44903</v>
      </c>
      <c r="F487" s="1">
        <v>1050.53</v>
      </c>
      <c r="G487" s="35">
        <v>78800.73</v>
      </c>
      <c r="I487" s="36">
        <f t="shared" si="14"/>
        <v>9.1352711763461603E-3</v>
      </c>
      <c r="J487" s="36">
        <f t="shared" si="15"/>
        <v>-5.5865830138851491E-3</v>
      </c>
    </row>
    <row r="488" spans="5:10">
      <c r="E488" s="34">
        <v>44904</v>
      </c>
      <c r="F488" s="1">
        <v>1051.81</v>
      </c>
      <c r="G488" s="35">
        <v>78800.73</v>
      </c>
      <c r="I488" s="36">
        <f t="shared" si="14"/>
        <v>1.2184326006872137E-3</v>
      </c>
      <c r="J488" s="36">
        <f t="shared" si="15"/>
        <v>0</v>
      </c>
    </row>
    <row r="489" spans="5:10">
      <c r="E489" s="34">
        <v>44907</v>
      </c>
      <c r="F489" s="1">
        <v>1032.07</v>
      </c>
      <c r="G489" s="35">
        <v>78933.539999999994</v>
      </c>
      <c r="I489" s="36">
        <f t="shared" si="14"/>
        <v>-1.8767648149380589E-2</v>
      </c>
      <c r="J489" s="36">
        <f t="shared" si="15"/>
        <v>1.6853904779816631E-3</v>
      </c>
    </row>
    <row r="490" spans="5:10">
      <c r="E490" s="34">
        <v>44908</v>
      </c>
      <c r="F490" s="1">
        <v>1047.45</v>
      </c>
      <c r="G490" s="35">
        <v>78800.73</v>
      </c>
      <c r="I490" s="36">
        <f t="shared" si="14"/>
        <v>1.4902089974517363E-2</v>
      </c>
      <c r="J490" s="36">
        <f t="shared" si="15"/>
        <v>-1.6825547162840904E-3</v>
      </c>
    </row>
    <row r="491" spans="5:10">
      <c r="E491" s="34">
        <v>44909</v>
      </c>
      <c r="F491" s="1">
        <v>1050.43</v>
      </c>
      <c r="G491" s="35">
        <v>79243.429999999993</v>
      </c>
      <c r="I491" s="36">
        <f t="shared" si="14"/>
        <v>2.845004534822726E-3</v>
      </c>
      <c r="J491" s="36">
        <f t="shared" si="15"/>
        <v>5.6179682599386549E-3</v>
      </c>
    </row>
    <row r="492" spans="5:10">
      <c r="E492" s="34">
        <v>44910</v>
      </c>
      <c r="F492" s="1">
        <v>1055.32</v>
      </c>
      <c r="G492" s="35">
        <v>79243.429999999993</v>
      </c>
      <c r="I492" s="36">
        <f t="shared" si="14"/>
        <v>4.6552364269869528E-3</v>
      </c>
      <c r="J492" s="36">
        <f t="shared" si="15"/>
        <v>0</v>
      </c>
    </row>
    <row r="493" spans="5:10">
      <c r="E493" s="34">
        <v>44911</v>
      </c>
      <c r="F493" s="1">
        <v>1052.48</v>
      </c>
      <c r="G493" s="35">
        <v>78402.3</v>
      </c>
      <c r="I493" s="36">
        <f t="shared" si="14"/>
        <v>-2.6911268619943529E-3</v>
      </c>
      <c r="J493" s="36">
        <f t="shared" si="15"/>
        <v>-1.0614507726381728E-2</v>
      </c>
    </row>
    <row r="494" spans="5:10">
      <c r="E494" s="34">
        <v>44914</v>
      </c>
      <c r="F494" s="1">
        <v>1038.4000000000001</v>
      </c>
      <c r="G494" s="35">
        <v>77472.63</v>
      </c>
      <c r="I494" s="36">
        <f t="shared" si="14"/>
        <v>-1.3377926421404562E-2</v>
      </c>
      <c r="J494" s="36">
        <f t="shared" si="15"/>
        <v>-1.185768784844321E-2</v>
      </c>
    </row>
    <row r="495" spans="5:10">
      <c r="E495" s="34">
        <v>44915</v>
      </c>
      <c r="F495" s="1">
        <v>1023.13</v>
      </c>
      <c r="G495" s="35">
        <v>77698.31</v>
      </c>
      <c r="I495" s="36">
        <f t="shared" si="14"/>
        <v>-1.4705315870570224E-2</v>
      </c>
      <c r="J495" s="36">
        <f t="shared" si="15"/>
        <v>2.9130287689986822E-3</v>
      </c>
    </row>
    <row r="496" spans="5:10">
      <c r="E496" s="34">
        <v>44916</v>
      </c>
      <c r="F496" s="1">
        <v>1018.88</v>
      </c>
      <c r="G496" s="35">
        <v>78596.56</v>
      </c>
      <c r="I496" s="36">
        <f t="shared" si="14"/>
        <v>-4.1539198342341876E-3</v>
      </c>
      <c r="J496" s="36">
        <f t="shared" si="15"/>
        <v>1.156074051031486E-2</v>
      </c>
    </row>
    <row r="497" spans="5:10">
      <c r="E497" s="34">
        <v>44917</v>
      </c>
      <c r="F497" s="1">
        <v>1022.61</v>
      </c>
      <c r="G497" s="35">
        <v>78731.289999999994</v>
      </c>
      <c r="I497" s="36">
        <f t="shared" si="14"/>
        <v>3.6608825376884813E-3</v>
      </c>
      <c r="J497" s="36">
        <f t="shared" si="15"/>
        <v>1.7141971607916862E-3</v>
      </c>
    </row>
    <row r="498" spans="5:10">
      <c r="E498" s="34">
        <v>44918</v>
      </c>
      <c r="F498" s="1">
        <v>1020.34</v>
      </c>
      <c r="G498" s="35">
        <v>78596.56</v>
      </c>
      <c r="I498" s="36">
        <f t="shared" si="14"/>
        <v>-2.2198100937795839E-3</v>
      </c>
      <c r="J498" s="36">
        <f t="shared" si="15"/>
        <v>-1.7112637173860579E-3</v>
      </c>
    </row>
    <row r="499" spans="5:10">
      <c r="E499" s="34">
        <v>44921</v>
      </c>
      <c r="F499" s="1">
        <v>985.21</v>
      </c>
      <c r="G499" s="35">
        <v>77698.31</v>
      </c>
      <c r="I499" s="36">
        <f t="shared" si="14"/>
        <v>-3.4429699903953614E-2</v>
      </c>
      <c r="J499" s="36">
        <f t="shared" si="15"/>
        <v>-1.1428617232102756E-2</v>
      </c>
    </row>
    <row r="500" spans="5:10">
      <c r="E500" s="34">
        <v>44922</v>
      </c>
      <c r="F500" s="1">
        <v>1004.57</v>
      </c>
      <c r="G500" s="35">
        <v>77024.63</v>
      </c>
      <c r="I500" s="36">
        <f t="shared" si="14"/>
        <v>1.9650632859999462E-2</v>
      </c>
      <c r="J500" s="36">
        <f t="shared" si="15"/>
        <v>-8.6704588555399642E-3</v>
      </c>
    </row>
    <row r="501" spans="5:10">
      <c r="E501" s="34">
        <v>44923</v>
      </c>
      <c r="F501" s="1">
        <v>1015.66</v>
      </c>
      <c r="G501" s="35">
        <v>79270.240000000005</v>
      </c>
      <c r="I501" s="36">
        <f t="shared" si="14"/>
        <v>1.1039549259882264E-2</v>
      </c>
      <c r="J501" s="36">
        <f t="shared" si="15"/>
        <v>2.9154440599065579E-2</v>
      </c>
    </row>
    <row r="502" spans="5:10">
      <c r="E502" s="34">
        <v>44924</v>
      </c>
      <c r="F502" s="1">
        <v>1009.29</v>
      </c>
      <c r="G502" s="35">
        <v>77653.399999999994</v>
      </c>
      <c r="I502" s="36">
        <f t="shared" si="14"/>
        <v>-6.2717838646790813E-3</v>
      </c>
      <c r="J502" s="36">
        <f t="shared" si="15"/>
        <v>-2.0396557396571646E-2</v>
      </c>
    </row>
    <row r="503" spans="5:10">
      <c r="E503" s="34">
        <v>44925</v>
      </c>
      <c r="F503" s="1">
        <v>1007.09</v>
      </c>
      <c r="G503" s="35">
        <v>74958.66</v>
      </c>
      <c r="I503" s="36">
        <f t="shared" si="14"/>
        <v>-2.1797501213723924E-3</v>
      </c>
      <c r="J503" s="36">
        <f t="shared" si="15"/>
        <v>-3.4702150839499457E-2</v>
      </c>
    </row>
    <row r="504" spans="5:10">
      <c r="E504" s="34">
        <v>44929</v>
      </c>
      <c r="F504" s="1">
        <v>1043.9000000000001</v>
      </c>
      <c r="G504" s="35">
        <v>75901.820000000007</v>
      </c>
      <c r="I504" s="36">
        <f t="shared" si="14"/>
        <v>3.6550854442006342E-2</v>
      </c>
      <c r="J504" s="36">
        <f t="shared" si="15"/>
        <v>1.258240208669692E-2</v>
      </c>
    </row>
    <row r="505" spans="5:10">
      <c r="E505" s="34">
        <v>44930</v>
      </c>
      <c r="F505" s="1">
        <v>1046.3499999999999</v>
      </c>
      <c r="G505" s="35">
        <v>77024.63</v>
      </c>
      <c r="I505" s="36">
        <f t="shared" si="14"/>
        <v>2.3469681003924769E-3</v>
      </c>
      <c r="J505" s="36">
        <f t="shared" si="15"/>
        <v>1.4792925914029365E-2</v>
      </c>
    </row>
    <row r="506" spans="5:10">
      <c r="E506" s="34">
        <v>44931</v>
      </c>
      <c r="F506" s="1">
        <v>1055.82</v>
      </c>
      <c r="G506" s="35">
        <v>78237.259999999995</v>
      </c>
      <c r="I506" s="36">
        <f t="shared" si="14"/>
        <v>9.0505089119319315E-3</v>
      </c>
      <c r="J506" s="36">
        <f t="shared" si="15"/>
        <v>1.5743405713211311E-2</v>
      </c>
    </row>
    <row r="507" spans="5:10">
      <c r="E507" s="34">
        <v>44932</v>
      </c>
      <c r="F507" s="1">
        <v>1051.44</v>
      </c>
      <c r="G507" s="35">
        <v>81156.56</v>
      </c>
      <c r="I507" s="36">
        <f t="shared" si="14"/>
        <v>-4.148434392225786E-3</v>
      </c>
      <c r="J507" s="36">
        <f t="shared" si="15"/>
        <v>3.7313423297288262E-2</v>
      </c>
    </row>
    <row r="508" spans="5:10">
      <c r="E508" s="34">
        <v>44935</v>
      </c>
      <c r="F508" s="1">
        <v>1054.21</v>
      </c>
      <c r="G508" s="35">
        <v>80662.52</v>
      </c>
      <c r="I508" s="36">
        <f t="shared" si="14"/>
        <v>2.6344822338888463E-3</v>
      </c>
      <c r="J508" s="36">
        <f t="shared" si="15"/>
        <v>-6.087493112078568E-3</v>
      </c>
    </row>
    <row r="509" spans="5:10">
      <c r="E509" s="34">
        <v>44936</v>
      </c>
      <c r="F509" s="1">
        <v>1053.3499999999999</v>
      </c>
      <c r="G509" s="35">
        <v>79090.59</v>
      </c>
      <c r="I509" s="36">
        <f t="shared" si="14"/>
        <v>-8.1577674277433232E-4</v>
      </c>
      <c r="J509" s="36">
        <f t="shared" si="15"/>
        <v>-1.9487737303520936E-2</v>
      </c>
    </row>
    <row r="510" spans="5:10">
      <c r="E510" s="34">
        <v>44937</v>
      </c>
      <c r="F510" s="1">
        <v>1055.76</v>
      </c>
      <c r="G510" s="35">
        <v>81291.3</v>
      </c>
      <c r="I510" s="36">
        <f t="shared" si="14"/>
        <v>2.2879384819860515E-3</v>
      </c>
      <c r="J510" s="36">
        <f t="shared" si="15"/>
        <v>2.7825181225731299E-2</v>
      </c>
    </row>
    <row r="511" spans="5:10">
      <c r="E511" s="34">
        <v>44938</v>
      </c>
      <c r="F511" s="1">
        <v>1056.3900000000001</v>
      </c>
      <c r="G511" s="35">
        <v>80752.350000000006</v>
      </c>
      <c r="I511" s="36">
        <f t="shared" si="14"/>
        <v>5.9672652875653043E-4</v>
      </c>
      <c r="J511" s="36">
        <f t="shared" si="15"/>
        <v>-6.6298607600074888E-3</v>
      </c>
    </row>
    <row r="512" spans="5:10">
      <c r="E512" s="34">
        <v>44939</v>
      </c>
      <c r="F512" s="1">
        <v>1060.17</v>
      </c>
      <c r="G512" s="35">
        <v>83492</v>
      </c>
      <c r="I512" s="36">
        <f t="shared" si="14"/>
        <v>3.5782239513815206E-3</v>
      </c>
      <c r="J512" s="36">
        <f t="shared" si="15"/>
        <v>3.392656684294626E-2</v>
      </c>
    </row>
    <row r="513" spans="5:10">
      <c r="E513" s="34">
        <v>44942</v>
      </c>
      <c r="F513" s="1">
        <v>1066.68</v>
      </c>
      <c r="G513" s="35">
        <v>84659.72</v>
      </c>
      <c r="I513" s="36">
        <f t="shared" si="14"/>
        <v>6.1405246328418706E-3</v>
      </c>
      <c r="J513" s="36">
        <f t="shared" si="15"/>
        <v>1.3986010635749446E-2</v>
      </c>
    </row>
    <row r="514" spans="5:10">
      <c r="E514" s="34">
        <v>44943</v>
      </c>
      <c r="F514" s="1">
        <v>1088.29</v>
      </c>
      <c r="G514" s="35">
        <v>83986.04</v>
      </c>
      <c r="I514" s="36">
        <f t="shared" si="14"/>
        <v>2.0259121760977994E-2</v>
      </c>
      <c r="J514" s="36">
        <f t="shared" si="15"/>
        <v>-7.9575032849152905E-3</v>
      </c>
    </row>
    <row r="515" spans="5:10">
      <c r="E515" s="34">
        <v>44944</v>
      </c>
      <c r="F515" s="1">
        <v>1098.28</v>
      </c>
      <c r="G515" s="35">
        <v>83986.04</v>
      </c>
      <c r="I515" s="36">
        <f t="shared" si="14"/>
        <v>9.1795385421165054E-3</v>
      </c>
      <c r="J515" s="36">
        <f t="shared" si="15"/>
        <v>0</v>
      </c>
    </row>
    <row r="516" spans="5:10">
      <c r="E516" s="34">
        <v>44945</v>
      </c>
      <c r="F516" s="1">
        <v>1108.08</v>
      </c>
      <c r="G516" s="35">
        <v>83402.179999999993</v>
      </c>
      <c r="I516" s="36">
        <f t="shared" si="14"/>
        <v>8.9230433040754509E-3</v>
      </c>
      <c r="J516" s="36">
        <f t="shared" si="15"/>
        <v>-6.9518696202368613E-3</v>
      </c>
    </row>
    <row r="517" spans="5:10">
      <c r="E517" s="34">
        <v>44953</v>
      </c>
      <c r="F517" s="1">
        <v>1117.0999999999999</v>
      </c>
      <c r="G517" s="35">
        <v>86725.69</v>
      </c>
      <c r="I517" s="36">
        <f t="shared" si="14"/>
        <v>8.140206483286283E-3</v>
      </c>
      <c r="J517" s="36">
        <f t="shared" si="15"/>
        <v>3.9849198186426404E-2</v>
      </c>
    </row>
    <row r="518" spans="5:10">
      <c r="E518" s="34">
        <v>44956</v>
      </c>
      <c r="F518" s="1">
        <v>1102.57</v>
      </c>
      <c r="G518" s="35">
        <v>85333.41</v>
      </c>
      <c r="I518" s="36">
        <f t="shared" si="14"/>
        <v>-1.3006892847551632E-2</v>
      </c>
      <c r="J518" s="36">
        <f t="shared" si="15"/>
        <v>-1.6053835951031381E-2</v>
      </c>
    </row>
    <row r="519" spans="5:10">
      <c r="E519" s="34">
        <v>44957</v>
      </c>
      <c r="F519" s="1">
        <v>1111.18</v>
      </c>
      <c r="G519" s="35">
        <v>84884.28</v>
      </c>
      <c r="I519" s="36">
        <f t="shared" ref="I519:I582" si="16">F519/F518-1</f>
        <v>7.809027998222362E-3</v>
      </c>
      <c r="J519" s="36">
        <f t="shared" ref="J519:J582" si="17">G519/G518-1</f>
        <v>-5.2632374588101882E-3</v>
      </c>
    </row>
    <row r="520" spans="5:10">
      <c r="E520" s="34">
        <v>44958</v>
      </c>
      <c r="F520" s="1">
        <v>1075.97</v>
      </c>
      <c r="G520" s="35">
        <v>83986.04</v>
      </c>
      <c r="I520" s="36">
        <f t="shared" si="16"/>
        <v>-3.1687035403805019E-2</v>
      </c>
      <c r="J520" s="36">
        <f t="shared" si="17"/>
        <v>-1.0581935783633978E-2</v>
      </c>
    </row>
    <row r="521" spans="5:10">
      <c r="E521" s="34">
        <v>44959</v>
      </c>
      <c r="F521" s="1">
        <v>1077.5899999999999</v>
      </c>
      <c r="G521" s="35">
        <v>84210.6</v>
      </c>
      <c r="I521" s="36">
        <f t="shared" si="16"/>
        <v>1.5056181863806195E-3</v>
      </c>
      <c r="J521" s="36">
        <f t="shared" si="17"/>
        <v>2.6737776897209908E-3</v>
      </c>
    </row>
    <row r="522" spans="5:10">
      <c r="E522" s="34">
        <v>44960</v>
      </c>
      <c r="F522" s="1">
        <v>1077.1500000000001</v>
      </c>
      <c r="G522" s="35">
        <v>86590.95</v>
      </c>
      <c r="I522" s="36">
        <f t="shared" si="16"/>
        <v>-4.0831856271850153E-4</v>
      </c>
      <c r="J522" s="36">
        <f t="shared" si="17"/>
        <v>2.8266631516697283E-2</v>
      </c>
    </row>
    <row r="523" spans="5:10">
      <c r="E523" s="34">
        <v>44963</v>
      </c>
      <c r="F523" s="1">
        <v>1089.29</v>
      </c>
      <c r="G523" s="35">
        <v>87758.67</v>
      </c>
      <c r="I523" s="36">
        <f t="shared" si="16"/>
        <v>1.1270482291231287E-2</v>
      </c>
      <c r="J523" s="36">
        <f t="shared" si="17"/>
        <v>1.3485473943870563E-2</v>
      </c>
    </row>
    <row r="524" spans="5:10">
      <c r="E524" s="34">
        <v>44964</v>
      </c>
      <c r="F524" s="1">
        <v>1065.8399999999999</v>
      </c>
      <c r="G524" s="35">
        <v>85872.35</v>
      </c>
      <c r="I524" s="36">
        <f t="shared" si="16"/>
        <v>-2.15277841529804E-2</v>
      </c>
      <c r="J524" s="36">
        <f t="shared" si="17"/>
        <v>-2.1494400496269939E-2</v>
      </c>
    </row>
    <row r="525" spans="5:10">
      <c r="E525" s="34">
        <v>44965</v>
      </c>
      <c r="F525" s="1">
        <v>1072.22</v>
      </c>
      <c r="G525" s="35">
        <v>88567.09</v>
      </c>
      <c r="I525" s="36">
        <f t="shared" si="16"/>
        <v>5.985889064024752E-3</v>
      </c>
      <c r="J525" s="36">
        <f t="shared" si="17"/>
        <v>3.1380764588368582E-2</v>
      </c>
    </row>
    <row r="526" spans="5:10">
      <c r="E526" s="34">
        <v>44966</v>
      </c>
      <c r="F526" s="1">
        <v>1064.03</v>
      </c>
      <c r="G526" s="35">
        <v>87040.07</v>
      </c>
      <c r="I526" s="36">
        <f t="shared" si="16"/>
        <v>-7.638357799705342E-3</v>
      </c>
      <c r="J526" s="36">
        <f t="shared" si="17"/>
        <v>-1.7241392937263567E-2</v>
      </c>
    </row>
    <row r="527" spans="5:10">
      <c r="E527" s="34">
        <v>44967</v>
      </c>
      <c r="F527" s="1">
        <v>1055.3</v>
      </c>
      <c r="G527" s="35">
        <v>85063.93</v>
      </c>
      <c r="I527" s="36">
        <f t="shared" si="16"/>
        <v>-8.2046558837627348E-3</v>
      </c>
      <c r="J527" s="36">
        <f t="shared" si="17"/>
        <v>-2.2703796079208249E-2</v>
      </c>
    </row>
    <row r="528" spans="5:10">
      <c r="E528" s="34">
        <v>44970</v>
      </c>
      <c r="F528" s="1">
        <v>1043.7</v>
      </c>
      <c r="G528" s="35">
        <v>86186.74</v>
      </c>
      <c r="I528" s="36">
        <f t="shared" si="16"/>
        <v>-1.0992134937932274E-2</v>
      </c>
      <c r="J528" s="36">
        <f t="shared" si="17"/>
        <v>1.3199601758348223E-2</v>
      </c>
    </row>
    <row r="529" spans="5:10">
      <c r="E529" s="34">
        <v>44971</v>
      </c>
      <c r="F529" s="1">
        <v>1038.6400000000001</v>
      </c>
      <c r="G529" s="35">
        <v>84435.16</v>
      </c>
      <c r="I529" s="36">
        <f t="shared" si="16"/>
        <v>-4.8481364376735669E-3</v>
      </c>
      <c r="J529" s="36">
        <f t="shared" si="17"/>
        <v>-2.0323079861240823E-2</v>
      </c>
    </row>
    <row r="530" spans="5:10">
      <c r="E530" s="34">
        <v>44972</v>
      </c>
      <c r="F530" s="1">
        <v>1048.2</v>
      </c>
      <c r="G530" s="35">
        <v>84884.28</v>
      </c>
      <c r="I530" s="36">
        <f t="shared" si="16"/>
        <v>9.2043441423399486E-3</v>
      </c>
      <c r="J530" s="36">
        <f t="shared" si="17"/>
        <v>5.3191111380614942E-3</v>
      </c>
    </row>
    <row r="531" spans="5:10">
      <c r="E531" s="34">
        <v>44973</v>
      </c>
      <c r="F531" s="1">
        <v>1058.29</v>
      </c>
      <c r="G531" s="35">
        <v>85198.67</v>
      </c>
      <c r="I531" s="36">
        <f t="shared" si="16"/>
        <v>9.6260255676396955E-3</v>
      </c>
      <c r="J531" s="36">
        <f t="shared" si="17"/>
        <v>3.703748208737867E-3</v>
      </c>
    </row>
    <row r="532" spans="5:10">
      <c r="E532" s="34">
        <v>44974</v>
      </c>
      <c r="F532" s="1">
        <v>1059.31</v>
      </c>
      <c r="G532" s="35">
        <v>84030.95</v>
      </c>
      <c r="I532" s="36">
        <f t="shared" si="16"/>
        <v>9.6381899101372071E-4</v>
      </c>
      <c r="J532" s="36">
        <f t="shared" si="17"/>
        <v>-1.3705847755604683E-2</v>
      </c>
    </row>
    <row r="533" spans="5:10">
      <c r="E533" s="34">
        <v>44977</v>
      </c>
      <c r="F533" s="1">
        <v>1086.69</v>
      </c>
      <c r="G533" s="35">
        <v>85423.23</v>
      </c>
      <c r="I533" s="36">
        <f t="shared" si="16"/>
        <v>2.5847013622074755E-2</v>
      </c>
      <c r="J533" s="36">
        <f t="shared" si="17"/>
        <v>1.6568657143588128E-2</v>
      </c>
    </row>
    <row r="534" spans="5:10">
      <c r="E534" s="34">
        <v>44978</v>
      </c>
      <c r="F534" s="1">
        <v>1082.23</v>
      </c>
      <c r="G534" s="35">
        <v>85557.97</v>
      </c>
      <c r="I534" s="36">
        <f t="shared" si="16"/>
        <v>-4.1042063513974103E-3</v>
      </c>
      <c r="J534" s="36">
        <f t="shared" si="17"/>
        <v>1.577322702501549E-3</v>
      </c>
    </row>
    <row r="535" spans="5:10">
      <c r="E535" s="34">
        <v>44979</v>
      </c>
      <c r="F535" s="1">
        <v>1054.28</v>
      </c>
      <c r="G535" s="35">
        <v>83986.04</v>
      </c>
      <c r="I535" s="36">
        <f t="shared" si="16"/>
        <v>-2.582630309638434E-2</v>
      </c>
      <c r="J535" s="36">
        <f t="shared" si="17"/>
        <v>-1.8372689300599432E-2</v>
      </c>
    </row>
    <row r="536" spans="5:10">
      <c r="E536" s="34">
        <v>44980</v>
      </c>
      <c r="F536" s="1">
        <v>1053.6600000000001</v>
      </c>
      <c r="G536" s="35">
        <v>84030.95</v>
      </c>
      <c r="I536" s="36">
        <f t="shared" si="16"/>
        <v>-5.8807906817914812E-4</v>
      </c>
      <c r="J536" s="36">
        <f t="shared" si="17"/>
        <v>5.3473172446283357E-4</v>
      </c>
    </row>
    <row r="537" spans="5:10">
      <c r="E537" s="34">
        <v>44981</v>
      </c>
      <c r="F537" s="1">
        <v>1039.56</v>
      </c>
      <c r="G537" s="35">
        <v>84884.28</v>
      </c>
      <c r="I537" s="36">
        <f t="shared" si="16"/>
        <v>-1.338192585843645E-2</v>
      </c>
      <c r="J537" s="36">
        <f t="shared" si="17"/>
        <v>1.0154948861104129E-2</v>
      </c>
    </row>
    <row r="538" spans="5:10">
      <c r="E538" s="34">
        <v>44984</v>
      </c>
      <c r="F538" s="1">
        <v>1021.25</v>
      </c>
      <c r="G538" s="35">
        <v>83222.53</v>
      </c>
      <c r="I538" s="36">
        <f t="shared" si="16"/>
        <v>-1.7613220978106026E-2</v>
      </c>
      <c r="J538" s="36">
        <f t="shared" si="17"/>
        <v>-1.9576651884188667E-2</v>
      </c>
    </row>
    <row r="539" spans="5:10">
      <c r="E539" s="34">
        <v>44985</v>
      </c>
      <c r="F539" s="1">
        <v>1024.68</v>
      </c>
      <c r="G539" s="35">
        <v>84435.16</v>
      </c>
      <c r="I539" s="36">
        <f t="shared" si="16"/>
        <v>3.3586291309670724E-3</v>
      </c>
      <c r="J539" s="36">
        <f t="shared" si="17"/>
        <v>1.4570934096812538E-2</v>
      </c>
    </row>
    <row r="540" spans="5:10">
      <c r="E540" s="34">
        <v>44986</v>
      </c>
      <c r="F540" s="1">
        <v>1040.55</v>
      </c>
      <c r="G540" s="35">
        <v>86456.21</v>
      </c>
      <c r="I540" s="36">
        <f t="shared" si="16"/>
        <v>1.5487762033024932E-2</v>
      </c>
      <c r="J540" s="36">
        <f t="shared" si="17"/>
        <v>2.3936118555350605E-2</v>
      </c>
    </row>
    <row r="541" spans="5:10">
      <c r="E541" s="34">
        <v>44987</v>
      </c>
      <c r="F541" s="1">
        <v>1037.6099999999999</v>
      </c>
      <c r="G541" s="35">
        <v>84921.66</v>
      </c>
      <c r="I541" s="36">
        <f t="shared" si="16"/>
        <v>-2.8254288597376886E-3</v>
      </c>
      <c r="J541" s="36">
        <f t="shared" si="17"/>
        <v>-1.7749447957526754E-2</v>
      </c>
    </row>
    <row r="542" spans="5:10">
      <c r="E542" s="34">
        <v>44988</v>
      </c>
      <c r="F542" s="1">
        <v>1024.77</v>
      </c>
      <c r="G542" s="35">
        <v>84425.05</v>
      </c>
      <c r="I542" s="36">
        <f t="shared" si="16"/>
        <v>-1.2374591609564223E-2</v>
      </c>
      <c r="J542" s="36">
        <f t="shared" si="17"/>
        <v>-5.8478602514364653E-3</v>
      </c>
    </row>
    <row r="543" spans="5:10">
      <c r="E543" s="34">
        <v>44991</v>
      </c>
      <c r="F543" s="1">
        <v>1027.18</v>
      </c>
      <c r="G543" s="35">
        <v>83522.100000000006</v>
      </c>
      <c r="I543" s="36">
        <f t="shared" si="16"/>
        <v>2.3517472213276935E-3</v>
      </c>
      <c r="J543" s="36">
        <f t="shared" si="17"/>
        <v>-1.0695285344811678E-2</v>
      </c>
    </row>
    <row r="544" spans="5:10">
      <c r="E544" s="34">
        <v>44992</v>
      </c>
      <c r="F544" s="1">
        <v>1037.8399999999999</v>
      </c>
      <c r="G544" s="35">
        <v>84379.9</v>
      </c>
      <c r="I544" s="36">
        <f t="shared" si="16"/>
        <v>1.0377927919157148E-2</v>
      </c>
      <c r="J544" s="36">
        <f t="shared" si="17"/>
        <v>1.0270335635717887E-2</v>
      </c>
    </row>
    <row r="545" spans="5:10">
      <c r="E545" s="34">
        <v>44993</v>
      </c>
      <c r="F545" s="1">
        <v>1049.18</v>
      </c>
      <c r="G545" s="35">
        <v>84199.31</v>
      </c>
      <c r="I545" s="36">
        <f t="shared" si="16"/>
        <v>1.0926539736375585E-2</v>
      </c>
      <c r="J545" s="36">
        <f t="shared" si="17"/>
        <v>-2.1402016356976139E-3</v>
      </c>
    </row>
    <row r="546" spans="5:10">
      <c r="E546" s="34">
        <v>44994</v>
      </c>
      <c r="F546" s="1">
        <v>1055.95</v>
      </c>
      <c r="G546" s="35">
        <v>84199.31</v>
      </c>
      <c r="I546" s="36">
        <f t="shared" si="16"/>
        <v>6.4526582664556908E-3</v>
      </c>
      <c r="J546" s="36">
        <f t="shared" si="17"/>
        <v>0</v>
      </c>
    </row>
    <row r="547" spans="5:10">
      <c r="E547" s="34">
        <v>44995</v>
      </c>
      <c r="F547" s="1">
        <v>1053</v>
      </c>
      <c r="G547" s="35">
        <v>83792.990000000005</v>
      </c>
      <c r="I547" s="36">
        <f t="shared" si="16"/>
        <v>-2.793692883185761E-3</v>
      </c>
      <c r="J547" s="36">
        <f t="shared" si="17"/>
        <v>-4.8256927521138637E-3</v>
      </c>
    </row>
    <row r="548" spans="5:10">
      <c r="E548" s="34">
        <v>44998</v>
      </c>
      <c r="F548" s="1">
        <v>1052.8</v>
      </c>
      <c r="G548" s="35">
        <v>84425.05</v>
      </c>
      <c r="I548" s="36">
        <f t="shared" si="16"/>
        <v>-1.8993352326690527E-4</v>
      </c>
      <c r="J548" s="36">
        <f t="shared" si="17"/>
        <v>7.5431130933505397E-3</v>
      </c>
    </row>
    <row r="549" spans="5:10">
      <c r="E549" s="34">
        <v>44999</v>
      </c>
      <c r="F549" s="1">
        <v>1040.1300000000001</v>
      </c>
      <c r="G549" s="35">
        <v>85779.46</v>
      </c>
      <c r="I549" s="36">
        <f t="shared" si="16"/>
        <v>-1.203457446808498E-2</v>
      </c>
      <c r="J549" s="36">
        <f t="shared" si="17"/>
        <v>1.6042750344832601E-2</v>
      </c>
    </row>
    <row r="550" spans="5:10">
      <c r="E550" s="34">
        <v>45000</v>
      </c>
      <c r="F550" s="1">
        <v>1062.19</v>
      </c>
      <c r="G550" s="35">
        <v>85553.72</v>
      </c>
      <c r="I550" s="36">
        <f t="shared" si="16"/>
        <v>2.1208887350619543E-2</v>
      </c>
      <c r="J550" s="36">
        <f t="shared" si="17"/>
        <v>-2.6316323278323672E-3</v>
      </c>
    </row>
    <row r="551" spans="5:10">
      <c r="E551" s="34">
        <v>45001</v>
      </c>
      <c r="F551" s="1">
        <v>1047.4000000000001</v>
      </c>
      <c r="G551" s="35">
        <v>86230.93</v>
      </c>
      <c r="I551" s="36">
        <f t="shared" si="16"/>
        <v>-1.3924062550014549E-2</v>
      </c>
      <c r="J551" s="36">
        <f t="shared" si="17"/>
        <v>7.9156113842857589E-3</v>
      </c>
    </row>
    <row r="552" spans="5:10">
      <c r="E552" s="34">
        <v>45002</v>
      </c>
      <c r="F552" s="1">
        <v>1045.1400000000001</v>
      </c>
      <c r="G552" s="35">
        <v>86682.4</v>
      </c>
      <c r="I552" s="36">
        <f t="shared" si="16"/>
        <v>-2.1577238877219518E-3</v>
      </c>
      <c r="J552" s="36">
        <f t="shared" si="17"/>
        <v>5.2355923796716386E-3</v>
      </c>
    </row>
    <row r="553" spans="5:10">
      <c r="E553" s="34">
        <v>45005</v>
      </c>
      <c r="F553" s="1">
        <v>1023.1</v>
      </c>
      <c r="G553" s="35">
        <v>85327.99</v>
      </c>
      <c r="I553" s="36">
        <f t="shared" si="16"/>
        <v>-2.1088083893067044E-2</v>
      </c>
      <c r="J553" s="36">
        <f t="shared" si="17"/>
        <v>-1.5624971159081791E-2</v>
      </c>
    </row>
    <row r="554" spans="5:10">
      <c r="E554" s="34">
        <v>45006</v>
      </c>
      <c r="F554" s="1">
        <v>1032.43</v>
      </c>
      <c r="G554" s="35">
        <v>83973.58</v>
      </c>
      <c r="I554" s="36">
        <f t="shared" si="16"/>
        <v>9.119343172710348E-3</v>
      </c>
      <c r="J554" s="36">
        <f t="shared" si="17"/>
        <v>-1.5872986109247478E-2</v>
      </c>
    </row>
    <row r="555" spans="5:10">
      <c r="E555" s="34">
        <v>45007</v>
      </c>
      <c r="F555" s="1">
        <v>1040.54</v>
      </c>
      <c r="G555" s="35">
        <v>84650.78</v>
      </c>
      <c r="I555" s="36">
        <f t="shared" si="16"/>
        <v>7.8552541092373751E-3</v>
      </c>
      <c r="J555" s="36">
        <f t="shared" si="17"/>
        <v>8.0644412206791749E-3</v>
      </c>
    </row>
    <row r="556" spans="5:10">
      <c r="E556" s="34">
        <v>45008</v>
      </c>
      <c r="F556" s="1">
        <v>1045.0999999999999</v>
      </c>
      <c r="G556" s="35">
        <v>84876.52</v>
      </c>
      <c r="I556" s="36">
        <f t="shared" si="16"/>
        <v>4.3823399388778217E-3</v>
      </c>
      <c r="J556" s="36">
        <f t="shared" si="17"/>
        <v>2.6667208500619211E-3</v>
      </c>
    </row>
    <row r="557" spans="5:10">
      <c r="E557" s="34">
        <v>45009</v>
      </c>
      <c r="F557" s="1">
        <v>1046.79</v>
      </c>
      <c r="G557" s="35">
        <v>84786.22</v>
      </c>
      <c r="I557" s="36">
        <f t="shared" si="16"/>
        <v>1.6170701368289908E-3</v>
      </c>
      <c r="J557" s="36">
        <f t="shared" si="17"/>
        <v>-1.0638984727461276E-3</v>
      </c>
    </row>
    <row r="558" spans="5:10">
      <c r="E558" s="34">
        <v>45012</v>
      </c>
      <c r="F558" s="1">
        <v>1052.25</v>
      </c>
      <c r="G558" s="35">
        <v>83973.58</v>
      </c>
      <c r="I558" s="36">
        <f t="shared" si="16"/>
        <v>5.215945891726248E-3</v>
      </c>
      <c r="J558" s="36">
        <f t="shared" si="17"/>
        <v>-9.5845763615832746E-3</v>
      </c>
    </row>
    <row r="559" spans="5:10">
      <c r="E559" s="34">
        <v>45013</v>
      </c>
      <c r="F559" s="1">
        <v>1054.29</v>
      </c>
      <c r="G559" s="35">
        <v>83973.58</v>
      </c>
      <c r="I559" s="36">
        <f t="shared" si="16"/>
        <v>1.9387027797577172E-3</v>
      </c>
      <c r="J559" s="36">
        <f t="shared" si="17"/>
        <v>0</v>
      </c>
    </row>
    <row r="560" spans="5:10">
      <c r="E560" s="34">
        <v>45014</v>
      </c>
      <c r="F560" s="1">
        <v>1056.33</v>
      </c>
      <c r="G560" s="35">
        <v>83702.69</v>
      </c>
      <c r="I560" s="36">
        <f t="shared" si="16"/>
        <v>1.9349514839370752E-3</v>
      </c>
      <c r="J560" s="36">
        <f t="shared" si="17"/>
        <v>-3.2258955733458494E-3</v>
      </c>
    </row>
    <row r="561" spans="5:10">
      <c r="E561" s="34">
        <v>45015</v>
      </c>
      <c r="F561" s="1">
        <v>1059.44</v>
      </c>
      <c r="G561" s="35">
        <v>83522.100000000006</v>
      </c>
      <c r="I561" s="36">
        <f t="shared" si="16"/>
        <v>2.944155708916929E-3</v>
      </c>
      <c r="J561" s="36">
        <f t="shared" si="17"/>
        <v>-2.1575172793132369E-3</v>
      </c>
    </row>
    <row r="562" spans="5:10">
      <c r="E562" s="34">
        <v>45016</v>
      </c>
      <c r="F562" s="1">
        <v>1064.6400000000001</v>
      </c>
      <c r="G562" s="35">
        <v>83386.66</v>
      </c>
      <c r="I562" s="36">
        <f t="shared" si="16"/>
        <v>4.9082534168995995E-3</v>
      </c>
      <c r="J562" s="36">
        <f t="shared" si="17"/>
        <v>-1.6216067364206443E-3</v>
      </c>
    </row>
    <row r="563" spans="5:10">
      <c r="E563" s="34">
        <v>45019</v>
      </c>
      <c r="F563" s="1">
        <v>1079.28</v>
      </c>
      <c r="G563" s="35">
        <v>81716.22</v>
      </c>
      <c r="I563" s="36">
        <f t="shared" si="16"/>
        <v>1.3751127141568897E-2</v>
      </c>
      <c r="J563" s="36">
        <f t="shared" si="17"/>
        <v>-2.0032460827667187E-2</v>
      </c>
    </row>
    <row r="564" spans="5:10">
      <c r="E564" s="34">
        <v>45020</v>
      </c>
      <c r="F564" s="1">
        <v>1078.45</v>
      </c>
      <c r="G564" s="35">
        <v>80361.81</v>
      </c>
      <c r="I564" s="36">
        <f t="shared" si="16"/>
        <v>-7.6903120598914576E-4</v>
      </c>
      <c r="J564" s="36">
        <f t="shared" si="17"/>
        <v>-1.6574555210703612E-2</v>
      </c>
    </row>
    <row r="565" spans="5:10">
      <c r="E565" s="34">
        <v>45021</v>
      </c>
      <c r="F565" s="1">
        <v>1080.8599999999999</v>
      </c>
      <c r="G565" s="35">
        <v>79684.600000000006</v>
      </c>
      <c r="I565" s="36">
        <f t="shared" si="16"/>
        <v>2.2346886735591376E-3</v>
      </c>
      <c r="J565" s="36">
        <f t="shared" si="17"/>
        <v>-8.4270127813197426E-3</v>
      </c>
    </row>
    <row r="566" spans="5:10">
      <c r="E566" s="34">
        <v>45022</v>
      </c>
      <c r="F566" s="1">
        <v>1070.9100000000001</v>
      </c>
      <c r="G566" s="35">
        <v>79865.19</v>
      </c>
      <c r="I566" s="36">
        <f t="shared" si="16"/>
        <v>-9.2056325518566906E-3</v>
      </c>
      <c r="J566" s="36">
        <f t="shared" si="17"/>
        <v>2.2663099268867004E-3</v>
      </c>
    </row>
    <row r="567" spans="5:10">
      <c r="E567" s="34">
        <v>45023</v>
      </c>
      <c r="F567" s="1">
        <v>1069.71</v>
      </c>
      <c r="G567" s="35">
        <v>79910.34</v>
      </c>
      <c r="I567" s="36">
        <f t="shared" si="16"/>
        <v>-1.1205423424938132E-3</v>
      </c>
      <c r="J567" s="36">
        <f t="shared" si="17"/>
        <v>5.6532764775241162E-4</v>
      </c>
    </row>
    <row r="568" spans="5:10">
      <c r="E568" s="34">
        <v>45026</v>
      </c>
      <c r="F568" s="1">
        <v>1065.3499999999999</v>
      </c>
      <c r="G568" s="35">
        <v>79729.75</v>
      </c>
      <c r="I568" s="36">
        <f t="shared" si="16"/>
        <v>-4.0758710304663603E-3</v>
      </c>
      <c r="J568" s="36">
        <f t="shared" si="17"/>
        <v>-2.2599077916574117E-3</v>
      </c>
    </row>
    <row r="569" spans="5:10">
      <c r="E569" s="34">
        <v>45027</v>
      </c>
      <c r="F569" s="1">
        <v>1069.46</v>
      </c>
      <c r="G569" s="35">
        <v>79007.399999999994</v>
      </c>
      <c r="I569" s="36">
        <f t="shared" si="16"/>
        <v>3.8578870793637421E-3</v>
      </c>
      <c r="J569" s="36">
        <f t="shared" si="17"/>
        <v>-9.0599807474626148E-3</v>
      </c>
    </row>
    <row r="570" spans="5:10">
      <c r="E570" s="34">
        <v>45028</v>
      </c>
      <c r="F570" s="1">
        <v>1069.45</v>
      </c>
      <c r="G570" s="35">
        <v>77201.509999999995</v>
      </c>
      <c r="I570" s="36">
        <f t="shared" si="16"/>
        <v>-9.3505133431648346E-6</v>
      </c>
      <c r="J570" s="36">
        <f t="shared" si="17"/>
        <v>-2.2857226031991917E-2</v>
      </c>
    </row>
    <row r="571" spans="5:10">
      <c r="E571" s="34">
        <v>45029</v>
      </c>
      <c r="F571" s="1">
        <v>1064.3</v>
      </c>
      <c r="G571" s="35">
        <v>76524.31</v>
      </c>
      <c r="I571" s="36">
        <f t="shared" si="16"/>
        <v>-4.8155593996914714E-3</v>
      </c>
      <c r="J571" s="36">
        <f t="shared" si="17"/>
        <v>-8.7718491516551866E-3</v>
      </c>
    </row>
    <row r="572" spans="5:10">
      <c r="E572" s="34">
        <v>45030</v>
      </c>
      <c r="F572" s="1">
        <v>1052.8900000000001</v>
      </c>
      <c r="G572" s="35">
        <v>75395.63</v>
      </c>
      <c r="I572" s="36">
        <f t="shared" si="16"/>
        <v>-1.0720661467631176E-2</v>
      </c>
      <c r="J572" s="36">
        <f t="shared" si="17"/>
        <v>-1.4749299928349502E-2</v>
      </c>
    </row>
    <row r="573" spans="5:10">
      <c r="E573" s="34">
        <v>45033</v>
      </c>
      <c r="F573" s="1">
        <v>1053.81</v>
      </c>
      <c r="G573" s="35">
        <v>74041.22</v>
      </c>
      <c r="I573" s="36">
        <f t="shared" si="16"/>
        <v>8.7378548566308112E-4</v>
      </c>
      <c r="J573" s="36">
        <f t="shared" si="17"/>
        <v>-1.7964038499313606E-2</v>
      </c>
    </row>
    <row r="574" spans="5:10">
      <c r="E574" s="34">
        <v>45034</v>
      </c>
      <c r="F574" s="1">
        <v>1055.02</v>
      </c>
      <c r="G574" s="35">
        <v>74853.86</v>
      </c>
      <c r="I574" s="36">
        <f t="shared" si="16"/>
        <v>1.1482145737846672E-3</v>
      </c>
      <c r="J574" s="36">
        <f t="shared" si="17"/>
        <v>1.0975507967048603E-2</v>
      </c>
    </row>
    <row r="575" spans="5:10">
      <c r="E575" s="34">
        <v>45035</v>
      </c>
      <c r="F575" s="1">
        <v>1048.98</v>
      </c>
      <c r="G575" s="35">
        <v>76930.63</v>
      </c>
      <c r="I575" s="36">
        <f t="shared" si="16"/>
        <v>-5.7250099524179809E-3</v>
      </c>
      <c r="J575" s="36">
        <f t="shared" si="17"/>
        <v>2.7744327413442793E-2</v>
      </c>
    </row>
    <row r="576" spans="5:10">
      <c r="E576" s="34">
        <v>45036</v>
      </c>
      <c r="F576" s="1">
        <v>1049.25</v>
      </c>
      <c r="G576" s="35">
        <v>76975.78</v>
      </c>
      <c r="I576" s="36">
        <f t="shared" si="16"/>
        <v>2.573928959559435E-4</v>
      </c>
      <c r="J576" s="36">
        <f t="shared" si="17"/>
        <v>5.8689237303788389E-4</v>
      </c>
    </row>
    <row r="577" spans="5:10">
      <c r="E577" s="34">
        <v>45037</v>
      </c>
      <c r="F577" s="1">
        <v>1042.9100000000001</v>
      </c>
      <c r="G577" s="35">
        <v>76975.78</v>
      </c>
      <c r="I577" s="36">
        <f t="shared" si="16"/>
        <v>-6.0424112461281432E-3</v>
      </c>
      <c r="J577" s="36">
        <f t="shared" si="17"/>
        <v>0</v>
      </c>
    </row>
    <row r="578" spans="5:10">
      <c r="E578" s="34">
        <v>45040</v>
      </c>
      <c r="F578" s="1">
        <v>1041.3599999999999</v>
      </c>
      <c r="G578" s="35">
        <v>77246.66</v>
      </c>
      <c r="I578" s="36">
        <f t="shared" si="16"/>
        <v>-1.4862260405981154E-3</v>
      </c>
      <c r="J578" s="36">
        <f t="shared" si="17"/>
        <v>3.5190289724897905E-3</v>
      </c>
    </row>
    <row r="579" spans="5:10">
      <c r="E579" s="34">
        <v>45041</v>
      </c>
      <c r="F579" s="1">
        <v>1034.8499999999999</v>
      </c>
      <c r="G579" s="35">
        <v>77201.509999999995</v>
      </c>
      <c r="I579" s="36">
        <f t="shared" si="16"/>
        <v>-6.2514404240607835E-3</v>
      </c>
      <c r="J579" s="36">
        <f t="shared" si="17"/>
        <v>-5.8449129062676519E-4</v>
      </c>
    </row>
    <row r="580" spans="5:10">
      <c r="E580" s="34">
        <v>45042</v>
      </c>
      <c r="F580" s="1">
        <v>1040.8</v>
      </c>
      <c r="G580" s="35">
        <v>77201.509999999995</v>
      </c>
      <c r="I580" s="36">
        <f t="shared" si="16"/>
        <v>5.7496255495965709E-3</v>
      </c>
      <c r="J580" s="36">
        <f t="shared" si="17"/>
        <v>0</v>
      </c>
    </row>
    <row r="581" spans="5:10">
      <c r="E581" s="34">
        <v>45043</v>
      </c>
      <c r="F581" s="1">
        <v>1039.6300000000001</v>
      </c>
      <c r="G581" s="35">
        <v>78555.929999999993</v>
      </c>
      <c r="I581" s="36">
        <f t="shared" si="16"/>
        <v>-1.1241352805532179E-3</v>
      </c>
      <c r="J581" s="36">
        <f t="shared" si="17"/>
        <v>1.754395736560066E-2</v>
      </c>
    </row>
    <row r="582" spans="5:10">
      <c r="E582" s="34">
        <v>45044</v>
      </c>
      <c r="F582" s="1">
        <v>1049.1199999999999</v>
      </c>
      <c r="G582" s="35">
        <v>77652.98</v>
      </c>
      <c r="I582" s="36">
        <f t="shared" si="16"/>
        <v>9.1282475496088367E-3</v>
      </c>
      <c r="J582" s="36">
        <f t="shared" si="17"/>
        <v>-1.1494358223497536E-2</v>
      </c>
    </row>
    <row r="583" spans="5:10">
      <c r="E583" s="34">
        <v>45050</v>
      </c>
      <c r="F583" s="1">
        <v>1040.6099999999999</v>
      </c>
      <c r="G583" s="35">
        <v>75215.039999999994</v>
      </c>
      <c r="I583" s="36">
        <f t="shared" ref="I583:I646" si="18">F583/F582-1</f>
        <v>-8.1115601647094859E-3</v>
      </c>
      <c r="J583" s="36">
        <f t="shared" ref="J583:J646" si="19">G583/G582-1</f>
        <v>-3.1395317990372096E-2</v>
      </c>
    </row>
    <row r="584" spans="5:10">
      <c r="E584" s="34">
        <v>45051</v>
      </c>
      <c r="F584" s="1">
        <v>1040.31</v>
      </c>
      <c r="G584" s="35">
        <v>74718.42</v>
      </c>
      <c r="I584" s="36">
        <f t="shared" si="18"/>
        <v>-2.882924438549761E-4</v>
      </c>
      <c r="J584" s="36">
        <f t="shared" si="19"/>
        <v>-6.6026688279364754E-3</v>
      </c>
    </row>
    <row r="585" spans="5:10">
      <c r="E585" s="34">
        <v>45054</v>
      </c>
      <c r="F585" s="1">
        <v>1053.44</v>
      </c>
      <c r="G585" s="35">
        <v>75169.89</v>
      </c>
      <c r="I585" s="36">
        <f t="shared" si="18"/>
        <v>1.2621237900241278E-2</v>
      </c>
      <c r="J585" s="36">
        <f t="shared" si="19"/>
        <v>6.0422851553874057E-3</v>
      </c>
    </row>
    <row r="586" spans="5:10">
      <c r="E586" s="34">
        <v>45055</v>
      </c>
      <c r="F586" s="1">
        <v>1053.77</v>
      </c>
      <c r="G586" s="35">
        <v>74537.83</v>
      </c>
      <c r="I586" s="36">
        <f t="shared" si="18"/>
        <v>3.1325941676785263E-4</v>
      </c>
      <c r="J586" s="36">
        <f t="shared" si="19"/>
        <v>-8.4084199138777516E-3</v>
      </c>
    </row>
    <row r="587" spans="5:10">
      <c r="E587" s="34">
        <v>45056</v>
      </c>
      <c r="F587" s="1">
        <v>1058.26</v>
      </c>
      <c r="G587" s="35">
        <v>74582.98</v>
      </c>
      <c r="I587" s="36">
        <f t="shared" si="18"/>
        <v>4.2608918454691835E-3</v>
      </c>
      <c r="J587" s="36">
        <f t="shared" si="19"/>
        <v>6.0573268634178667E-4</v>
      </c>
    </row>
    <row r="588" spans="5:10">
      <c r="E588" s="34">
        <v>45057</v>
      </c>
      <c r="F588" s="1">
        <v>1057.1199999999999</v>
      </c>
      <c r="G588" s="35">
        <v>74266.95</v>
      </c>
      <c r="I588" s="36">
        <f t="shared" si="18"/>
        <v>-1.0772399977322378E-3</v>
      </c>
      <c r="J588" s="36">
        <f t="shared" si="19"/>
        <v>-4.2372938169003005E-3</v>
      </c>
    </row>
    <row r="589" spans="5:10">
      <c r="E589" s="34">
        <v>45058</v>
      </c>
      <c r="F589" s="1">
        <v>1066.9000000000001</v>
      </c>
      <c r="G589" s="35">
        <v>73996.070000000007</v>
      </c>
      <c r="I589" s="36">
        <f t="shared" si="18"/>
        <v>9.2515513848949738E-3</v>
      </c>
      <c r="J589" s="36">
        <f t="shared" si="19"/>
        <v>-3.6473828533417629E-3</v>
      </c>
    </row>
    <row r="590" spans="5:10">
      <c r="E590" s="34">
        <v>45061</v>
      </c>
      <c r="F590" s="1">
        <v>1065.71</v>
      </c>
      <c r="G590" s="35">
        <v>74086.36</v>
      </c>
      <c r="I590" s="36">
        <f t="shared" si="18"/>
        <v>-1.1153810104039819E-3</v>
      </c>
      <c r="J590" s="36">
        <f t="shared" si="19"/>
        <v>1.2201999376453276E-3</v>
      </c>
    </row>
    <row r="591" spans="5:10">
      <c r="E591" s="34">
        <v>45062</v>
      </c>
      <c r="F591" s="1">
        <v>1065.9100000000001</v>
      </c>
      <c r="G591" s="35">
        <v>73589.75</v>
      </c>
      <c r="I591" s="36">
        <f t="shared" si="18"/>
        <v>1.876683150201508E-4</v>
      </c>
      <c r="J591" s="36">
        <f t="shared" si="19"/>
        <v>-6.7031232199827873E-3</v>
      </c>
    </row>
    <row r="592" spans="5:10">
      <c r="E592" s="34">
        <v>45063</v>
      </c>
      <c r="F592" s="1">
        <v>1060.44</v>
      </c>
      <c r="G592" s="35">
        <v>73364.009999999995</v>
      </c>
      <c r="I592" s="36">
        <f t="shared" si="18"/>
        <v>-5.1317653460424273E-3</v>
      </c>
      <c r="J592" s="36">
        <f t="shared" si="19"/>
        <v>-3.0675467711196447E-3</v>
      </c>
    </row>
    <row r="593" spans="5:10">
      <c r="E593" s="34">
        <v>45064</v>
      </c>
      <c r="F593" s="1">
        <v>1068.31</v>
      </c>
      <c r="G593" s="35">
        <v>73273.72</v>
      </c>
      <c r="I593" s="36">
        <f t="shared" si="18"/>
        <v>7.421447700954209E-3</v>
      </c>
      <c r="J593" s="36">
        <f t="shared" si="19"/>
        <v>-1.2307124433355021E-3</v>
      </c>
    </row>
    <row r="594" spans="5:10">
      <c r="E594" s="34">
        <v>45065</v>
      </c>
      <c r="F594" s="1">
        <v>1067.07</v>
      </c>
      <c r="G594" s="35">
        <v>72551.360000000001</v>
      </c>
      <c r="I594" s="36">
        <f t="shared" si="18"/>
        <v>-1.1607117784163679E-3</v>
      </c>
      <c r="J594" s="36">
        <f t="shared" si="19"/>
        <v>-9.8583776011371693E-3</v>
      </c>
    </row>
    <row r="595" spans="5:10">
      <c r="E595" s="34">
        <v>45068</v>
      </c>
      <c r="F595" s="1">
        <v>1070.6400000000001</v>
      </c>
      <c r="G595" s="35">
        <v>72551.360000000001</v>
      </c>
      <c r="I595" s="36">
        <f t="shared" si="18"/>
        <v>3.3456099412412232E-3</v>
      </c>
      <c r="J595" s="36">
        <f t="shared" si="19"/>
        <v>0</v>
      </c>
    </row>
    <row r="596" spans="5:10">
      <c r="E596" s="34">
        <v>45069</v>
      </c>
      <c r="F596" s="1">
        <v>1065.8499999999999</v>
      </c>
      <c r="G596" s="35">
        <v>71783.86</v>
      </c>
      <c r="I596" s="36">
        <f t="shared" si="18"/>
        <v>-4.4739595008594923E-3</v>
      </c>
      <c r="J596" s="36">
        <f t="shared" si="19"/>
        <v>-1.0578712790497602E-2</v>
      </c>
    </row>
    <row r="597" spans="5:10">
      <c r="E597" s="34">
        <v>45070</v>
      </c>
      <c r="F597" s="1">
        <v>1061.79</v>
      </c>
      <c r="G597" s="35">
        <v>71558.13</v>
      </c>
      <c r="I597" s="36">
        <f t="shared" si="18"/>
        <v>-3.8091663930196473E-3</v>
      </c>
      <c r="J597" s="36">
        <f t="shared" si="19"/>
        <v>-3.144578739566195E-3</v>
      </c>
    </row>
    <row r="598" spans="5:10">
      <c r="E598" s="34">
        <v>45071</v>
      </c>
      <c r="F598" s="1">
        <v>1064.6300000000001</v>
      </c>
      <c r="G598" s="35">
        <v>71332.39</v>
      </c>
      <c r="I598" s="36">
        <f t="shared" si="18"/>
        <v>2.6747285244730357E-3</v>
      </c>
      <c r="J598" s="36">
        <f t="shared" si="19"/>
        <v>-3.1546380544041908E-3</v>
      </c>
    </row>
    <row r="599" spans="5:10">
      <c r="E599" s="34">
        <v>45072</v>
      </c>
      <c r="F599" s="1">
        <v>1063.76</v>
      </c>
      <c r="G599" s="35">
        <v>70203.710000000006</v>
      </c>
      <c r="I599" s="36">
        <f t="shared" si="18"/>
        <v>-8.1718531320751353E-4</v>
      </c>
      <c r="J599" s="36">
        <f t="shared" si="19"/>
        <v>-1.5822826068213836E-2</v>
      </c>
    </row>
    <row r="600" spans="5:10">
      <c r="E600" s="34">
        <v>45075</v>
      </c>
      <c r="F600" s="1">
        <v>1074.98</v>
      </c>
      <c r="G600" s="35">
        <v>70113.42</v>
      </c>
      <c r="I600" s="36">
        <f t="shared" si="18"/>
        <v>1.0547491915469775E-2</v>
      </c>
      <c r="J600" s="36">
        <f t="shared" si="19"/>
        <v>-1.2861143663206454E-3</v>
      </c>
    </row>
    <row r="601" spans="5:10">
      <c r="E601" s="34">
        <v>45076</v>
      </c>
      <c r="F601" s="1">
        <v>1078.05</v>
      </c>
      <c r="G601" s="35">
        <v>70429.45</v>
      </c>
      <c r="I601" s="36">
        <f t="shared" si="18"/>
        <v>2.8558670858991331E-3</v>
      </c>
      <c r="J601" s="36">
        <f t="shared" si="19"/>
        <v>4.5074109920753003E-3</v>
      </c>
    </row>
    <row r="602" spans="5:10">
      <c r="E602" s="34">
        <v>45077</v>
      </c>
      <c r="F602" s="1">
        <v>1075.17</v>
      </c>
      <c r="G602" s="35">
        <v>71332.39</v>
      </c>
      <c r="I602" s="36">
        <f t="shared" si="18"/>
        <v>-2.6714901906218502E-3</v>
      </c>
      <c r="J602" s="36">
        <f t="shared" si="19"/>
        <v>1.2820489156169845E-2</v>
      </c>
    </row>
    <row r="603" spans="5:10">
      <c r="E603" s="34">
        <v>45078</v>
      </c>
      <c r="F603" s="1">
        <v>1078.3900000000001</v>
      </c>
      <c r="G603" s="35">
        <v>71422.69</v>
      </c>
      <c r="I603" s="36">
        <f t="shared" si="18"/>
        <v>2.9948752290336333E-3</v>
      </c>
      <c r="J603" s="36">
        <f t="shared" si="19"/>
        <v>1.2659045911682654E-3</v>
      </c>
    </row>
    <row r="604" spans="5:10">
      <c r="E604" s="34">
        <v>45079</v>
      </c>
      <c r="F604" s="1">
        <v>1090.8399999999999</v>
      </c>
      <c r="G604" s="35">
        <v>71332.39</v>
      </c>
      <c r="I604" s="36">
        <f t="shared" si="18"/>
        <v>1.1544988362280684E-2</v>
      </c>
      <c r="J604" s="36">
        <f t="shared" si="19"/>
        <v>-1.2643041027998736E-3</v>
      </c>
    </row>
    <row r="605" spans="5:10">
      <c r="E605" s="34">
        <v>45082</v>
      </c>
      <c r="F605" s="1">
        <v>1097.82</v>
      </c>
      <c r="G605" s="35">
        <v>71964.45</v>
      </c>
      <c r="I605" s="36">
        <f t="shared" si="18"/>
        <v>6.3987385867771973E-3</v>
      </c>
      <c r="J605" s="36">
        <f t="shared" si="19"/>
        <v>8.8607713830981538E-3</v>
      </c>
    </row>
    <row r="606" spans="5:10">
      <c r="E606" s="34">
        <v>45083</v>
      </c>
      <c r="F606" s="1">
        <v>1108.31</v>
      </c>
      <c r="G606" s="35">
        <v>72235.33</v>
      </c>
      <c r="I606" s="36">
        <f t="shared" si="18"/>
        <v>9.5553005046364881E-3</v>
      </c>
      <c r="J606" s="36">
        <f t="shared" si="19"/>
        <v>3.7640807370862284E-3</v>
      </c>
    </row>
    <row r="607" spans="5:10">
      <c r="E607" s="34">
        <v>45084</v>
      </c>
      <c r="F607" s="1">
        <v>1109.54</v>
      </c>
      <c r="G607" s="35">
        <v>72145.039999999994</v>
      </c>
      <c r="I607" s="36">
        <f t="shared" si="18"/>
        <v>1.1097978002545528E-3</v>
      </c>
      <c r="J607" s="36">
        <f t="shared" si="19"/>
        <v>-1.2499423758430828E-3</v>
      </c>
    </row>
    <row r="608" spans="5:10">
      <c r="E608" s="34">
        <v>45085</v>
      </c>
      <c r="F608" s="1">
        <v>1101.32</v>
      </c>
      <c r="G608" s="35">
        <v>72145.039999999994</v>
      </c>
      <c r="I608" s="36">
        <f t="shared" si="18"/>
        <v>-7.4084755844764372E-3</v>
      </c>
      <c r="J608" s="36">
        <f t="shared" si="19"/>
        <v>0</v>
      </c>
    </row>
    <row r="609" spans="5:10">
      <c r="E609" s="34">
        <v>45086</v>
      </c>
      <c r="F609" s="1">
        <v>1107.53</v>
      </c>
      <c r="G609" s="35">
        <v>72009.279999999999</v>
      </c>
      <c r="I609" s="36">
        <f t="shared" si="18"/>
        <v>5.6386881197110217E-3</v>
      </c>
      <c r="J609" s="36">
        <f t="shared" si="19"/>
        <v>-1.8817648448180568E-3</v>
      </c>
    </row>
    <row r="610" spans="5:10">
      <c r="E610" s="34">
        <v>45089</v>
      </c>
      <c r="F610" s="1">
        <v>1116.02</v>
      </c>
      <c r="G610" s="35">
        <v>73832.3</v>
      </c>
      <c r="I610" s="36">
        <f t="shared" si="18"/>
        <v>7.6657065722824935E-3</v>
      </c>
      <c r="J610" s="36">
        <f t="shared" si="19"/>
        <v>2.5316459211923936E-2</v>
      </c>
    </row>
    <row r="611" spans="5:10">
      <c r="E611" s="34">
        <v>45090</v>
      </c>
      <c r="F611" s="1">
        <v>1122.46</v>
      </c>
      <c r="G611" s="35">
        <v>73741.149999999994</v>
      </c>
      <c r="I611" s="36">
        <f t="shared" si="18"/>
        <v>5.7705059049122376E-3</v>
      </c>
      <c r="J611" s="36">
        <f t="shared" si="19"/>
        <v>-1.234554524239484E-3</v>
      </c>
    </row>
    <row r="612" spans="5:10">
      <c r="E612" s="34">
        <v>45091</v>
      </c>
      <c r="F612" s="1">
        <v>1117.42</v>
      </c>
      <c r="G612" s="35">
        <v>73832.3</v>
      </c>
      <c r="I612" s="36">
        <f t="shared" si="18"/>
        <v>-4.490137733193178E-3</v>
      </c>
      <c r="J612" s="36">
        <f t="shared" si="19"/>
        <v>1.2360805330540181E-3</v>
      </c>
    </row>
    <row r="613" spans="5:10">
      <c r="E613" s="34">
        <v>45092</v>
      </c>
      <c r="F613" s="1">
        <v>1116.97</v>
      </c>
      <c r="G613" s="35">
        <v>72465.03</v>
      </c>
      <c r="I613" s="36">
        <f t="shared" si="18"/>
        <v>-4.0271339335262724E-4</v>
      </c>
      <c r="J613" s="36">
        <f t="shared" si="19"/>
        <v>-1.8518588747743259E-2</v>
      </c>
    </row>
    <row r="614" spans="5:10">
      <c r="E614" s="34">
        <v>45093</v>
      </c>
      <c r="F614" s="1">
        <v>1115.22</v>
      </c>
      <c r="G614" s="35">
        <v>70642.009999999995</v>
      </c>
      <c r="I614" s="36">
        <f t="shared" si="18"/>
        <v>-1.5667385874285067E-3</v>
      </c>
      <c r="J614" s="36">
        <f t="shared" si="19"/>
        <v>-2.5157237911859087E-2</v>
      </c>
    </row>
    <row r="615" spans="5:10">
      <c r="E615" s="34">
        <v>45096</v>
      </c>
      <c r="F615" s="1">
        <v>1105.4000000000001</v>
      </c>
      <c r="G615" s="35">
        <v>71462.37</v>
      </c>
      <c r="I615" s="36">
        <f t="shared" si="18"/>
        <v>-8.8054374921540113E-3</v>
      </c>
      <c r="J615" s="36">
        <f t="shared" si="19"/>
        <v>1.1612919847552527E-2</v>
      </c>
    </row>
    <row r="616" spans="5:10">
      <c r="E616" s="34">
        <v>45097</v>
      </c>
      <c r="F616" s="1">
        <v>1111.72</v>
      </c>
      <c r="G616" s="35">
        <v>70778.740000000005</v>
      </c>
      <c r="I616" s="36">
        <f t="shared" si="18"/>
        <v>5.7173873710874012E-3</v>
      </c>
      <c r="J616" s="36">
        <f t="shared" si="19"/>
        <v>-9.5662934212787931E-3</v>
      </c>
    </row>
    <row r="617" spans="5:10">
      <c r="E617" s="34">
        <v>45098</v>
      </c>
      <c r="F617" s="1">
        <v>1118.46</v>
      </c>
      <c r="G617" s="35">
        <v>70642.009999999995</v>
      </c>
      <c r="I617" s="36">
        <f t="shared" si="18"/>
        <v>6.0626776526464532E-3</v>
      </c>
      <c r="J617" s="36">
        <f t="shared" si="19"/>
        <v>-1.9317947734024399E-3</v>
      </c>
    </row>
    <row r="618" spans="5:10">
      <c r="E618" s="34">
        <v>45099</v>
      </c>
      <c r="F618" s="1">
        <v>1125.3</v>
      </c>
      <c r="G618" s="35">
        <v>70550.86</v>
      </c>
      <c r="I618" s="36">
        <f t="shared" si="18"/>
        <v>6.1155517407862625E-3</v>
      </c>
      <c r="J618" s="36">
        <f t="shared" si="19"/>
        <v>-1.2903086987473555E-3</v>
      </c>
    </row>
    <row r="619" spans="5:10">
      <c r="E619" s="34">
        <v>45100</v>
      </c>
      <c r="F619" s="1">
        <v>1129.3800000000001</v>
      </c>
      <c r="G619" s="35">
        <v>71325.649999999994</v>
      </c>
      <c r="I619" s="36">
        <f t="shared" si="18"/>
        <v>3.6256998133832319E-3</v>
      </c>
      <c r="J619" s="36">
        <f t="shared" si="19"/>
        <v>1.0982006456051518E-2</v>
      </c>
    </row>
    <row r="620" spans="5:10">
      <c r="E620" s="34">
        <v>45103</v>
      </c>
      <c r="F620" s="1">
        <v>1132.03</v>
      </c>
      <c r="G620" s="35">
        <v>71097.77</v>
      </c>
      <c r="I620" s="36">
        <f t="shared" si="18"/>
        <v>2.3464201597336309E-3</v>
      </c>
      <c r="J620" s="36">
        <f t="shared" si="19"/>
        <v>-3.1949235653652153E-3</v>
      </c>
    </row>
    <row r="621" spans="5:10">
      <c r="E621" s="34">
        <v>45104</v>
      </c>
      <c r="F621" s="1">
        <v>1134.33</v>
      </c>
      <c r="G621" s="35">
        <v>70368.56</v>
      </c>
      <c r="I621" s="36">
        <f t="shared" si="18"/>
        <v>2.0317482752223448E-3</v>
      </c>
      <c r="J621" s="36">
        <f t="shared" si="19"/>
        <v>-1.0256439829266162E-2</v>
      </c>
    </row>
    <row r="622" spans="5:10">
      <c r="E622" s="34">
        <v>45105</v>
      </c>
      <c r="F622" s="1">
        <v>1138.3499999999999</v>
      </c>
      <c r="G622" s="35">
        <v>70505.289999999994</v>
      </c>
      <c r="I622" s="36">
        <f t="shared" si="18"/>
        <v>3.5439422390308728E-3</v>
      </c>
      <c r="J622" s="36">
        <f t="shared" si="19"/>
        <v>1.9430552508108434E-3</v>
      </c>
    </row>
    <row r="623" spans="5:10">
      <c r="E623" s="34">
        <v>45106</v>
      </c>
      <c r="F623" s="1">
        <v>1125.3900000000001</v>
      </c>
      <c r="G623" s="35">
        <v>70186.259999999995</v>
      </c>
      <c r="I623" s="36">
        <f t="shared" si="18"/>
        <v>-1.138489919620489E-2</v>
      </c>
      <c r="J623" s="36">
        <f t="shared" si="19"/>
        <v>-4.5249086983402131E-3</v>
      </c>
    </row>
    <row r="624" spans="5:10">
      <c r="E624" s="34">
        <v>45107</v>
      </c>
      <c r="F624" s="1">
        <v>1120.18</v>
      </c>
      <c r="G624" s="35">
        <v>70003.960000000006</v>
      </c>
      <c r="I624" s="36">
        <f t="shared" si="18"/>
        <v>-4.6295062156230804E-3</v>
      </c>
      <c r="J624" s="36">
        <f t="shared" si="19"/>
        <v>-2.5973744718693625E-3</v>
      </c>
    </row>
    <row r="625" spans="5:10">
      <c r="E625" s="34">
        <v>45110</v>
      </c>
      <c r="F625" s="1">
        <v>1125.5</v>
      </c>
      <c r="G625" s="35">
        <v>70049.53</v>
      </c>
      <c r="I625" s="36">
        <f t="shared" si="18"/>
        <v>4.7492367298112015E-3</v>
      </c>
      <c r="J625" s="36">
        <f t="shared" si="19"/>
        <v>6.5096317408319671E-4</v>
      </c>
    </row>
    <row r="626" spans="5:10">
      <c r="E626" s="34">
        <v>45111</v>
      </c>
      <c r="F626" s="1">
        <v>1132</v>
      </c>
      <c r="G626" s="35">
        <v>70003.960000000006</v>
      </c>
      <c r="I626" s="36">
        <f t="shared" si="18"/>
        <v>5.7752110173256987E-3</v>
      </c>
      <c r="J626" s="36">
        <f t="shared" si="19"/>
        <v>-6.5053969669737199E-4</v>
      </c>
    </row>
    <row r="627" spans="5:10">
      <c r="E627" s="34">
        <v>45112</v>
      </c>
      <c r="F627" s="1">
        <v>1134.6199999999999</v>
      </c>
      <c r="G627" s="35">
        <v>70095.11</v>
      </c>
      <c r="I627" s="36">
        <f t="shared" si="18"/>
        <v>2.3144876325087438E-3</v>
      </c>
      <c r="J627" s="36">
        <f t="shared" si="19"/>
        <v>1.302069197228084E-3</v>
      </c>
    </row>
    <row r="628" spans="5:10">
      <c r="E628" s="34">
        <v>45113</v>
      </c>
      <c r="F628" s="1">
        <v>1126.22</v>
      </c>
      <c r="G628" s="35">
        <v>69912.81</v>
      </c>
      <c r="I628" s="36">
        <f t="shared" si="18"/>
        <v>-7.4033597151468289E-3</v>
      </c>
      <c r="J628" s="36">
        <f t="shared" si="19"/>
        <v>-2.6007520353417135E-3</v>
      </c>
    </row>
    <row r="629" spans="5:10">
      <c r="E629" s="34">
        <v>45114</v>
      </c>
      <c r="F629" s="1">
        <v>1138.07</v>
      </c>
      <c r="G629" s="35">
        <v>68818.990000000005</v>
      </c>
      <c r="I629" s="36">
        <f t="shared" si="18"/>
        <v>1.0521922892507529E-2</v>
      </c>
      <c r="J629" s="36">
        <f t="shared" si="19"/>
        <v>-1.5645487572305994E-2</v>
      </c>
    </row>
    <row r="630" spans="5:10">
      <c r="E630" s="34">
        <v>45117</v>
      </c>
      <c r="F630" s="1">
        <v>1149.02</v>
      </c>
      <c r="G630" s="35">
        <v>68499.97</v>
      </c>
      <c r="I630" s="36">
        <f t="shared" si="18"/>
        <v>9.6215522771008199E-3</v>
      </c>
      <c r="J630" s="36">
        <f t="shared" si="19"/>
        <v>-4.6356390874089382E-3</v>
      </c>
    </row>
    <row r="631" spans="5:10">
      <c r="E631" s="34">
        <v>45118</v>
      </c>
      <c r="F631" s="1">
        <v>1151.77</v>
      </c>
      <c r="G631" s="35">
        <v>68363.240000000005</v>
      </c>
      <c r="I631" s="36">
        <f t="shared" si="18"/>
        <v>2.3933438930567874E-3</v>
      </c>
      <c r="J631" s="36">
        <f t="shared" si="19"/>
        <v>-1.9960592683471168E-3</v>
      </c>
    </row>
    <row r="632" spans="5:10">
      <c r="E632" s="34">
        <v>45119</v>
      </c>
      <c r="F632" s="1">
        <v>1154.2</v>
      </c>
      <c r="G632" s="35">
        <v>68818.990000000005</v>
      </c>
      <c r="I632" s="36">
        <f t="shared" si="18"/>
        <v>2.1097962266771741E-3</v>
      </c>
      <c r="J632" s="36">
        <f t="shared" si="19"/>
        <v>6.6665945031276763E-3</v>
      </c>
    </row>
    <row r="633" spans="5:10">
      <c r="E633" s="34">
        <v>45120</v>
      </c>
      <c r="F633" s="1">
        <v>1165.42</v>
      </c>
      <c r="G633" s="35">
        <v>69958.38</v>
      </c>
      <c r="I633" s="36">
        <f t="shared" si="18"/>
        <v>9.7210188875411774E-3</v>
      </c>
      <c r="J633" s="36">
        <f t="shared" si="19"/>
        <v>1.6556331326571305E-2</v>
      </c>
    </row>
    <row r="634" spans="5:10">
      <c r="E634" s="34">
        <v>45121</v>
      </c>
      <c r="F634" s="1">
        <v>1168.4000000000001</v>
      </c>
      <c r="G634" s="35">
        <v>70095.11</v>
      </c>
      <c r="I634" s="36">
        <f t="shared" si="18"/>
        <v>2.5570180707383816E-3</v>
      </c>
      <c r="J634" s="36">
        <f t="shared" si="19"/>
        <v>1.9544477730901733E-3</v>
      </c>
    </row>
    <row r="635" spans="5:10">
      <c r="E635" s="34">
        <v>45124</v>
      </c>
      <c r="F635" s="1">
        <v>1173.1300000000001</v>
      </c>
      <c r="G635" s="35">
        <v>69958.38</v>
      </c>
      <c r="I635" s="36">
        <f t="shared" si="18"/>
        <v>4.0482711400204874E-3</v>
      </c>
      <c r="J635" s="36">
        <f t="shared" si="19"/>
        <v>-1.9506353581583147E-3</v>
      </c>
    </row>
    <row r="636" spans="5:10">
      <c r="E636" s="34">
        <v>45125</v>
      </c>
      <c r="F636" s="1">
        <v>1174.0899999999999</v>
      </c>
      <c r="G636" s="35">
        <v>69776.08</v>
      </c>
      <c r="I636" s="36">
        <f t="shared" si="18"/>
        <v>8.1832362994704866E-4</v>
      </c>
      <c r="J636" s="36">
        <f t="shared" si="19"/>
        <v>-2.6058350693656251E-3</v>
      </c>
    </row>
    <row r="637" spans="5:10">
      <c r="E637" s="34">
        <v>45126</v>
      </c>
      <c r="F637" s="1">
        <v>1172.98</v>
      </c>
      <c r="G637" s="35">
        <v>69639.350000000006</v>
      </c>
      <c r="I637" s="36">
        <f t="shared" si="18"/>
        <v>-9.4541304329298637E-4</v>
      </c>
      <c r="J637" s="36">
        <f t="shared" si="19"/>
        <v>-1.9595540477480577E-3</v>
      </c>
    </row>
    <row r="638" spans="5:10">
      <c r="E638" s="34">
        <v>45127</v>
      </c>
      <c r="F638" s="1">
        <v>1172.81</v>
      </c>
      <c r="G638" s="35">
        <v>69821.66</v>
      </c>
      <c r="I638" s="36">
        <f t="shared" si="18"/>
        <v>-1.4493000733184491E-4</v>
      </c>
      <c r="J638" s="36">
        <f t="shared" si="19"/>
        <v>2.6179164509720909E-3</v>
      </c>
    </row>
    <row r="639" spans="5:10">
      <c r="E639" s="34">
        <v>45128</v>
      </c>
      <c r="F639" s="1">
        <v>1185.9000000000001</v>
      </c>
      <c r="G639" s="35">
        <v>69776.08</v>
      </c>
      <c r="I639" s="36">
        <f t="shared" si="18"/>
        <v>1.1161228161424397E-2</v>
      </c>
      <c r="J639" s="36">
        <f t="shared" si="19"/>
        <v>-6.528060203667696E-4</v>
      </c>
    </row>
    <row r="640" spans="5:10">
      <c r="E640" s="34">
        <v>45131</v>
      </c>
      <c r="F640" s="1">
        <v>1190.72</v>
      </c>
      <c r="G640" s="35">
        <v>70642.009999999995</v>
      </c>
      <c r="I640" s="36">
        <f t="shared" si="18"/>
        <v>4.0644236444893345E-3</v>
      </c>
      <c r="J640" s="36">
        <f t="shared" si="19"/>
        <v>1.2410126794167864E-2</v>
      </c>
    </row>
    <row r="641" spans="5:10">
      <c r="E641" s="34">
        <v>45132</v>
      </c>
      <c r="F641" s="1">
        <v>1195.9000000000001</v>
      </c>
      <c r="G641" s="35">
        <v>72009.279999999999</v>
      </c>
      <c r="I641" s="36">
        <f t="shared" si="18"/>
        <v>4.3503090567051927E-3</v>
      </c>
      <c r="J641" s="36">
        <f t="shared" si="19"/>
        <v>1.9354913598862877E-2</v>
      </c>
    </row>
    <row r="642" spans="5:10">
      <c r="E642" s="34">
        <v>45133</v>
      </c>
      <c r="F642" s="1">
        <v>1200.8399999999999</v>
      </c>
      <c r="G642" s="35">
        <v>73650</v>
      </c>
      <c r="I642" s="36">
        <f t="shared" si="18"/>
        <v>4.1307801655654508E-3</v>
      </c>
      <c r="J642" s="36">
        <f t="shared" si="19"/>
        <v>2.2784841064929395E-2</v>
      </c>
    </row>
    <row r="643" spans="5:10">
      <c r="E643" s="34">
        <v>45134</v>
      </c>
      <c r="F643" s="1">
        <v>1197.33</v>
      </c>
      <c r="G643" s="35">
        <v>73011.94</v>
      </c>
      <c r="I643" s="36">
        <f t="shared" si="18"/>
        <v>-2.9229539322473963E-3</v>
      </c>
      <c r="J643" s="36">
        <f t="shared" si="19"/>
        <v>-8.6634080108621836E-3</v>
      </c>
    </row>
    <row r="644" spans="5:10">
      <c r="E644" s="34">
        <v>45135</v>
      </c>
      <c r="F644" s="1">
        <v>1207.67</v>
      </c>
      <c r="G644" s="35">
        <v>71553.52</v>
      </c>
      <c r="I644" s="36">
        <f t="shared" si="18"/>
        <v>8.6358815030109781E-3</v>
      </c>
      <c r="J644" s="36">
        <f t="shared" si="19"/>
        <v>-1.9975089005989988E-2</v>
      </c>
    </row>
    <row r="645" spans="5:10">
      <c r="E645" s="34">
        <v>45138</v>
      </c>
      <c r="F645" s="1">
        <v>1222.9000000000001</v>
      </c>
      <c r="G645" s="35">
        <v>71462.37</v>
      </c>
      <c r="I645" s="36">
        <f t="shared" si="18"/>
        <v>1.2611060968642063E-2</v>
      </c>
      <c r="J645" s="36">
        <f t="shared" si="19"/>
        <v>-1.2738716418145835E-3</v>
      </c>
    </row>
    <row r="646" spans="5:10">
      <c r="E646" s="34">
        <v>45139</v>
      </c>
      <c r="F646" s="1">
        <v>1217.56</v>
      </c>
      <c r="G646" s="35">
        <v>72191.58</v>
      </c>
      <c r="I646" s="36">
        <f t="shared" si="18"/>
        <v>-4.3666693924279132E-3</v>
      </c>
      <c r="J646" s="36">
        <f t="shared" si="19"/>
        <v>1.0204111618464573E-2</v>
      </c>
    </row>
    <row r="647" spans="5:10">
      <c r="E647" s="34">
        <v>45140</v>
      </c>
      <c r="F647" s="1">
        <v>1220.43</v>
      </c>
      <c r="G647" s="35">
        <v>72419.460000000006</v>
      </c>
      <c r="I647" s="36">
        <f t="shared" ref="I647:I710" si="20">F647/F646-1</f>
        <v>2.3571733631198022E-3</v>
      </c>
      <c r="J647" s="36">
        <f t="shared" ref="J647:J710" si="21">G647/G646-1</f>
        <v>3.1566008113412813E-3</v>
      </c>
    </row>
    <row r="648" spans="5:10">
      <c r="E648" s="34">
        <v>45141</v>
      </c>
      <c r="F648" s="1">
        <v>1210.95</v>
      </c>
      <c r="G648" s="35">
        <v>73604.42</v>
      </c>
      <c r="I648" s="36">
        <f t="shared" si="20"/>
        <v>-7.7677539883483915E-3</v>
      </c>
      <c r="J648" s="36">
        <f t="shared" si="21"/>
        <v>1.6362452854522758E-2</v>
      </c>
    </row>
    <row r="649" spans="5:10">
      <c r="E649" s="34">
        <v>45142</v>
      </c>
      <c r="F649" s="1">
        <v>1225.98</v>
      </c>
      <c r="G649" s="35">
        <v>73148.67</v>
      </c>
      <c r="I649" s="36">
        <f t="shared" si="20"/>
        <v>1.2411742846525353E-2</v>
      </c>
      <c r="J649" s="36">
        <f t="shared" si="21"/>
        <v>-6.1918835852521337E-3</v>
      </c>
    </row>
    <row r="650" spans="5:10">
      <c r="E650" s="34">
        <v>45145</v>
      </c>
      <c r="F650" s="1">
        <v>1241.42</v>
      </c>
      <c r="G650" s="35">
        <v>73376.539999999994</v>
      </c>
      <c r="I650" s="36">
        <f t="shared" si="20"/>
        <v>1.2594006427511184E-2</v>
      </c>
      <c r="J650" s="36">
        <f t="shared" si="21"/>
        <v>3.1151625860046384E-3</v>
      </c>
    </row>
    <row r="651" spans="5:10">
      <c r="E651" s="34">
        <v>45146</v>
      </c>
      <c r="F651" s="1">
        <v>1242.23</v>
      </c>
      <c r="G651" s="35">
        <v>73650</v>
      </c>
      <c r="I651" s="36">
        <f t="shared" si="20"/>
        <v>6.5247861320094636E-4</v>
      </c>
      <c r="J651" s="36">
        <f t="shared" si="21"/>
        <v>3.7268042347051722E-3</v>
      </c>
    </row>
    <row r="652" spans="5:10">
      <c r="E652" s="34">
        <v>45147</v>
      </c>
      <c r="F652" s="1">
        <v>1233.99</v>
      </c>
      <c r="G652" s="35">
        <v>73376.539999999994</v>
      </c>
      <c r="I652" s="36">
        <f t="shared" si="20"/>
        <v>-6.6332321711760622E-3</v>
      </c>
      <c r="J652" s="36">
        <f t="shared" si="21"/>
        <v>-3.7129667345554562E-3</v>
      </c>
    </row>
    <row r="653" spans="5:10">
      <c r="E653" s="34">
        <v>45148</v>
      </c>
      <c r="F653" s="1">
        <v>1220.6099999999999</v>
      </c>
      <c r="G653" s="35">
        <v>73194.240000000005</v>
      </c>
      <c r="I653" s="36">
        <f t="shared" si="20"/>
        <v>-1.0842875550045039E-2</v>
      </c>
      <c r="J653" s="36">
        <f t="shared" si="21"/>
        <v>-2.4844453009094103E-3</v>
      </c>
    </row>
    <row r="654" spans="5:10">
      <c r="E654" s="34">
        <v>45149</v>
      </c>
      <c r="F654" s="1">
        <v>1232.21</v>
      </c>
      <c r="G654" s="35">
        <v>72692.91</v>
      </c>
      <c r="I654" s="36">
        <f t="shared" si="20"/>
        <v>9.5034449988122827E-3</v>
      </c>
      <c r="J654" s="36">
        <f t="shared" si="21"/>
        <v>-6.849309453858643E-3</v>
      </c>
    </row>
    <row r="655" spans="5:10">
      <c r="E655" s="34">
        <v>45152</v>
      </c>
      <c r="F655" s="1">
        <v>1236.8399999999999</v>
      </c>
      <c r="G655" s="35">
        <v>72009.279999999999</v>
      </c>
      <c r="I655" s="36">
        <f t="shared" si="20"/>
        <v>3.7574764041843345E-3</v>
      </c>
      <c r="J655" s="36">
        <f t="shared" si="21"/>
        <v>-9.4043559406276067E-3</v>
      </c>
    </row>
    <row r="656" spans="5:10">
      <c r="E656" s="34">
        <v>45153</v>
      </c>
      <c r="F656" s="1">
        <v>1234.05</v>
      </c>
      <c r="G656" s="35">
        <v>71690.25</v>
      </c>
      <c r="I656" s="36">
        <f t="shared" si="20"/>
        <v>-2.2557485204229843E-3</v>
      </c>
      <c r="J656" s="36">
        <f t="shared" si="21"/>
        <v>-4.4304011927351894E-3</v>
      </c>
    </row>
    <row r="657" spans="5:10">
      <c r="E657" s="34">
        <v>45154</v>
      </c>
      <c r="F657" s="1">
        <v>1243.26</v>
      </c>
      <c r="G657" s="35">
        <v>71690.25</v>
      </c>
      <c r="I657" s="36">
        <f t="shared" si="20"/>
        <v>7.4632308253312907E-3</v>
      </c>
      <c r="J657" s="36">
        <f t="shared" si="21"/>
        <v>0</v>
      </c>
    </row>
    <row r="658" spans="5:10">
      <c r="E658" s="34">
        <v>45155</v>
      </c>
      <c r="F658" s="1">
        <v>1233.48</v>
      </c>
      <c r="G658" s="35">
        <v>70961.039999999994</v>
      </c>
      <c r="I658" s="36">
        <f t="shared" si="20"/>
        <v>-7.8664157135273083E-3</v>
      </c>
      <c r="J658" s="36">
        <f t="shared" si="21"/>
        <v>-1.0171676064736901E-2</v>
      </c>
    </row>
    <row r="659" spans="5:10">
      <c r="E659" s="34">
        <v>45156</v>
      </c>
      <c r="F659" s="1">
        <v>1177.99</v>
      </c>
      <c r="G659" s="35">
        <v>70003.960000000006</v>
      </c>
      <c r="I659" s="36">
        <f t="shared" si="20"/>
        <v>-4.498654214093456E-2</v>
      </c>
      <c r="J659" s="36">
        <f t="shared" si="21"/>
        <v>-1.3487400973829944E-2</v>
      </c>
    </row>
    <row r="660" spans="5:10">
      <c r="E660" s="34">
        <v>45159</v>
      </c>
      <c r="F660" s="1">
        <v>1179.76</v>
      </c>
      <c r="G660" s="35">
        <v>69593.78</v>
      </c>
      <c r="I660" s="36">
        <f t="shared" si="20"/>
        <v>1.5025594444775248E-3</v>
      </c>
      <c r="J660" s="36">
        <f t="shared" si="21"/>
        <v>-5.8593828120582225E-3</v>
      </c>
    </row>
    <row r="661" spans="5:10">
      <c r="E661" s="34">
        <v>45160</v>
      </c>
      <c r="F661" s="1">
        <v>1180.49</v>
      </c>
      <c r="G661" s="35">
        <v>68363.240000000005</v>
      </c>
      <c r="I661" s="36">
        <f t="shared" si="20"/>
        <v>6.1876991930565062E-4</v>
      </c>
      <c r="J661" s="36">
        <f t="shared" si="21"/>
        <v>-1.7681752593406985E-2</v>
      </c>
    </row>
    <row r="662" spans="5:10">
      <c r="E662" s="34">
        <v>45161</v>
      </c>
      <c r="F662" s="1">
        <v>1172.56</v>
      </c>
      <c r="G662" s="35">
        <v>68408.820000000007</v>
      </c>
      <c r="I662" s="36">
        <f t="shared" si="20"/>
        <v>-6.7175494921600798E-3</v>
      </c>
      <c r="J662" s="36">
        <f t="shared" si="21"/>
        <v>6.6673258903482413E-4</v>
      </c>
    </row>
    <row r="663" spans="5:10">
      <c r="E663" s="34">
        <v>45162</v>
      </c>
      <c r="F663" s="1">
        <v>1189.3900000000001</v>
      </c>
      <c r="G663" s="35">
        <v>69958.38</v>
      </c>
      <c r="I663" s="36">
        <f t="shared" si="20"/>
        <v>1.4353210070273681E-2</v>
      </c>
      <c r="J663" s="36">
        <f t="shared" si="21"/>
        <v>2.265146511809446E-2</v>
      </c>
    </row>
    <row r="664" spans="5:10">
      <c r="E664" s="34">
        <v>45163</v>
      </c>
      <c r="F664" s="1">
        <v>1183.3699999999999</v>
      </c>
      <c r="G664" s="35">
        <v>71188.92</v>
      </c>
      <c r="I664" s="36">
        <f t="shared" si="20"/>
        <v>-5.0614180378178997E-3</v>
      </c>
      <c r="J664" s="36">
        <f t="shared" si="21"/>
        <v>1.7589601131415389E-2</v>
      </c>
    </row>
    <row r="665" spans="5:10">
      <c r="E665" s="34">
        <v>45166</v>
      </c>
      <c r="F665" s="1">
        <v>1201.72</v>
      </c>
      <c r="G665" s="35">
        <v>71234.5</v>
      </c>
      <c r="I665" s="36">
        <f t="shared" si="20"/>
        <v>1.550656176850862E-2</v>
      </c>
      <c r="J665" s="36">
        <f t="shared" si="21"/>
        <v>6.4026817656448465E-4</v>
      </c>
    </row>
    <row r="666" spans="5:10">
      <c r="E666" s="34">
        <v>45167</v>
      </c>
      <c r="F666" s="1">
        <v>1204.43</v>
      </c>
      <c r="G666" s="35">
        <v>72054.850000000006</v>
      </c>
      <c r="I666" s="36">
        <f t="shared" si="20"/>
        <v>2.2551010218687662E-3</v>
      </c>
      <c r="J666" s="36">
        <f t="shared" si="21"/>
        <v>1.1516189486835859E-2</v>
      </c>
    </row>
    <row r="667" spans="5:10">
      <c r="E667" s="34">
        <v>45168</v>
      </c>
      <c r="F667" s="1">
        <v>1213.1600000000001</v>
      </c>
      <c r="G667" s="35">
        <v>72829.64</v>
      </c>
      <c r="I667" s="36">
        <f t="shared" si="20"/>
        <v>7.2482419069601622E-3</v>
      </c>
      <c r="J667" s="36">
        <f t="shared" si="21"/>
        <v>1.0752780694151642E-2</v>
      </c>
    </row>
    <row r="668" spans="5:10">
      <c r="E668" s="34">
        <v>45169</v>
      </c>
      <c r="F668" s="1">
        <v>1224.05</v>
      </c>
      <c r="G668" s="35">
        <v>72009.279999999999</v>
      </c>
      <c r="I668" s="36">
        <f t="shared" si="20"/>
        <v>8.9765570905733227E-3</v>
      </c>
      <c r="J668" s="36">
        <f t="shared" si="21"/>
        <v>-1.1264095222769166E-2</v>
      </c>
    </row>
    <row r="669" spans="5:10">
      <c r="E669" s="34">
        <v>45174</v>
      </c>
      <c r="F669" s="1">
        <v>1234.98</v>
      </c>
      <c r="G669" s="35">
        <v>72373.88</v>
      </c>
      <c r="I669" s="36">
        <f t="shared" si="20"/>
        <v>8.929373800089957E-3</v>
      </c>
      <c r="J669" s="36">
        <f t="shared" si="21"/>
        <v>5.0632362939888598E-3</v>
      </c>
    </row>
    <row r="670" spans="5:10">
      <c r="E670" s="34">
        <v>45175</v>
      </c>
      <c r="F670" s="1">
        <v>1245.5</v>
      </c>
      <c r="G670" s="35">
        <v>72465.03</v>
      </c>
      <c r="I670" s="36">
        <f t="shared" si="20"/>
        <v>8.5183565725761579E-3</v>
      </c>
      <c r="J670" s="36">
        <f t="shared" si="21"/>
        <v>1.2594322703163296E-3</v>
      </c>
    </row>
    <row r="671" spans="5:10">
      <c r="E671" s="34">
        <v>45176</v>
      </c>
      <c r="F671" s="1">
        <v>1243.1400000000001</v>
      </c>
      <c r="G671" s="35">
        <v>73148.67</v>
      </c>
      <c r="I671" s="36">
        <f t="shared" si="20"/>
        <v>-1.8948213568846795E-3</v>
      </c>
      <c r="J671" s="36">
        <f t="shared" si="21"/>
        <v>9.4340677151447672E-3</v>
      </c>
    </row>
    <row r="672" spans="5:10">
      <c r="E672" s="34">
        <v>45177</v>
      </c>
      <c r="F672" s="1">
        <v>1241.48</v>
      </c>
      <c r="G672" s="35">
        <v>73194.240000000005</v>
      </c>
      <c r="I672" s="36">
        <f t="shared" si="20"/>
        <v>-1.335328281609538E-3</v>
      </c>
      <c r="J672" s="36">
        <f t="shared" si="21"/>
        <v>6.2297783404674512E-4</v>
      </c>
    </row>
    <row r="673" spans="5:10">
      <c r="E673" s="34">
        <v>45180</v>
      </c>
      <c r="F673" s="1">
        <v>1223.6300000000001</v>
      </c>
      <c r="G673" s="35">
        <v>76338.95</v>
      </c>
      <c r="I673" s="36">
        <f t="shared" si="20"/>
        <v>-1.4378000451074402E-2</v>
      </c>
      <c r="J673" s="36">
        <f t="shared" si="21"/>
        <v>4.2963899891576007E-2</v>
      </c>
    </row>
    <row r="674" spans="5:10">
      <c r="E674" s="34">
        <v>45181</v>
      </c>
      <c r="F674" s="1">
        <v>1245.44</v>
      </c>
      <c r="G674" s="35">
        <v>76977.009999999995</v>
      </c>
      <c r="I674" s="36">
        <f t="shared" si="20"/>
        <v>1.7824015429500628E-2</v>
      </c>
      <c r="J674" s="36">
        <f t="shared" si="21"/>
        <v>8.3582496222438518E-3</v>
      </c>
    </row>
    <row r="675" spans="5:10">
      <c r="E675" s="34">
        <v>45182</v>
      </c>
      <c r="F675" s="1">
        <v>1238.3900000000001</v>
      </c>
      <c r="G675" s="35">
        <v>76019.92</v>
      </c>
      <c r="I675" s="36">
        <f t="shared" si="20"/>
        <v>-5.6606500513873836E-3</v>
      </c>
      <c r="J675" s="36">
        <f t="shared" si="21"/>
        <v>-1.2433452533425204E-2</v>
      </c>
    </row>
    <row r="676" spans="5:10">
      <c r="E676" s="34">
        <v>45183</v>
      </c>
      <c r="F676" s="1">
        <v>1223.81</v>
      </c>
      <c r="G676" s="35">
        <v>77660.639999999999</v>
      </c>
      <c r="I676" s="36">
        <f t="shared" si="20"/>
        <v>-1.1773350883001465E-2</v>
      </c>
      <c r="J676" s="36">
        <f t="shared" si="21"/>
        <v>2.1582764096568452E-2</v>
      </c>
    </row>
    <row r="677" spans="5:10">
      <c r="E677" s="34">
        <v>45184</v>
      </c>
      <c r="F677" s="1">
        <v>1227.3599999999999</v>
      </c>
      <c r="G677" s="35">
        <v>75746.47</v>
      </c>
      <c r="I677" s="36">
        <f t="shared" si="20"/>
        <v>2.9007770814095668E-3</v>
      </c>
      <c r="J677" s="36">
        <f t="shared" si="21"/>
        <v>-2.464787825596082E-2</v>
      </c>
    </row>
    <row r="678" spans="5:10">
      <c r="E678" s="34">
        <v>45187</v>
      </c>
      <c r="F678" s="1">
        <v>1211.81</v>
      </c>
      <c r="G678" s="35">
        <v>73650</v>
      </c>
      <c r="I678" s="36">
        <f t="shared" si="20"/>
        <v>-1.2669469430321989E-2</v>
      </c>
      <c r="J678" s="36">
        <f t="shared" si="21"/>
        <v>-2.7677461405132164E-2</v>
      </c>
    </row>
    <row r="679" spans="5:10">
      <c r="E679" s="34">
        <v>45188</v>
      </c>
      <c r="F679" s="1">
        <v>1211.5</v>
      </c>
      <c r="G679" s="35">
        <v>72009.279999999999</v>
      </c>
      <c r="I679" s="36">
        <f t="shared" si="20"/>
        <v>-2.5581568067600813E-4</v>
      </c>
      <c r="J679" s="36">
        <f t="shared" si="21"/>
        <v>-2.2277257298031206E-2</v>
      </c>
    </row>
    <row r="680" spans="5:10">
      <c r="E680" s="34">
        <v>45189</v>
      </c>
      <c r="F680" s="1">
        <v>1226.1099999999999</v>
      </c>
      <c r="G680" s="35">
        <v>73376.539999999994</v>
      </c>
      <c r="I680" s="36">
        <f t="shared" si="20"/>
        <v>1.2059430458109643E-2</v>
      </c>
      <c r="J680" s="36">
        <f t="shared" si="21"/>
        <v>1.8987274973447876E-2</v>
      </c>
    </row>
    <row r="681" spans="5:10">
      <c r="E681" s="34">
        <v>45190</v>
      </c>
      <c r="F681" s="1">
        <v>1212.74</v>
      </c>
      <c r="G681" s="35">
        <v>72920.789999999994</v>
      </c>
      <c r="I681" s="36">
        <f t="shared" si="20"/>
        <v>-1.0904404988133165E-2</v>
      </c>
      <c r="J681" s="36">
        <f t="shared" si="21"/>
        <v>-6.2111132522738588E-3</v>
      </c>
    </row>
    <row r="682" spans="5:10">
      <c r="E682" s="34">
        <v>45191</v>
      </c>
      <c r="F682" s="1">
        <v>1193.05</v>
      </c>
      <c r="G682" s="35">
        <v>71644.679999999993</v>
      </c>
      <c r="I682" s="36">
        <f t="shared" si="20"/>
        <v>-1.6235961541633093E-2</v>
      </c>
      <c r="J682" s="36">
        <f t="shared" si="21"/>
        <v>-1.7499947545823402E-2</v>
      </c>
    </row>
    <row r="683" spans="5:10">
      <c r="E683" s="34">
        <v>45194</v>
      </c>
      <c r="F683" s="1">
        <v>1153.2</v>
      </c>
      <c r="G683" s="35">
        <v>69274.75</v>
      </c>
      <c r="I683" s="36">
        <f t="shared" si="20"/>
        <v>-3.3401785340094636E-2</v>
      </c>
      <c r="J683" s="36">
        <f t="shared" si="21"/>
        <v>-3.3078939008451047E-2</v>
      </c>
    </row>
    <row r="684" spans="5:10">
      <c r="E684" s="34">
        <v>45195</v>
      </c>
      <c r="F684" s="1">
        <v>1137.96</v>
      </c>
      <c r="G684" s="35">
        <v>68636.69</v>
      </c>
      <c r="I684" s="36">
        <f t="shared" si="20"/>
        <v>-1.3215400624349671E-2</v>
      </c>
      <c r="J684" s="36">
        <f t="shared" si="21"/>
        <v>-9.2105709511762779E-3</v>
      </c>
    </row>
    <row r="685" spans="5:10">
      <c r="E685" s="34">
        <v>45196</v>
      </c>
      <c r="F685" s="1">
        <v>1153.8499999999999</v>
      </c>
      <c r="G685" s="35">
        <v>67542.880000000005</v>
      </c>
      <c r="I685" s="36">
        <f t="shared" si="20"/>
        <v>1.396358395725672E-2</v>
      </c>
      <c r="J685" s="36">
        <f t="shared" si="21"/>
        <v>-1.5936228859521062E-2</v>
      </c>
    </row>
    <row r="686" spans="5:10">
      <c r="E686" s="34">
        <v>45197</v>
      </c>
      <c r="F686" s="1">
        <v>1152.43</v>
      </c>
      <c r="G686" s="35">
        <v>65993.31</v>
      </c>
      <c r="I686" s="36">
        <f t="shared" si="20"/>
        <v>-1.2306625644580294E-3</v>
      </c>
      <c r="J686" s="36">
        <f t="shared" si="21"/>
        <v>-2.2942018462937974E-2</v>
      </c>
    </row>
    <row r="687" spans="5:10">
      <c r="E687" s="34">
        <v>45198</v>
      </c>
      <c r="F687" s="1">
        <v>1154.1500000000001</v>
      </c>
      <c r="G687" s="35">
        <v>66084.460000000006</v>
      </c>
      <c r="I687" s="36">
        <f t="shared" si="20"/>
        <v>1.4924984597763924E-3</v>
      </c>
      <c r="J687" s="36">
        <f t="shared" si="21"/>
        <v>1.3812006095770268E-3</v>
      </c>
    </row>
    <row r="688" spans="5:10">
      <c r="E688" s="34">
        <v>45201</v>
      </c>
      <c r="F688" s="1">
        <v>1155.25</v>
      </c>
      <c r="G688" s="35">
        <v>66540.22</v>
      </c>
      <c r="I688" s="36">
        <f t="shared" si="20"/>
        <v>9.5308235497970628E-4</v>
      </c>
      <c r="J688" s="36">
        <f t="shared" si="21"/>
        <v>6.8966289502856437E-3</v>
      </c>
    </row>
    <row r="689" spans="5:10">
      <c r="E689" s="34">
        <v>45202</v>
      </c>
      <c r="F689" s="1">
        <v>1118.0999999999999</v>
      </c>
      <c r="G689" s="35">
        <v>64079.14</v>
      </c>
      <c r="I689" s="36">
        <f t="shared" si="20"/>
        <v>-3.2157541657649946E-2</v>
      </c>
      <c r="J689" s="36">
        <f t="shared" si="21"/>
        <v>-3.6986352013864687E-2</v>
      </c>
    </row>
    <row r="690" spans="5:10">
      <c r="E690" s="34">
        <v>45203</v>
      </c>
      <c r="F690" s="1">
        <v>1128.67</v>
      </c>
      <c r="G690" s="35">
        <v>63805.69</v>
      </c>
      <c r="I690" s="36">
        <f t="shared" si="20"/>
        <v>9.4535372506932003E-3</v>
      </c>
      <c r="J690" s="36">
        <f t="shared" si="21"/>
        <v>-4.2673793686993644E-3</v>
      </c>
    </row>
    <row r="691" spans="5:10">
      <c r="E691" s="34">
        <v>45204</v>
      </c>
      <c r="F691" s="1">
        <v>1113.8900000000001</v>
      </c>
      <c r="G691" s="35">
        <v>63349.94</v>
      </c>
      <c r="I691" s="36">
        <f t="shared" si="20"/>
        <v>-1.3095058786004699E-2</v>
      </c>
      <c r="J691" s="36">
        <f t="shared" si="21"/>
        <v>-7.1427798994102565E-3</v>
      </c>
    </row>
    <row r="692" spans="5:10">
      <c r="E692" s="34">
        <v>45205</v>
      </c>
      <c r="F692" s="1">
        <v>1128.54</v>
      </c>
      <c r="G692" s="35">
        <v>63441.09</v>
      </c>
      <c r="I692" s="36">
        <f t="shared" si="20"/>
        <v>1.3152106581439726E-2</v>
      </c>
      <c r="J692" s="36">
        <f t="shared" si="21"/>
        <v>1.4388332490922195E-3</v>
      </c>
    </row>
    <row r="693" spans="5:10">
      <c r="E693" s="34">
        <v>45208</v>
      </c>
      <c r="F693" s="1">
        <v>1137.3599999999999</v>
      </c>
      <c r="G693" s="35">
        <v>62711.88</v>
      </c>
      <c r="I693" s="36">
        <f t="shared" si="20"/>
        <v>7.8154075176777305E-3</v>
      </c>
      <c r="J693" s="36">
        <f t="shared" si="21"/>
        <v>-1.1494285485952438E-2</v>
      </c>
    </row>
    <row r="694" spans="5:10">
      <c r="E694" s="34">
        <v>45209</v>
      </c>
      <c r="F694" s="1">
        <v>1143.69</v>
      </c>
      <c r="G694" s="35">
        <v>62711.88</v>
      </c>
      <c r="I694" s="36">
        <f t="shared" si="20"/>
        <v>5.5655201519309028E-3</v>
      </c>
      <c r="J694" s="36">
        <f t="shared" si="21"/>
        <v>0</v>
      </c>
    </row>
    <row r="695" spans="5:10">
      <c r="E695" s="34">
        <v>45210</v>
      </c>
      <c r="F695" s="1">
        <v>1150.81</v>
      </c>
      <c r="G695" s="35">
        <v>61982.67</v>
      </c>
      <c r="I695" s="36">
        <f t="shared" si="20"/>
        <v>6.2254631936975446E-3</v>
      </c>
      <c r="J695" s="36">
        <f t="shared" si="21"/>
        <v>-1.1627940351971566E-2</v>
      </c>
    </row>
    <row r="696" spans="5:10">
      <c r="E696" s="34">
        <v>45211</v>
      </c>
      <c r="F696" s="1">
        <v>1151.6099999999999</v>
      </c>
      <c r="G696" s="35">
        <v>62803.03</v>
      </c>
      <c r="I696" s="36">
        <f t="shared" si="20"/>
        <v>6.951625376907522E-4</v>
      </c>
      <c r="J696" s="36">
        <f t="shared" si="21"/>
        <v>1.3235312386510545E-2</v>
      </c>
    </row>
    <row r="697" spans="5:10">
      <c r="E697" s="34">
        <v>45212</v>
      </c>
      <c r="F697" s="1">
        <v>1154.73</v>
      </c>
      <c r="G697" s="35">
        <v>63896.84</v>
      </c>
      <c r="I697" s="36">
        <f t="shared" si="20"/>
        <v>2.7092505275223555E-3</v>
      </c>
      <c r="J697" s="36">
        <f t="shared" si="21"/>
        <v>1.741651636871655E-2</v>
      </c>
    </row>
    <row r="698" spans="5:10">
      <c r="E698" s="34">
        <v>45215</v>
      </c>
      <c r="F698" s="1">
        <v>1141.42</v>
      </c>
      <c r="G698" s="35">
        <v>64626.05</v>
      </c>
      <c r="I698" s="36">
        <f t="shared" si="20"/>
        <v>-1.1526504031245333E-2</v>
      </c>
      <c r="J698" s="36">
        <f t="shared" si="21"/>
        <v>1.1412301453405327E-2</v>
      </c>
    </row>
    <row r="699" spans="5:10">
      <c r="E699" s="34">
        <v>45216</v>
      </c>
      <c r="F699" s="1">
        <v>1121.6500000000001</v>
      </c>
      <c r="G699" s="35">
        <v>63714.54</v>
      </c>
      <c r="I699" s="36">
        <f t="shared" si="20"/>
        <v>-1.7320530567188186E-2</v>
      </c>
      <c r="J699" s="36">
        <f t="shared" si="21"/>
        <v>-1.410437431964362E-2</v>
      </c>
    </row>
    <row r="700" spans="5:10">
      <c r="E700" s="34">
        <v>45217</v>
      </c>
      <c r="F700" s="1">
        <v>1103.4000000000001</v>
      </c>
      <c r="G700" s="35">
        <v>62256.12</v>
      </c>
      <c r="I700" s="36">
        <f t="shared" si="20"/>
        <v>-1.6270672669727593E-2</v>
      </c>
      <c r="J700" s="36">
        <f t="shared" si="21"/>
        <v>-2.2889908645656099E-2</v>
      </c>
    </row>
    <row r="701" spans="5:10">
      <c r="E701" s="34">
        <v>45218</v>
      </c>
      <c r="F701" s="1">
        <v>1087.8499999999999</v>
      </c>
      <c r="G701" s="35">
        <v>62256.12</v>
      </c>
      <c r="I701" s="36">
        <f t="shared" si="20"/>
        <v>-1.4092804060177766E-2</v>
      </c>
      <c r="J701" s="36">
        <f t="shared" si="21"/>
        <v>0</v>
      </c>
    </row>
    <row r="702" spans="5:10">
      <c r="E702" s="34">
        <v>45219</v>
      </c>
      <c r="F702" s="1">
        <v>1108.03</v>
      </c>
      <c r="G702" s="35">
        <v>63805.69</v>
      </c>
      <c r="I702" s="36">
        <f t="shared" si="20"/>
        <v>1.8550351610975735E-2</v>
      </c>
      <c r="J702" s="36">
        <f t="shared" si="21"/>
        <v>2.4890243722223593E-2</v>
      </c>
    </row>
    <row r="703" spans="5:10">
      <c r="E703" s="34">
        <v>45222</v>
      </c>
      <c r="F703" s="1">
        <v>1093.53</v>
      </c>
      <c r="G703" s="35">
        <v>61800.37</v>
      </c>
      <c r="I703" s="36">
        <f t="shared" si="20"/>
        <v>-1.3086288277393221E-2</v>
      </c>
      <c r="J703" s="36">
        <f t="shared" si="21"/>
        <v>-3.1428545009073661E-2</v>
      </c>
    </row>
    <row r="704" spans="5:10">
      <c r="E704" s="34">
        <v>45223</v>
      </c>
      <c r="F704" s="1">
        <v>1105.9000000000001</v>
      </c>
      <c r="G704" s="35">
        <v>62985.33</v>
      </c>
      <c r="I704" s="36">
        <f t="shared" si="20"/>
        <v>1.131198961162494E-2</v>
      </c>
      <c r="J704" s="36">
        <f t="shared" si="21"/>
        <v>1.9173995236598129E-2</v>
      </c>
    </row>
    <row r="705" spans="5:10">
      <c r="E705" s="34">
        <v>45224</v>
      </c>
      <c r="F705" s="1">
        <v>1101.6600000000001</v>
      </c>
      <c r="G705" s="35">
        <v>63076.480000000003</v>
      </c>
      <c r="I705" s="36">
        <f t="shared" si="20"/>
        <v>-3.8339813726376848E-3</v>
      </c>
      <c r="J705" s="36">
        <f t="shared" si="21"/>
        <v>1.4471623789222843E-3</v>
      </c>
    </row>
    <row r="706" spans="5:10">
      <c r="E706" s="34">
        <v>45225</v>
      </c>
      <c r="F706" s="1">
        <v>1055.45</v>
      </c>
      <c r="G706" s="35">
        <v>60341.95</v>
      </c>
      <c r="I706" s="36">
        <f t="shared" si="20"/>
        <v>-4.1945790897373048E-2</v>
      </c>
      <c r="J706" s="36">
        <f t="shared" si="21"/>
        <v>-4.3352609403695452E-2</v>
      </c>
    </row>
    <row r="707" spans="5:10">
      <c r="E707" s="34">
        <v>45226</v>
      </c>
      <c r="F707" s="1">
        <v>1060.6199999999999</v>
      </c>
      <c r="G707" s="35">
        <v>57516.27</v>
      </c>
      <c r="I707" s="36">
        <f t="shared" si="20"/>
        <v>4.8983845752994526E-3</v>
      </c>
      <c r="J707" s="36">
        <f t="shared" si="21"/>
        <v>-4.6827787302200163E-2</v>
      </c>
    </row>
    <row r="708" spans="5:10">
      <c r="E708" s="34">
        <v>45229</v>
      </c>
      <c r="F708" s="1">
        <v>1042.4000000000001</v>
      </c>
      <c r="G708" s="35">
        <v>55419.8</v>
      </c>
      <c r="I708" s="36">
        <f t="shared" si="20"/>
        <v>-1.717863136655895E-2</v>
      </c>
      <c r="J708" s="36">
        <f t="shared" si="21"/>
        <v>-3.6450034051234481E-2</v>
      </c>
    </row>
    <row r="709" spans="5:10">
      <c r="E709" s="34">
        <v>45230</v>
      </c>
      <c r="F709" s="1">
        <v>1028.19</v>
      </c>
      <c r="G709" s="35">
        <v>51682.61</v>
      </c>
      <c r="I709" s="36">
        <f t="shared" si="20"/>
        <v>-1.3632003069838916E-2</v>
      </c>
      <c r="J709" s="36">
        <f t="shared" si="21"/>
        <v>-6.7434202216536399E-2</v>
      </c>
    </row>
    <row r="710" spans="5:10">
      <c r="E710" s="34">
        <v>45231</v>
      </c>
      <c r="F710" s="1">
        <v>1039.6600000000001</v>
      </c>
      <c r="G710" s="35">
        <v>52320.67</v>
      </c>
      <c r="I710" s="36">
        <f t="shared" si="20"/>
        <v>1.115552572968026E-2</v>
      </c>
      <c r="J710" s="36">
        <f t="shared" si="21"/>
        <v>1.2345738731074141E-2</v>
      </c>
    </row>
    <row r="711" spans="5:10">
      <c r="E711" s="34">
        <v>45232</v>
      </c>
      <c r="F711" s="1">
        <v>1075.47</v>
      </c>
      <c r="G711" s="35">
        <v>55966.71</v>
      </c>
      <c r="I711" s="36">
        <f t="shared" ref="I711:I774" si="22">F711/F710-1</f>
        <v>3.4443952830732982E-2</v>
      </c>
      <c r="J711" s="36">
        <f t="shared" ref="J711:J774" si="23">G711/G710-1</f>
        <v>6.9686416477464874E-2</v>
      </c>
    </row>
    <row r="712" spans="5:10">
      <c r="E712" s="34">
        <v>45233</v>
      </c>
      <c r="F712" s="1">
        <v>1076.78</v>
      </c>
      <c r="G712" s="35">
        <v>58245.48</v>
      </c>
      <c r="I712" s="36">
        <f t="shared" si="22"/>
        <v>1.2180720987102767E-3</v>
      </c>
      <c r="J712" s="36">
        <f t="shared" si="23"/>
        <v>4.0716525949086702E-2</v>
      </c>
    </row>
    <row r="713" spans="5:10">
      <c r="E713" s="34">
        <v>45236</v>
      </c>
      <c r="F713" s="1">
        <v>1089.6600000000001</v>
      </c>
      <c r="G713" s="35">
        <v>60341.95</v>
      </c>
      <c r="I713" s="36">
        <f t="shared" si="22"/>
        <v>1.1961589182562848E-2</v>
      </c>
      <c r="J713" s="36">
        <f t="shared" si="23"/>
        <v>3.5993694274645716E-2</v>
      </c>
    </row>
    <row r="714" spans="5:10">
      <c r="E714" s="34">
        <v>45237</v>
      </c>
      <c r="F714" s="1">
        <v>1080.29</v>
      </c>
      <c r="G714" s="35">
        <v>59339.29</v>
      </c>
      <c r="I714" s="36">
        <f t="shared" si="22"/>
        <v>-8.5990125360204672E-3</v>
      </c>
      <c r="J714" s="36">
        <f t="shared" si="23"/>
        <v>-1.6616300931607264E-2</v>
      </c>
    </row>
    <row r="715" spans="5:10">
      <c r="E715" s="34">
        <v>45238</v>
      </c>
      <c r="F715" s="1">
        <v>1113.43</v>
      </c>
      <c r="G715" s="35">
        <v>59339.29</v>
      </c>
      <c r="I715" s="36">
        <f t="shared" si="22"/>
        <v>3.067694785659425E-2</v>
      </c>
      <c r="J715" s="36">
        <f t="shared" si="23"/>
        <v>0</v>
      </c>
    </row>
    <row r="716" spans="5:10">
      <c r="E716" s="34">
        <v>45239</v>
      </c>
      <c r="F716" s="1">
        <v>1113.8900000000001</v>
      </c>
      <c r="G716" s="35">
        <v>58245.48</v>
      </c>
      <c r="I716" s="36">
        <f t="shared" si="22"/>
        <v>4.1313778145024571E-4</v>
      </c>
      <c r="J716" s="36">
        <f t="shared" si="23"/>
        <v>-1.8433149436064999E-2</v>
      </c>
    </row>
    <row r="717" spans="5:10">
      <c r="E717" s="34">
        <v>45240</v>
      </c>
      <c r="F717" s="1">
        <v>1101.68</v>
      </c>
      <c r="G717" s="35">
        <v>56878.22</v>
      </c>
      <c r="I717" s="36">
        <f t="shared" si="22"/>
        <v>-1.0961585075725644E-2</v>
      </c>
      <c r="J717" s="36">
        <f t="shared" si="23"/>
        <v>-2.3474096187378057E-2</v>
      </c>
    </row>
    <row r="718" spans="5:10">
      <c r="E718" s="34">
        <v>45243</v>
      </c>
      <c r="F718" s="1">
        <v>1100.07</v>
      </c>
      <c r="G718" s="35">
        <v>55875.55</v>
      </c>
      <c r="I718" s="36">
        <f t="shared" si="22"/>
        <v>-1.46140440055198E-3</v>
      </c>
      <c r="J718" s="36">
        <f t="shared" si="23"/>
        <v>-1.7628364600720592E-2</v>
      </c>
    </row>
    <row r="719" spans="5:10">
      <c r="E719" s="34">
        <v>45244</v>
      </c>
      <c r="F719" s="1">
        <v>1109.73</v>
      </c>
      <c r="G719" s="35">
        <v>56513.61</v>
      </c>
      <c r="I719" s="36">
        <f t="shared" si="22"/>
        <v>8.7812593744034384E-3</v>
      </c>
      <c r="J719" s="36">
        <f t="shared" si="23"/>
        <v>1.141930593971785E-2</v>
      </c>
    </row>
    <row r="720" spans="5:10">
      <c r="E720" s="34">
        <v>45245</v>
      </c>
      <c r="F720" s="1">
        <v>1122.5</v>
      </c>
      <c r="G720" s="35">
        <v>57607.42</v>
      </c>
      <c r="I720" s="36">
        <f t="shared" si="22"/>
        <v>1.1507303578347949E-2</v>
      </c>
      <c r="J720" s="36">
        <f t="shared" si="23"/>
        <v>1.9354806744782405E-2</v>
      </c>
    </row>
    <row r="721" spans="5:10">
      <c r="E721" s="34">
        <v>45246</v>
      </c>
      <c r="F721" s="1">
        <v>1125.53</v>
      </c>
      <c r="G721" s="35">
        <v>58518.93</v>
      </c>
      <c r="I721" s="36">
        <f t="shared" si="22"/>
        <v>2.699331848552422E-3</v>
      </c>
      <c r="J721" s="36">
        <f t="shared" si="23"/>
        <v>1.5822788106115482E-2</v>
      </c>
    </row>
    <row r="722" spans="5:10">
      <c r="E722" s="34">
        <v>45247</v>
      </c>
      <c r="F722" s="1">
        <v>1101.19</v>
      </c>
      <c r="G722" s="35">
        <v>58063.18</v>
      </c>
      <c r="I722" s="36">
        <f t="shared" si="22"/>
        <v>-2.1625367604595103E-2</v>
      </c>
      <c r="J722" s="36">
        <f t="shared" si="23"/>
        <v>-7.788078148387223E-3</v>
      </c>
    </row>
    <row r="723" spans="5:10">
      <c r="E723" s="34">
        <v>45250</v>
      </c>
      <c r="F723" s="1">
        <v>1103.6600000000001</v>
      </c>
      <c r="G723" s="35">
        <v>57425.120000000003</v>
      </c>
      <c r="I723" s="36">
        <f t="shared" si="22"/>
        <v>2.2430279969851696E-3</v>
      </c>
      <c r="J723" s="36">
        <f t="shared" si="23"/>
        <v>-1.0989063981683311E-2</v>
      </c>
    </row>
    <row r="724" spans="5:10">
      <c r="E724" s="34">
        <v>45251</v>
      </c>
      <c r="F724" s="1">
        <v>1110.46</v>
      </c>
      <c r="G724" s="35">
        <v>57516.27</v>
      </c>
      <c r="I724" s="36">
        <f t="shared" si="22"/>
        <v>6.1613177971475697E-3</v>
      </c>
      <c r="J724" s="36">
        <f t="shared" si="23"/>
        <v>1.587284449731996E-3</v>
      </c>
    </row>
    <row r="725" spans="5:10">
      <c r="E725" s="34">
        <v>45252</v>
      </c>
      <c r="F725" s="1">
        <v>1113.82</v>
      </c>
      <c r="G725" s="35">
        <v>57880.88</v>
      </c>
      <c r="I725" s="36">
        <f t="shared" si="22"/>
        <v>3.0257731030383095E-3</v>
      </c>
      <c r="J725" s="36">
        <f t="shared" si="23"/>
        <v>6.3392497462022579E-3</v>
      </c>
    </row>
    <row r="726" spans="5:10">
      <c r="E726" s="34">
        <v>45253</v>
      </c>
      <c r="F726" s="1">
        <v>1088.49</v>
      </c>
      <c r="G726" s="35">
        <v>55055.199999999997</v>
      </c>
      <c r="I726" s="36">
        <f t="shared" si="22"/>
        <v>-2.2741556086261605E-2</v>
      </c>
      <c r="J726" s="36">
        <f t="shared" si="23"/>
        <v>-4.8818884578119781E-2</v>
      </c>
    </row>
    <row r="727" spans="5:10">
      <c r="E727" s="34">
        <v>45254</v>
      </c>
      <c r="F727" s="1">
        <v>1095.6099999999999</v>
      </c>
      <c r="G727" s="35">
        <v>57425.120000000003</v>
      </c>
      <c r="I727" s="36">
        <f t="shared" si="22"/>
        <v>6.5411717149443938E-3</v>
      </c>
      <c r="J727" s="36">
        <f t="shared" si="23"/>
        <v>4.3046251761868159E-2</v>
      </c>
    </row>
    <row r="728" spans="5:10">
      <c r="E728" s="34">
        <v>45257</v>
      </c>
      <c r="F728" s="1">
        <v>1088.06</v>
      </c>
      <c r="G728" s="35">
        <v>58610.080000000002</v>
      </c>
      <c r="I728" s="36">
        <f t="shared" si="22"/>
        <v>-6.8911382700047596E-3</v>
      </c>
      <c r="J728" s="36">
        <f t="shared" si="23"/>
        <v>2.0634871986336289E-2</v>
      </c>
    </row>
    <row r="729" spans="5:10">
      <c r="E729" s="34">
        <v>45258</v>
      </c>
      <c r="F729" s="1">
        <v>1095.43</v>
      </c>
      <c r="G729" s="35">
        <v>59156.99</v>
      </c>
      <c r="I729" s="36">
        <f t="shared" si="22"/>
        <v>6.7735235189236853E-3</v>
      </c>
      <c r="J729" s="36">
        <f t="shared" si="23"/>
        <v>9.3313300374269215E-3</v>
      </c>
    </row>
    <row r="730" spans="5:10">
      <c r="E730" s="34">
        <v>45259</v>
      </c>
      <c r="F730" s="1">
        <v>1102.8</v>
      </c>
      <c r="G730" s="35">
        <v>60341.95</v>
      </c>
      <c r="I730" s="36">
        <f t="shared" si="22"/>
        <v>6.7279515806577539E-3</v>
      </c>
      <c r="J730" s="36">
        <f t="shared" si="23"/>
        <v>2.0030768975906277E-2</v>
      </c>
    </row>
    <row r="731" spans="5:10">
      <c r="E731" s="34">
        <v>45260</v>
      </c>
      <c r="F731" s="1">
        <v>1094.1300000000001</v>
      </c>
      <c r="G731" s="35">
        <v>59248.14</v>
      </c>
      <c r="I731" s="36">
        <f t="shared" si="22"/>
        <v>-7.8618063112076975E-3</v>
      </c>
      <c r="J731" s="36">
        <f t="shared" si="23"/>
        <v>-1.8126858677918078E-2</v>
      </c>
    </row>
    <row r="732" spans="5:10">
      <c r="E732" s="34">
        <v>45261</v>
      </c>
      <c r="F732" s="1">
        <v>1102.1600000000001</v>
      </c>
      <c r="G732" s="35">
        <v>59248.14</v>
      </c>
      <c r="I732" s="36">
        <f t="shared" si="22"/>
        <v>7.3391644502938114E-3</v>
      </c>
      <c r="J732" s="36">
        <f t="shared" si="23"/>
        <v>0</v>
      </c>
    </row>
    <row r="733" spans="5:10">
      <c r="E733" s="34">
        <v>45264</v>
      </c>
      <c r="F733" s="1">
        <v>1120.49</v>
      </c>
      <c r="G733" s="35">
        <v>58974.69</v>
      </c>
      <c r="I733" s="36">
        <f t="shared" si="22"/>
        <v>1.6630979168178683E-2</v>
      </c>
      <c r="J733" s="36">
        <f t="shared" si="23"/>
        <v>-4.6153347598759664E-3</v>
      </c>
    </row>
    <row r="734" spans="5:10">
      <c r="E734" s="34">
        <v>45265</v>
      </c>
      <c r="F734" s="1">
        <v>1115.97</v>
      </c>
      <c r="G734" s="35">
        <v>58336.63</v>
      </c>
      <c r="I734" s="36">
        <f t="shared" si="22"/>
        <v>-4.0339494328374137E-3</v>
      </c>
      <c r="J734" s="36">
        <f t="shared" si="23"/>
        <v>-1.081921753213122E-2</v>
      </c>
    </row>
    <row r="735" spans="5:10">
      <c r="E735" s="34">
        <v>45266</v>
      </c>
      <c r="F735" s="1">
        <v>1126.43</v>
      </c>
      <c r="G735" s="35">
        <v>59430.44</v>
      </c>
      <c r="I735" s="36">
        <f t="shared" si="22"/>
        <v>9.3730118193142697E-3</v>
      </c>
      <c r="J735" s="36">
        <f t="shared" si="23"/>
        <v>1.8749968930327432E-2</v>
      </c>
    </row>
    <row r="736" spans="5:10">
      <c r="E736" s="34">
        <v>45267</v>
      </c>
      <c r="F736" s="1">
        <v>1121.49</v>
      </c>
      <c r="G736" s="35">
        <v>59795.05</v>
      </c>
      <c r="I736" s="36">
        <f t="shared" si="22"/>
        <v>-4.3855366068020762E-3</v>
      </c>
      <c r="J736" s="36">
        <f t="shared" si="23"/>
        <v>6.13507152227033E-3</v>
      </c>
    </row>
    <row r="737" spans="5:10">
      <c r="E737" s="34">
        <v>45268</v>
      </c>
      <c r="F737" s="1">
        <v>1124.44</v>
      </c>
      <c r="G737" s="35">
        <v>59795.05</v>
      </c>
      <c r="I737" s="36">
        <f t="shared" si="22"/>
        <v>2.63042916120515E-3</v>
      </c>
      <c r="J737" s="36">
        <f t="shared" si="23"/>
        <v>0</v>
      </c>
    </row>
    <row r="738" spans="5:10">
      <c r="E738" s="34">
        <v>45271</v>
      </c>
      <c r="F738" s="1">
        <v>1125.5</v>
      </c>
      <c r="G738" s="35">
        <v>59703.9</v>
      </c>
      <c r="I738" s="36">
        <f t="shared" si="22"/>
        <v>9.4269147308878587E-4</v>
      </c>
      <c r="J738" s="36">
        <f t="shared" si="23"/>
        <v>-1.5243736730716773E-3</v>
      </c>
    </row>
    <row r="739" spans="5:10">
      <c r="E739" s="34">
        <v>45272</v>
      </c>
      <c r="F739" s="1">
        <v>1127.6300000000001</v>
      </c>
      <c r="G739" s="35">
        <v>59248.14</v>
      </c>
      <c r="I739" s="36">
        <f t="shared" si="22"/>
        <v>1.8924922256775556E-3</v>
      </c>
      <c r="J739" s="36">
        <f t="shared" si="23"/>
        <v>-7.6336721721697032E-3</v>
      </c>
    </row>
    <row r="740" spans="5:10">
      <c r="E740" s="34">
        <v>45273</v>
      </c>
      <c r="F740" s="1">
        <v>1114.2</v>
      </c>
      <c r="G740" s="35">
        <v>58336.63</v>
      </c>
      <c r="I740" s="36">
        <f t="shared" si="22"/>
        <v>-1.1909934996408467E-2</v>
      </c>
      <c r="J740" s="36">
        <f t="shared" si="23"/>
        <v>-1.5384617981256454E-2</v>
      </c>
    </row>
    <row r="741" spans="5:10">
      <c r="E741" s="34">
        <v>45274</v>
      </c>
      <c r="F741" s="1">
        <v>1110.1300000000001</v>
      </c>
      <c r="G741" s="35">
        <v>57425.120000000003</v>
      </c>
      <c r="I741" s="36">
        <f t="shared" si="22"/>
        <v>-3.6528450906478938E-3</v>
      </c>
      <c r="J741" s="36">
        <f t="shared" si="23"/>
        <v>-1.562500267841993E-2</v>
      </c>
    </row>
    <row r="742" spans="5:10">
      <c r="E742" s="34">
        <v>45275</v>
      </c>
      <c r="F742" s="1">
        <v>1102.3</v>
      </c>
      <c r="G742" s="35">
        <v>57242.82</v>
      </c>
      <c r="I742" s="36">
        <f t="shared" si="22"/>
        <v>-7.0532280003243741E-3</v>
      </c>
      <c r="J742" s="36">
        <f t="shared" si="23"/>
        <v>-3.1745688994642141E-3</v>
      </c>
    </row>
    <row r="743" spans="5:10">
      <c r="E743" s="34">
        <v>45278</v>
      </c>
      <c r="F743" s="1">
        <v>1091.8800000000001</v>
      </c>
      <c r="G743" s="35">
        <v>56057.86</v>
      </c>
      <c r="I743" s="36">
        <f t="shared" si="22"/>
        <v>-9.452961988569264E-3</v>
      </c>
      <c r="J743" s="36">
        <f t="shared" si="23"/>
        <v>-2.0700587427383899E-2</v>
      </c>
    </row>
    <row r="744" spans="5:10">
      <c r="E744" s="34">
        <v>45279</v>
      </c>
      <c r="F744" s="1">
        <v>1096.3</v>
      </c>
      <c r="G744" s="35">
        <v>56695.91</v>
      </c>
      <c r="I744" s="36">
        <f t="shared" si="22"/>
        <v>4.0480638898046095E-3</v>
      </c>
      <c r="J744" s="36">
        <f t="shared" si="23"/>
        <v>1.1381989965367989E-2</v>
      </c>
    </row>
    <row r="745" spans="5:10">
      <c r="E745" s="34">
        <v>45280</v>
      </c>
      <c r="F745" s="1">
        <v>1100.76</v>
      </c>
      <c r="G745" s="35">
        <v>56513.61</v>
      </c>
      <c r="I745" s="36">
        <f t="shared" si="22"/>
        <v>4.0682294992246959E-3</v>
      </c>
      <c r="J745" s="36">
        <f t="shared" si="23"/>
        <v>-3.2153994882523351E-3</v>
      </c>
    </row>
    <row r="746" spans="5:10">
      <c r="E746" s="34">
        <v>45281</v>
      </c>
      <c r="F746" s="1">
        <v>1102.43</v>
      </c>
      <c r="G746" s="35">
        <v>56513.61</v>
      </c>
      <c r="I746" s="36">
        <f t="shared" si="22"/>
        <v>1.5171336167738581E-3</v>
      </c>
      <c r="J746" s="36">
        <f t="shared" si="23"/>
        <v>0</v>
      </c>
    </row>
    <row r="747" spans="5:10">
      <c r="E747" s="34">
        <v>45282</v>
      </c>
      <c r="F747" s="1">
        <v>1103.06</v>
      </c>
      <c r="G747" s="35">
        <v>56057.86</v>
      </c>
      <c r="I747" s="36">
        <f t="shared" si="22"/>
        <v>5.7146485491132992E-4</v>
      </c>
      <c r="J747" s="36">
        <f t="shared" si="23"/>
        <v>-8.0644290817734054E-3</v>
      </c>
    </row>
    <row r="748" spans="5:10">
      <c r="E748" s="34">
        <v>45285</v>
      </c>
      <c r="F748" s="1">
        <v>1117.6600000000001</v>
      </c>
      <c r="G748" s="35">
        <v>56513.61</v>
      </c>
      <c r="I748" s="36">
        <f t="shared" si="22"/>
        <v>1.3235907384911094E-2</v>
      </c>
      <c r="J748" s="36">
        <f t="shared" si="23"/>
        <v>8.1299928324056747E-3</v>
      </c>
    </row>
    <row r="749" spans="5:10">
      <c r="E749" s="34">
        <v>45286</v>
      </c>
      <c r="F749" s="1">
        <v>1122.25</v>
      </c>
      <c r="G749" s="35">
        <v>57151.67</v>
      </c>
      <c r="I749" s="36">
        <f t="shared" si="22"/>
        <v>4.1067945529051908E-3</v>
      </c>
      <c r="J749" s="36">
        <f t="shared" si="23"/>
        <v>1.1290377663008888E-2</v>
      </c>
    </row>
    <row r="750" spans="5:10">
      <c r="E750" s="34">
        <v>45287</v>
      </c>
      <c r="F750" s="1">
        <v>1121.99</v>
      </c>
      <c r="G750" s="35">
        <v>56604.76</v>
      </c>
      <c r="I750" s="36">
        <f t="shared" si="22"/>
        <v>-2.3167743372687344E-4</v>
      </c>
      <c r="J750" s="36">
        <f t="shared" si="23"/>
        <v>-9.5694491517045455E-3</v>
      </c>
    </row>
    <row r="751" spans="5:10">
      <c r="E751" s="34">
        <v>45288</v>
      </c>
      <c r="F751" s="1">
        <v>1128.93</v>
      </c>
      <c r="G751" s="35">
        <v>56695.91</v>
      </c>
      <c r="I751" s="36">
        <f t="shared" si="22"/>
        <v>6.1854383728909834E-3</v>
      </c>
      <c r="J751" s="36">
        <f t="shared" si="23"/>
        <v>1.6102886047040244E-3</v>
      </c>
    </row>
    <row r="752" spans="5:10">
      <c r="E752" s="34">
        <v>45289</v>
      </c>
      <c r="F752" s="1">
        <v>1129.93</v>
      </c>
      <c r="G752" s="35">
        <v>57425.120000000003</v>
      </c>
      <c r="I752" s="36">
        <f t="shared" si="22"/>
        <v>8.8579451338888227E-4</v>
      </c>
      <c r="J752" s="36">
        <f t="shared" si="23"/>
        <v>1.2861774332575404E-2</v>
      </c>
    </row>
    <row r="753" spans="5:10">
      <c r="E753" s="34">
        <v>45293</v>
      </c>
      <c r="F753" s="1">
        <v>1131.72</v>
      </c>
      <c r="G753" s="35">
        <v>57880.88</v>
      </c>
      <c r="I753" s="36">
        <f t="shared" si="22"/>
        <v>1.5841689308186968E-3</v>
      </c>
      <c r="J753" s="36">
        <f t="shared" si="23"/>
        <v>7.9365963884794333E-3</v>
      </c>
    </row>
    <row r="754" spans="5:10">
      <c r="E754" s="34">
        <v>45294</v>
      </c>
      <c r="F754" s="1">
        <v>1144.17</v>
      </c>
      <c r="G754" s="35">
        <v>57880.88</v>
      </c>
      <c r="I754" s="36">
        <f t="shared" si="22"/>
        <v>1.100095429965009E-2</v>
      </c>
      <c r="J754" s="36">
        <f t="shared" si="23"/>
        <v>0</v>
      </c>
    </row>
    <row r="755" spans="5:10">
      <c r="E755" s="34">
        <v>45295</v>
      </c>
      <c r="F755" s="1">
        <v>1150.72</v>
      </c>
      <c r="G755" s="35">
        <v>58252.99</v>
      </c>
      <c r="I755" s="36">
        <f t="shared" si="22"/>
        <v>5.7246737809939496E-3</v>
      </c>
      <c r="J755" s="36">
        <f t="shared" si="23"/>
        <v>6.4288932718368219E-3</v>
      </c>
    </row>
    <row r="756" spans="5:10">
      <c r="E756" s="34">
        <v>45296</v>
      </c>
      <c r="F756" s="1">
        <v>1154.68</v>
      </c>
      <c r="G756" s="35">
        <v>57786.22</v>
      </c>
      <c r="I756" s="36">
        <f t="shared" si="22"/>
        <v>3.4413236929922153E-3</v>
      </c>
      <c r="J756" s="36">
        <f t="shared" si="23"/>
        <v>-8.0128075829239975E-3</v>
      </c>
    </row>
    <row r="757" spans="5:10">
      <c r="E757" s="34">
        <v>45299</v>
      </c>
      <c r="F757" s="1">
        <v>1160.19</v>
      </c>
      <c r="G757" s="35">
        <v>57972.92</v>
      </c>
      <c r="I757" s="36">
        <f t="shared" si="22"/>
        <v>4.7718848512141587E-3</v>
      </c>
      <c r="J757" s="36">
        <f t="shared" si="23"/>
        <v>3.2308740734381391E-3</v>
      </c>
    </row>
    <row r="758" spans="5:10">
      <c r="E758" s="34">
        <v>45300</v>
      </c>
      <c r="F758" s="1">
        <v>1158.5899999999999</v>
      </c>
      <c r="G758" s="35">
        <v>57506.15</v>
      </c>
      <c r="I758" s="36">
        <f t="shared" si="22"/>
        <v>-1.379084460303992E-3</v>
      </c>
      <c r="J758" s="36">
        <f t="shared" si="23"/>
        <v>-8.0515178466082915E-3</v>
      </c>
    </row>
    <row r="759" spans="5:10">
      <c r="E759" s="34">
        <v>45301</v>
      </c>
      <c r="F759" s="1">
        <v>1161.54</v>
      </c>
      <c r="G759" s="35">
        <v>56759.32</v>
      </c>
      <c r="I759" s="36">
        <f t="shared" si="22"/>
        <v>2.5461983963266377E-3</v>
      </c>
      <c r="J759" s="36">
        <f t="shared" si="23"/>
        <v>-1.2986958786147196E-2</v>
      </c>
    </row>
    <row r="760" spans="5:10">
      <c r="E760" s="34">
        <v>45302</v>
      </c>
      <c r="F760" s="1">
        <v>1162.22</v>
      </c>
      <c r="G760" s="35">
        <v>57319.44</v>
      </c>
      <c r="I760" s="36">
        <f t="shared" si="22"/>
        <v>5.8542968817265617E-4</v>
      </c>
      <c r="J760" s="36">
        <f t="shared" si="23"/>
        <v>9.8683352795629897E-3</v>
      </c>
    </row>
    <row r="761" spans="5:10">
      <c r="E761" s="34">
        <v>45303</v>
      </c>
      <c r="F761" s="1">
        <v>1154.7</v>
      </c>
      <c r="G761" s="35">
        <v>57039.38</v>
      </c>
      <c r="I761" s="36">
        <f t="shared" si="22"/>
        <v>-6.4703756603741169E-3</v>
      </c>
      <c r="J761" s="36">
        <f t="shared" si="23"/>
        <v>-4.885951432882174E-3</v>
      </c>
    </row>
    <row r="762" spans="5:10">
      <c r="E762" s="34">
        <v>45306</v>
      </c>
      <c r="F762" s="1">
        <v>1154.1199999999999</v>
      </c>
      <c r="G762" s="35">
        <v>56385.9</v>
      </c>
      <c r="I762" s="36">
        <f t="shared" si="22"/>
        <v>-5.0229496839016008E-4</v>
      </c>
      <c r="J762" s="36">
        <f t="shared" si="23"/>
        <v>-1.1456646267894111E-2</v>
      </c>
    </row>
    <row r="763" spans="5:10">
      <c r="E763" s="34">
        <v>45307</v>
      </c>
      <c r="F763" s="1">
        <v>1163.1199999999999</v>
      </c>
      <c r="G763" s="35">
        <v>56385.9</v>
      </c>
      <c r="I763" s="36">
        <f t="shared" si="22"/>
        <v>7.7981492392471541E-3</v>
      </c>
      <c r="J763" s="36">
        <f t="shared" si="23"/>
        <v>0</v>
      </c>
    </row>
    <row r="764" spans="5:10">
      <c r="E764" s="34">
        <v>45308</v>
      </c>
      <c r="F764" s="1">
        <v>1162.53</v>
      </c>
      <c r="G764" s="35">
        <v>56385.9</v>
      </c>
      <c r="I764" s="36">
        <f t="shared" si="22"/>
        <v>-5.0725634500303762E-4</v>
      </c>
      <c r="J764" s="36">
        <f t="shared" si="23"/>
        <v>0</v>
      </c>
    </row>
    <row r="765" spans="5:10">
      <c r="E765" s="34">
        <v>45309</v>
      </c>
      <c r="F765" s="1">
        <v>1169.06</v>
      </c>
      <c r="G765" s="35">
        <v>56479.26</v>
      </c>
      <c r="I765" s="36">
        <f t="shared" si="22"/>
        <v>5.6170593447051331E-3</v>
      </c>
      <c r="J765" s="36">
        <f t="shared" si="23"/>
        <v>1.6557330822066785E-3</v>
      </c>
    </row>
    <row r="766" spans="5:10">
      <c r="E766" s="34">
        <v>45310</v>
      </c>
      <c r="F766" s="1">
        <v>1181.5</v>
      </c>
      <c r="G766" s="35">
        <v>57319.44</v>
      </c>
      <c r="I766" s="36">
        <f t="shared" si="22"/>
        <v>1.064102783432852E-2</v>
      </c>
      <c r="J766" s="36">
        <f t="shared" si="23"/>
        <v>1.4875903119127232E-2</v>
      </c>
    </row>
    <row r="767" spans="5:10">
      <c r="E767" s="34">
        <v>45313</v>
      </c>
      <c r="F767" s="1">
        <v>1182.8599999999999</v>
      </c>
      <c r="G767" s="35">
        <v>56852.67</v>
      </c>
      <c r="I767" s="36">
        <f t="shared" si="22"/>
        <v>1.1510791366906581E-3</v>
      </c>
      <c r="J767" s="36">
        <f t="shared" si="23"/>
        <v>-8.1433105417638707E-3</v>
      </c>
    </row>
    <row r="768" spans="5:10">
      <c r="E768" s="34">
        <v>45314</v>
      </c>
      <c r="F768" s="1">
        <v>1177.5</v>
      </c>
      <c r="G768" s="35">
        <v>56292.55</v>
      </c>
      <c r="I768" s="36">
        <f t="shared" si="22"/>
        <v>-4.5313900207969438E-3</v>
      </c>
      <c r="J768" s="36">
        <f t="shared" si="23"/>
        <v>-9.8521318347932763E-3</v>
      </c>
    </row>
    <row r="769" spans="5:10">
      <c r="E769" s="34">
        <v>45315</v>
      </c>
      <c r="F769" s="1">
        <v>1172.97</v>
      </c>
      <c r="G769" s="35">
        <v>56292.55</v>
      </c>
      <c r="I769" s="36">
        <f t="shared" si="22"/>
        <v>-3.8471337579617515E-3</v>
      </c>
      <c r="J769" s="36">
        <f t="shared" si="23"/>
        <v>0</v>
      </c>
    </row>
    <row r="770" spans="5:10">
      <c r="E770" s="34">
        <v>45316</v>
      </c>
      <c r="F770" s="1">
        <v>1170.3699999999999</v>
      </c>
      <c r="G770" s="35">
        <v>54892.24</v>
      </c>
      <c r="I770" s="36">
        <f t="shared" si="22"/>
        <v>-2.216595479850425E-3</v>
      </c>
      <c r="J770" s="36">
        <f t="shared" si="23"/>
        <v>-2.4875583003434842E-2</v>
      </c>
    </row>
    <row r="771" spans="5:10">
      <c r="E771" s="34">
        <v>45317</v>
      </c>
      <c r="F771" s="1">
        <v>1175.67</v>
      </c>
      <c r="G771" s="35">
        <v>53491.92</v>
      </c>
      <c r="I771" s="36">
        <f t="shared" si="22"/>
        <v>4.5284824457223483E-3</v>
      </c>
      <c r="J771" s="36">
        <f t="shared" si="23"/>
        <v>-2.5510345360291398E-2</v>
      </c>
    </row>
    <row r="772" spans="5:10">
      <c r="E772" s="34">
        <v>45320</v>
      </c>
      <c r="F772" s="1">
        <v>1175.69</v>
      </c>
      <c r="G772" s="35">
        <v>54052.05</v>
      </c>
      <c r="I772" s="36">
        <f t="shared" si="22"/>
        <v>1.701157637779005E-5</v>
      </c>
      <c r="J772" s="36">
        <f t="shared" si="23"/>
        <v>1.0471301086220297E-2</v>
      </c>
    </row>
    <row r="773" spans="5:10">
      <c r="E773" s="34">
        <v>45321</v>
      </c>
      <c r="F773" s="1">
        <v>1179.6500000000001</v>
      </c>
      <c r="G773" s="35">
        <v>53398.57</v>
      </c>
      <c r="I773" s="36">
        <f t="shared" si="22"/>
        <v>3.3682348238055493E-3</v>
      </c>
      <c r="J773" s="36">
        <f t="shared" si="23"/>
        <v>-1.2089828230381738E-2</v>
      </c>
    </row>
    <row r="774" spans="5:10">
      <c r="E774" s="34">
        <v>45322</v>
      </c>
      <c r="F774" s="1">
        <v>1164.31</v>
      </c>
      <c r="G774" s="35">
        <v>52558.38</v>
      </c>
      <c r="I774" s="36">
        <f t="shared" si="22"/>
        <v>-1.3003857076251513E-2</v>
      </c>
      <c r="J774" s="36">
        <f t="shared" si="23"/>
        <v>-1.5734316480759736E-2</v>
      </c>
    </row>
    <row r="775" spans="5:10">
      <c r="E775" s="34">
        <v>45323</v>
      </c>
      <c r="F775" s="1">
        <v>1173.02</v>
      </c>
      <c r="G775" s="35">
        <v>53678.63</v>
      </c>
      <c r="I775" s="36">
        <f t="shared" ref="I775:I838" si="24">F775/F774-1</f>
        <v>7.4808255533320711E-3</v>
      </c>
      <c r="J775" s="36">
        <f t="shared" ref="J775:J838" si="25">G775/G774-1</f>
        <v>2.1314393632376083E-2</v>
      </c>
    </row>
    <row r="776" spans="5:10">
      <c r="E776" s="34">
        <v>45324</v>
      </c>
      <c r="F776" s="1">
        <v>1172.55</v>
      </c>
      <c r="G776" s="35">
        <v>53211.86</v>
      </c>
      <c r="I776" s="36">
        <f t="shared" si="24"/>
        <v>-4.0067518030384441E-4</v>
      </c>
      <c r="J776" s="36">
        <f t="shared" si="25"/>
        <v>-8.6956392143390238E-3</v>
      </c>
    </row>
    <row r="777" spans="5:10">
      <c r="E777" s="34">
        <v>45327</v>
      </c>
      <c r="F777" s="1">
        <v>1186.06</v>
      </c>
      <c r="G777" s="35">
        <v>53211.86</v>
      </c>
      <c r="I777" s="36">
        <f t="shared" si="24"/>
        <v>1.1521896720822156E-2</v>
      </c>
      <c r="J777" s="36">
        <f t="shared" si="25"/>
        <v>0</v>
      </c>
    </row>
    <row r="778" spans="5:10">
      <c r="E778" s="34">
        <v>45328</v>
      </c>
      <c r="F778" s="1">
        <v>1188.48</v>
      </c>
      <c r="G778" s="35">
        <v>53491.92</v>
      </c>
      <c r="I778" s="36">
        <f t="shared" si="24"/>
        <v>2.0403689526669044E-3</v>
      </c>
      <c r="J778" s="36">
        <f t="shared" si="25"/>
        <v>5.263112396371783E-3</v>
      </c>
    </row>
    <row r="779" spans="5:10">
      <c r="E779" s="34">
        <v>45329</v>
      </c>
      <c r="F779" s="1">
        <v>1198.53</v>
      </c>
      <c r="G779" s="35">
        <v>53958.7</v>
      </c>
      <c r="I779" s="36">
        <f t="shared" si="24"/>
        <v>8.4561793214861236E-3</v>
      </c>
      <c r="J779" s="36">
        <f t="shared" si="25"/>
        <v>8.7261777105775984E-3</v>
      </c>
    </row>
    <row r="780" spans="5:10">
      <c r="E780" s="34">
        <v>45337</v>
      </c>
      <c r="F780" s="1">
        <v>1202.5</v>
      </c>
      <c r="G780" s="35">
        <v>54518.82</v>
      </c>
      <c r="I780" s="36">
        <f t="shared" si="24"/>
        <v>3.3123910123233902E-3</v>
      </c>
      <c r="J780" s="36">
        <f t="shared" si="25"/>
        <v>1.0380531777081314E-2</v>
      </c>
    </row>
    <row r="781" spans="5:10">
      <c r="E781" s="34">
        <v>45338</v>
      </c>
      <c r="F781" s="1">
        <v>1209.7</v>
      </c>
      <c r="G781" s="35">
        <v>54145.4</v>
      </c>
      <c r="I781" s="36">
        <f t="shared" si="24"/>
        <v>5.9875259875259434E-3</v>
      </c>
      <c r="J781" s="36">
        <f t="shared" si="25"/>
        <v>-6.8493778845543085E-3</v>
      </c>
    </row>
    <row r="782" spans="5:10">
      <c r="E782" s="34">
        <v>45341</v>
      </c>
      <c r="F782" s="1">
        <v>1224.97</v>
      </c>
      <c r="G782" s="35">
        <v>54052.05</v>
      </c>
      <c r="I782" s="36">
        <f t="shared" si="24"/>
        <v>1.2622964371331813E-2</v>
      </c>
      <c r="J782" s="36">
        <f t="shared" si="25"/>
        <v>-1.7240615084568311E-3</v>
      </c>
    </row>
    <row r="783" spans="5:10">
      <c r="E783" s="34">
        <v>45342</v>
      </c>
      <c r="F783" s="1">
        <v>1230.06</v>
      </c>
      <c r="G783" s="35">
        <v>54705.53</v>
      </c>
      <c r="I783" s="36">
        <f t="shared" si="24"/>
        <v>4.1552038009093906E-3</v>
      </c>
      <c r="J783" s="36">
        <f t="shared" si="25"/>
        <v>1.2089828230381627E-2</v>
      </c>
    </row>
    <row r="784" spans="5:10">
      <c r="E784" s="34">
        <v>45343</v>
      </c>
      <c r="F784" s="1">
        <v>1230.04</v>
      </c>
      <c r="G784" s="35">
        <v>54238.76</v>
      </c>
      <c r="I784" s="36">
        <f t="shared" si="24"/>
        <v>-1.62593694615909E-5</v>
      </c>
      <c r="J784" s="36">
        <f t="shared" si="25"/>
        <v>-8.5324097947684363E-3</v>
      </c>
    </row>
    <row r="785" spans="5:10">
      <c r="E785" s="34">
        <v>45344</v>
      </c>
      <c r="F785" s="1">
        <v>1227.31</v>
      </c>
      <c r="G785" s="35">
        <v>54145.4</v>
      </c>
      <c r="I785" s="36">
        <f t="shared" si="24"/>
        <v>-2.2194400182108387E-3</v>
      </c>
      <c r="J785" s="36">
        <f t="shared" si="25"/>
        <v>-1.7212782888104128E-3</v>
      </c>
    </row>
    <row r="786" spans="5:10">
      <c r="E786" s="34">
        <v>45345</v>
      </c>
      <c r="F786" s="1">
        <v>1212</v>
      </c>
      <c r="G786" s="35">
        <v>53211.86</v>
      </c>
      <c r="I786" s="36">
        <f t="shared" si="24"/>
        <v>-1.2474435961574493E-2</v>
      </c>
      <c r="J786" s="36">
        <f t="shared" si="25"/>
        <v>-1.7241353836152329E-2</v>
      </c>
    </row>
    <row r="787" spans="5:10">
      <c r="E787" s="34">
        <v>45348</v>
      </c>
      <c r="F787" s="1">
        <v>1224.17</v>
      </c>
      <c r="G787" s="35">
        <v>52838.45</v>
      </c>
      <c r="I787" s="36">
        <f t="shared" si="24"/>
        <v>1.004125412541268E-2</v>
      </c>
      <c r="J787" s="36">
        <f t="shared" si="25"/>
        <v>-7.0174205524858868E-3</v>
      </c>
    </row>
    <row r="788" spans="5:10">
      <c r="E788" s="34">
        <v>45349</v>
      </c>
      <c r="F788" s="1">
        <v>1237.46</v>
      </c>
      <c r="G788" s="35">
        <v>52558.38</v>
      </c>
      <c r="I788" s="36">
        <f t="shared" si="24"/>
        <v>1.0856335312905863E-2</v>
      </c>
      <c r="J788" s="36">
        <f t="shared" si="25"/>
        <v>-5.3004961349168989E-3</v>
      </c>
    </row>
    <row r="789" spans="5:10">
      <c r="E789" s="34">
        <v>45350</v>
      </c>
      <c r="F789" s="1">
        <v>1254.55</v>
      </c>
      <c r="G789" s="35">
        <v>53865.34</v>
      </c>
      <c r="I789" s="36">
        <f t="shared" si="24"/>
        <v>1.3810547411633456E-2</v>
      </c>
      <c r="J789" s="36">
        <f t="shared" si="25"/>
        <v>2.4866824281874811E-2</v>
      </c>
    </row>
    <row r="790" spans="5:10">
      <c r="E790" s="34">
        <v>45351</v>
      </c>
      <c r="F790" s="1">
        <v>1252.73</v>
      </c>
      <c r="G790" s="35">
        <v>54612.17</v>
      </c>
      <c r="I790" s="36">
        <f t="shared" si="24"/>
        <v>-1.4507193814514707E-3</v>
      </c>
      <c r="J790" s="36">
        <f t="shared" si="25"/>
        <v>1.3864759788019487E-2</v>
      </c>
    </row>
    <row r="791" spans="5:10">
      <c r="E791" s="34">
        <v>45352</v>
      </c>
      <c r="F791" s="1">
        <v>1258.28</v>
      </c>
      <c r="G791" s="35">
        <v>54705.53</v>
      </c>
      <c r="I791" s="36">
        <f t="shared" si="24"/>
        <v>4.430324172008282E-3</v>
      </c>
      <c r="J791" s="36">
        <f t="shared" si="25"/>
        <v>1.7095090709635663E-3</v>
      </c>
    </row>
    <row r="792" spans="5:10">
      <c r="E792" s="34">
        <v>45355</v>
      </c>
      <c r="F792" s="1">
        <v>1261.4100000000001</v>
      </c>
      <c r="G792" s="35">
        <v>54425.47</v>
      </c>
      <c r="I792" s="36">
        <f t="shared" si="24"/>
        <v>2.4875226499667669E-3</v>
      </c>
      <c r="J792" s="36">
        <f t="shared" si="25"/>
        <v>-5.1194093174857791E-3</v>
      </c>
    </row>
    <row r="793" spans="5:10">
      <c r="E793" s="34">
        <v>45356</v>
      </c>
      <c r="F793" s="1">
        <v>1269.98</v>
      </c>
      <c r="G793" s="35">
        <v>54985.59</v>
      </c>
      <c r="I793" s="36">
        <f t="shared" si="24"/>
        <v>6.7939845093980544E-3</v>
      </c>
      <c r="J793" s="36">
        <f t="shared" si="25"/>
        <v>1.0291505061876371E-2</v>
      </c>
    </row>
    <row r="794" spans="5:10">
      <c r="E794" s="34">
        <v>45357</v>
      </c>
      <c r="F794" s="1">
        <v>1262.73</v>
      </c>
      <c r="G794" s="35">
        <v>57226.09</v>
      </c>
      <c r="I794" s="36">
        <f t="shared" si="24"/>
        <v>-5.7087513189184591E-3</v>
      </c>
      <c r="J794" s="36">
        <f t="shared" si="25"/>
        <v>4.0747039360676141E-2</v>
      </c>
    </row>
    <row r="795" spans="5:10">
      <c r="E795" s="34">
        <v>45358</v>
      </c>
      <c r="F795" s="1">
        <v>1268.46</v>
      </c>
      <c r="G795" s="35">
        <v>56572.61</v>
      </c>
      <c r="I795" s="36">
        <f t="shared" si="24"/>
        <v>4.5377871754057608E-3</v>
      </c>
      <c r="J795" s="36">
        <f t="shared" si="25"/>
        <v>-1.1419266981196774E-2</v>
      </c>
    </row>
    <row r="796" spans="5:10">
      <c r="E796" s="34">
        <v>45359</v>
      </c>
      <c r="F796" s="1">
        <v>1247.3499999999999</v>
      </c>
      <c r="G796" s="35">
        <v>56012.49</v>
      </c>
      <c r="I796" s="36">
        <f t="shared" si="24"/>
        <v>-1.6642227583053559E-2</v>
      </c>
      <c r="J796" s="36">
        <f t="shared" si="25"/>
        <v>-9.9009043422250143E-3</v>
      </c>
    </row>
    <row r="797" spans="5:10">
      <c r="E797" s="34">
        <v>45362</v>
      </c>
      <c r="F797" s="1">
        <v>1235.49</v>
      </c>
      <c r="G797" s="35">
        <v>55359.01</v>
      </c>
      <c r="I797" s="36">
        <f t="shared" si="24"/>
        <v>-9.508157293462105E-3</v>
      </c>
      <c r="J797" s="36">
        <f t="shared" si="25"/>
        <v>-1.1666683627169494E-2</v>
      </c>
    </row>
    <row r="798" spans="5:10">
      <c r="E798" s="34">
        <v>45363</v>
      </c>
      <c r="F798" s="1">
        <v>1245</v>
      </c>
      <c r="G798" s="35">
        <v>55172.3</v>
      </c>
      <c r="I798" s="36">
        <f t="shared" si="24"/>
        <v>7.6973508486510855E-3</v>
      </c>
      <c r="J798" s="36">
        <f t="shared" si="25"/>
        <v>-3.3727120481381601E-3</v>
      </c>
    </row>
    <row r="799" spans="5:10">
      <c r="E799" s="34">
        <v>45364</v>
      </c>
      <c r="F799" s="1">
        <v>1270.51</v>
      </c>
      <c r="G799" s="35">
        <v>55639.07</v>
      </c>
      <c r="I799" s="36">
        <f t="shared" si="24"/>
        <v>2.048995983935753E-2</v>
      </c>
      <c r="J799" s="36">
        <f t="shared" si="25"/>
        <v>8.4602236992112889E-3</v>
      </c>
    </row>
    <row r="800" spans="5:10">
      <c r="E800" s="34">
        <v>45365</v>
      </c>
      <c r="F800" s="1">
        <v>1264.26</v>
      </c>
      <c r="G800" s="35">
        <v>54798.879999999997</v>
      </c>
      <c r="I800" s="36">
        <f t="shared" si="24"/>
        <v>-4.9192843818623988E-3</v>
      </c>
      <c r="J800" s="36">
        <f t="shared" si="25"/>
        <v>-1.5100719692115683E-2</v>
      </c>
    </row>
    <row r="801" spans="5:10">
      <c r="E801" s="34">
        <v>45366</v>
      </c>
      <c r="F801" s="1">
        <v>1263.78</v>
      </c>
      <c r="G801" s="35">
        <v>54145.4</v>
      </c>
      <c r="I801" s="36">
        <f t="shared" si="24"/>
        <v>-3.7966873902517406E-4</v>
      </c>
      <c r="J801" s="36">
        <f t="shared" si="25"/>
        <v>-1.1925061242127555E-2</v>
      </c>
    </row>
    <row r="802" spans="5:10">
      <c r="E802" s="34">
        <v>45369</v>
      </c>
      <c r="F802" s="1">
        <v>1243.56</v>
      </c>
      <c r="G802" s="35">
        <v>52931.8</v>
      </c>
      <c r="I802" s="36">
        <f t="shared" si="24"/>
        <v>-1.5999620187057917E-2</v>
      </c>
      <c r="J802" s="36">
        <f t="shared" si="25"/>
        <v>-2.2413723049418799E-2</v>
      </c>
    </row>
    <row r="803" spans="5:10">
      <c r="E803" s="34">
        <v>45370</v>
      </c>
      <c r="F803" s="1">
        <v>1242.46</v>
      </c>
      <c r="G803" s="35">
        <v>53118.51</v>
      </c>
      <c r="I803" s="36">
        <f t="shared" si="24"/>
        <v>-8.8455723889468985E-4</v>
      </c>
      <c r="J803" s="36">
        <f t="shared" si="25"/>
        <v>3.5273691807193863E-3</v>
      </c>
    </row>
    <row r="804" spans="5:10">
      <c r="E804" s="34">
        <v>45371</v>
      </c>
      <c r="F804" s="1">
        <v>1260.08</v>
      </c>
      <c r="G804" s="35">
        <v>53118.51</v>
      </c>
      <c r="I804" s="36">
        <f t="shared" si="24"/>
        <v>1.4181543067784741E-2</v>
      </c>
      <c r="J804" s="36">
        <f t="shared" si="25"/>
        <v>0</v>
      </c>
    </row>
    <row r="805" spans="5:10">
      <c r="E805" s="34">
        <v>45372</v>
      </c>
      <c r="F805" s="1">
        <v>1276.42</v>
      </c>
      <c r="G805" s="35">
        <v>53398.57</v>
      </c>
      <c r="I805" s="36">
        <f t="shared" si="24"/>
        <v>1.2967430639324595E-2</v>
      </c>
      <c r="J805" s="36">
        <f t="shared" si="25"/>
        <v>5.2723617435805892E-3</v>
      </c>
    </row>
    <row r="806" spans="5:10">
      <c r="E806" s="34">
        <v>45373</v>
      </c>
      <c r="F806" s="1">
        <v>1281.8</v>
      </c>
      <c r="G806" s="35">
        <v>53491.92</v>
      </c>
      <c r="I806" s="36">
        <f t="shared" si="24"/>
        <v>4.2149135864368859E-3</v>
      </c>
      <c r="J806" s="36">
        <f t="shared" si="25"/>
        <v>1.7481741552254348E-3</v>
      </c>
    </row>
    <row r="807" spans="5:10">
      <c r="E807" s="34">
        <v>45376</v>
      </c>
      <c r="F807" s="1">
        <v>1267.8599999999999</v>
      </c>
      <c r="G807" s="35">
        <v>53211.86</v>
      </c>
      <c r="I807" s="36">
        <f t="shared" si="24"/>
        <v>-1.0875331564986768E-2</v>
      </c>
      <c r="J807" s="36">
        <f t="shared" si="25"/>
        <v>-5.2355570710491683E-3</v>
      </c>
    </row>
    <row r="808" spans="5:10">
      <c r="E808" s="34">
        <v>45377</v>
      </c>
      <c r="F808" s="1">
        <v>1282.21</v>
      </c>
      <c r="G808" s="35">
        <v>53118.51</v>
      </c>
      <c r="I808" s="36">
        <f t="shared" si="24"/>
        <v>1.1318284353162067E-2</v>
      </c>
      <c r="J808" s="36">
        <f t="shared" si="25"/>
        <v>-1.7543081561139928E-3</v>
      </c>
    </row>
    <row r="809" spans="5:10">
      <c r="E809" s="34">
        <v>45378</v>
      </c>
      <c r="F809" s="1">
        <v>1283.0899999999999</v>
      </c>
      <c r="G809" s="35">
        <v>53678.63</v>
      </c>
      <c r="I809" s="36">
        <f t="shared" si="24"/>
        <v>6.8631503419869233E-4</v>
      </c>
      <c r="J809" s="36">
        <f t="shared" si="25"/>
        <v>1.0544723487160956E-2</v>
      </c>
    </row>
    <row r="810" spans="5:10">
      <c r="E810" s="34">
        <v>45379</v>
      </c>
      <c r="F810" s="1">
        <v>1290.18</v>
      </c>
      <c r="G810" s="35">
        <v>53398.57</v>
      </c>
      <c r="I810" s="36">
        <f t="shared" si="24"/>
        <v>5.5257230591776452E-3</v>
      </c>
      <c r="J810" s="36">
        <f t="shared" si="25"/>
        <v>-5.2173462698283934E-3</v>
      </c>
    </row>
    <row r="811" spans="5:10">
      <c r="E811" s="34">
        <v>45380</v>
      </c>
      <c r="F811" s="1">
        <v>1284.0899999999999</v>
      </c>
      <c r="G811" s="35">
        <v>52931.8</v>
      </c>
      <c r="I811" s="36">
        <f t="shared" si="24"/>
        <v>-4.7202715900107606E-3</v>
      </c>
      <c r="J811" s="36">
        <f t="shared" si="25"/>
        <v>-8.7412453179925853E-3</v>
      </c>
    </row>
    <row r="812" spans="5:10">
      <c r="E812" s="34">
        <v>45383</v>
      </c>
      <c r="F812" s="1">
        <v>1281.52</v>
      </c>
      <c r="G812" s="35">
        <v>53025.15</v>
      </c>
      <c r="I812" s="36">
        <f t="shared" si="24"/>
        <v>-2.0014173461361251E-3</v>
      </c>
      <c r="J812" s="36">
        <f t="shared" si="25"/>
        <v>1.7635901291850331E-3</v>
      </c>
    </row>
    <row r="813" spans="5:10">
      <c r="E813" s="34">
        <v>45384</v>
      </c>
      <c r="F813" s="1">
        <v>1287.04</v>
      </c>
      <c r="G813" s="35">
        <v>52651.74</v>
      </c>
      <c r="I813" s="36">
        <f t="shared" si="24"/>
        <v>4.3073849803358932E-3</v>
      </c>
      <c r="J813" s="36">
        <f t="shared" si="25"/>
        <v>-7.0421300081188187E-3</v>
      </c>
    </row>
    <row r="814" spans="5:10">
      <c r="E814" s="34">
        <v>45385</v>
      </c>
      <c r="F814" s="1">
        <v>1271.47</v>
      </c>
      <c r="G814" s="35">
        <v>52278.32</v>
      </c>
      <c r="I814" s="36">
        <f t="shared" si="24"/>
        <v>-1.209752610641468E-2</v>
      </c>
      <c r="J814" s="36">
        <f t="shared" si="25"/>
        <v>-7.0922632376441141E-3</v>
      </c>
    </row>
    <row r="815" spans="5:10">
      <c r="E815" s="34">
        <v>45386</v>
      </c>
      <c r="F815" s="1">
        <v>1268.25</v>
      </c>
      <c r="G815" s="35">
        <v>52745.09</v>
      </c>
      <c r="I815" s="36">
        <f t="shared" si="24"/>
        <v>-2.5325017499430169E-3</v>
      </c>
      <c r="J815" s="36">
        <f t="shared" si="25"/>
        <v>8.9285577654369952E-3</v>
      </c>
    </row>
    <row r="816" spans="5:10">
      <c r="E816" s="34">
        <v>45387</v>
      </c>
      <c r="F816" s="1">
        <v>1255.1099999999999</v>
      </c>
      <c r="G816" s="35">
        <v>52371.67</v>
      </c>
      <c r="I816" s="36">
        <f t="shared" si="24"/>
        <v>-1.0360733293908964E-2</v>
      </c>
      <c r="J816" s="36">
        <f t="shared" si="25"/>
        <v>-7.0797111162385074E-3</v>
      </c>
    </row>
    <row r="817" spans="5:10">
      <c r="E817" s="34">
        <v>45390</v>
      </c>
      <c r="F817" s="1">
        <v>1250.3499999999999</v>
      </c>
      <c r="G817" s="35">
        <v>51624.84</v>
      </c>
      <c r="I817" s="36">
        <f t="shared" si="24"/>
        <v>-3.7924962752268199E-3</v>
      </c>
      <c r="J817" s="36">
        <f t="shared" si="25"/>
        <v>-1.4260190671788853E-2</v>
      </c>
    </row>
    <row r="818" spans="5:10">
      <c r="E818" s="34">
        <v>45391</v>
      </c>
      <c r="F818" s="1">
        <v>1262.82</v>
      </c>
      <c r="G818" s="35">
        <v>51344.78</v>
      </c>
      <c r="I818" s="36">
        <f t="shared" si="24"/>
        <v>9.9732075018994504E-3</v>
      </c>
      <c r="J818" s="36">
        <f t="shared" si="25"/>
        <v>-5.4249078544359453E-3</v>
      </c>
    </row>
    <row r="819" spans="5:10">
      <c r="E819" s="34">
        <v>45392</v>
      </c>
      <c r="F819" s="1">
        <v>1258.56</v>
      </c>
      <c r="G819" s="35">
        <v>51624.84</v>
      </c>
      <c r="I819" s="36">
        <f t="shared" si="24"/>
        <v>-3.3734023851380579E-3</v>
      </c>
      <c r="J819" s="36">
        <f t="shared" si="25"/>
        <v>5.4544980034971768E-3</v>
      </c>
    </row>
    <row r="820" spans="5:10">
      <c r="E820" s="34">
        <v>45393</v>
      </c>
      <c r="F820" s="1">
        <v>1258.2</v>
      </c>
      <c r="G820" s="35">
        <v>51718.2</v>
      </c>
      <c r="I820" s="36">
        <f t="shared" si="24"/>
        <v>-2.8604118993125205E-4</v>
      </c>
      <c r="J820" s="36">
        <f t="shared" si="25"/>
        <v>1.8084317549458273E-3</v>
      </c>
    </row>
    <row r="821" spans="5:10">
      <c r="E821" s="34">
        <v>45394</v>
      </c>
      <c r="F821" s="1">
        <v>1276.5999999999999</v>
      </c>
      <c r="G821" s="35">
        <v>52278.32</v>
      </c>
      <c r="I821" s="36">
        <f t="shared" si="24"/>
        <v>1.4624066126212032E-2</v>
      </c>
      <c r="J821" s="36">
        <f t="shared" si="25"/>
        <v>1.0830229977068173E-2</v>
      </c>
    </row>
    <row r="822" spans="5:10">
      <c r="E822" s="34">
        <v>45397</v>
      </c>
      <c r="F822" s="1">
        <v>1216.6099999999999</v>
      </c>
      <c r="G822" s="35">
        <v>51344.78</v>
      </c>
      <c r="I822" s="36">
        <f t="shared" si="24"/>
        <v>-4.6992010026633224E-2</v>
      </c>
      <c r="J822" s="36">
        <f t="shared" si="25"/>
        <v>-1.785711553087399E-2</v>
      </c>
    </row>
    <row r="823" spans="5:10">
      <c r="E823" s="34">
        <v>45398</v>
      </c>
      <c r="F823" s="1">
        <v>1215.68</v>
      </c>
      <c r="G823" s="35">
        <v>51158.07</v>
      </c>
      <c r="I823" s="36">
        <f t="shared" si="24"/>
        <v>-7.644191647281362E-4</v>
      </c>
      <c r="J823" s="36">
        <f t="shared" si="25"/>
        <v>-3.6363969229199489E-3</v>
      </c>
    </row>
    <row r="824" spans="5:10">
      <c r="E824" s="34">
        <v>45399</v>
      </c>
      <c r="F824" s="1">
        <v>1193.01</v>
      </c>
      <c r="G824" s="35">
        <v>50411.24</v>
      </c>
      <c r="I824" s="36">
        <f t="shared" si="24"/>
        <v>-1.8647999473545673E-2</v>
      </c>
      <c r="J824" s="36">
        <f t="shared" si="25"/>
        <v>-1.459847879327747E-2</v>
      </c>
    </row>
    <row r="825" spans="5:10">
      <c r="E825" s="34">
        <v>45401</v>
      </c>
      <c r="F825" s="1">
        <v>1174.8499999999999</v>
      </c>
      <c r="G825" s="35">
        <v>49010.93</v>
      </c>
      <c r="I825" s="36">
        <f t="shared" si="24"/>
        <v>-1.5222001492024462E-2</v>
      </c>
      <c r="J825" s="36">
        <f t="shared" si="25"/>
        <v>-2.7777733695897977E-2</v>
      </c>
    </row>
    <row r="826" spans="5:10">
      <c r="E826" s="34">
        <v>45404</v>
      </c>
      <c r="F826" s="1">
        <v>1190.22</v>
      </c>
      <c r="G826" s="35">
        <v>49664.4</v>
      </c>
      <c r="I826" s="36">
        <f t="shared" si="24"/>
        <v>1.3082521172915751E-2</v>
      </c>
      <c r="J826" s="36">
        <f t="shared" si="25"/>
        <v>1.3333148340584522E-2</v>
      </c>
    </row>
    <row r="827" spans="5:10">
      <c r="E827" s="34">
        <v>45405</v>
      </c>
      <c r="F827" s="1">
        <v>1177.4000000000001</v>
      </c>
      <c r="G827" s="35">
        <v>49477.7</v>
      </c>
      <c r="I827" s="36">
        <f t="shared" si="24"/>
        <v>-1.0771117944581632E-2</v>
      </c>
      <c r="J827" s="36">
        <f t="shared" si="25"/>
        <v>-3.7592319649488726E-3</v>
      </c>
    </row>
    <row r="828" spans="5:10">
      <c r="E828" s="34">
        <v>45406</v>
      </c>
      <c r="F828" s="1">
        <v>1205.6099999999999</v>
      </c>
      <c r="G828" s="35">
        <v>50037.82</v>
      </c>
      <c r="I828" s="36">
        <f t="shared" si="24"/>
        <v>2.3959571938168667E-2</v>
      </c>
      <c r="J828" s="36">
        <f t="shared" si="25"/>
        <v>1.1320655568064053E-2</v>
      </c>
    </row>
    <row r="829" spans="5:10">
      <c r="E829" s="34">
        <v>45407</v>
      </c>
      <c r="F829" s="1">
        <v>1204.97</v>
      </c>
      <c r="G829" s="35">
        <v>50784.65</v>
      </c>
      <c r="I829" s="36">
        <f t="shared" si="24"/>
        <v>-5.3085160209342952E-4</v>
      </c>
      <c r="J829" s="36">
        <f t="shared" si="25"/>
        <v>1.4925310495141453E-2</v>
      </c>
    </row>
    <row r="830" spans="5:10">
      <c r="E830" s="34">
        <v>45408</v>
      </c>
      <c r="F830" s="1">
        <v>1209.52</v>
      </c>
      <c r="G830" s="35">
        <v>50784.65</v>
      </c>
      <c r="I830" s="36">
        <f t="shared" si="24"/>
        <v>3.7760276189449105E-3</v>
      </c>
      <c r="J830" s="36">
        <f t="shared" si="25"/>
        <v>0</v>
      </c>
    </row>
    <row r="831" spans="5:10">
      <c r="E831" s="34">
        <v>45414</v>
      </c>
      <c r="F831" s="1">
        <v>1216.3599999999999</v>
      </c>
      <c r="G831" s="35">
        <v>52838.45</v>
      </c>
      <c r="I831" s="36">
        <f t="shared" si="24"/>
        <v>5.6551359216878705E-3</v>
      </c>
      <c r="J831" s="36">
        <f t="shared" si="25"/>
        <v>4.0441353834278493E-2</v>
      </c>
    </row>
    <row r="832" spans="5:10">
      <c r="E832" s="34">
        <v>45415</v>
      </c>
      <c r="F832" s="1">
        <v>1221.03</v>
      </c>
      <c r="G832" s="35">
        <v>52931.8</v>
      </c>
      <c r="I832" s="36">
        <f t="shared" si="24"/>
        <v>3.8393238843763555E-3</v>
      </c>
      <c r="J832" s="36">
        <f t="shared" si="25"/>
        <v>1.7667058742261155E-3</v>
      </c>
    </row>
    <row r="833" spans="5:10">
      <c r="E833" s="34">
        <v>45418</v>
      </c>
      <c r="F833" s="1">
        <v>1241.58</v>
      </c>
      <c r="G833" s="35">
        <v>53211.86</v>
      </c>
      <c r="I833" s="36">
        <f t="shared" si="24"/>
        <v>1.6830053315643356E-2</v>
      </c>
      <c r="J833" s="36">
        <f t="shared" si="25"/>
        <v>5.2909593099044194E-3</v>
      </c>
    </row>
    <row r="834" spans="5:10">
      <c r="E834" s="34">
        <v>45419</v>
      </c>
      <c r="F834" s="1">
        <v>1248.6300000000001</v>
      </c>
      <c r="G834" s="35">
        <v>53865.34</v>
      </c>
      <c r="I834" s="36">
        <f t="shared" si="24"/>
        <v>5.6782486831297163E-3</v>
      </c>
      <c r="J834" s="36">
        <f t="shared" si="25"/>
        <v>1.2280720876887141E-2</v>
      </c>
    </row>
    <row r="835" spans="5:10">
      <c r="E835" s="34">
        <v>45420</v>
      </c>
      <c r="F835" s="1">
        <v>1250.46</v>
      </c>
      <c r="G835" s="35">
        <v>54985.59</v>
      </c>
      <c r="I835" s="36">
        <f t="shared" si="24"/>
        <v>1.4656063045097589E-3</v>
      </c>
      <c r="J835" s="36">
        <f t="shared" si="25"/>
        <v>2.0797232506097663E-2</v>
      </c>
    </row>
    <row r="836" spans="5:10">
      <c r="E836" s="34">
        <v>45421</v>
      </c>
      <c r="F836" s="1">
        <v>1248.6400000000001</v>
      </c>
      <c r="G836" s="35">
        <v>53771.99</v>
      </c>
      <c r="I836" s="36">
        <f t="shared" si="24"/>
        <v>-1.4554643891047103E-3</v>
      </c>
      <c r="J836" s="36">
        <f t="shared" si="25"/>
        <v>-2.2071237209603467E-2</v>
      </c>
    </row>
    <row r="837" spans="5:10">
      <c r="E837" s="34">
        <v>45422</v>
      </c>
      <c r="F837" s="1">
        <v>1244.7</v>
      </c>
      <c r="G837" s="35">
        <v>53771.99</v>
      </c>
      <c r="I837" s="36">
        <f t="shared" si="24"/>
        <v>-3.1554331112250145E-3</v>
      </c>
      <c r="J837" s="36">
        <f t="shared" si="25"/>
        <v>0</v>
      </c>
    </row>
    <row r="838" spans="5:10">
      <c r="E838" s="34">
        <v>45425</v>
      </c>
      <c r="F838" s="1">
        <v>1240.18</v>
      </c>
      <c r="G838" s="35">
        <v>53118.51</v>
      </c>
      <c r="I838" s="36">
        <f t="shared" si="24"/>
        <v>-3.6313971238048914E-3</v>
      </c>
      <c r="J838" s="36">
        <f t="shared" si="25"/>
        <v>-1.2152795535370631E-2</v>
      </c>
    </row>
    <row r="839" spans="5:10">
      <c r="E839" s="34">
        <v>45426</v>
      </c>
      <c r="F839" s="1">
        <v>1243.28</v>
      </c>
      <c r="G839" s="35">
        <v>53305.22</v>
      </c>
      <c r="I839" s="36">
        <f t="shared" ref="I839:I902" si="26">F839/F838-1</f>
        <v>2.4996371494458991E-3</v>
      </c>
      <c r="J839" s="36">
        <f t="shared" ref="J839:J902" si="27">G839/G838-1</f>
        <v>3.5149705818178223E-3</v>
      </c>
    </row>
    <row r="840" spans="5:10">
      <c r="E840" s="34">
        <v>45427</v>
      </c>
      <c r="F840" s="1">
        <v>1254.3900000000001</v>
      </c>
      <c r="G840" s="35">
        <v>53771.99</v>
      </c>
      <c r="I840" s="36">
        <f t="shared" si="26"/>
        <v>8.9360401518565613E-3</v>
      </c>
      <c r="J840" s="36">
        <f t="shared" si="27"/>
        <v>8.7565532981572769E-3</v>
      </c>
    </row>
    <row r="841" spans="5:10">
      <c r="E841" s="34">
        <v>45428</v>
      </c>
      <c r="F841" s="1">
        <v>1268.78</v>
      </c>
      <c r="G841" s="35">
        <v>53678.63</v>
      </c>
      <c r="I841" s="36">
        <f t="shared" si="26"/>
        <v>1.1471711349739566E-2</v>
      </c>
      <c r="J841" s="36">
        <f t="shared" si="27"/>
        <v>-1.7362199167261227E-3</v>
      </c>
    </row>
    <row r="842" spans="5:10">
      <c r="E842" s="34">
        <v>45429</v>
      </c>
      <c r="F842" s="1">
        <v>1273.1099999999999</v>
      </c>
      <c r="G842" s="35">
        <v>54238.76</v>
      </c>
      <c r="I842" s="36">
        <f t="shared" si="26"/>
        <v>3.4127271867463449E-3</v>
      </c>
      <c r="J842" s="36">
        <f t="shared" si="27"/>
        <v>1.0434878833532224E-2</v>
      </c>
    </row>
    <row r="843" spans="5:10">
      <c r="E843" s="34">
        <v>45432</v>
      </c>
      <c r="F843" s="1">
        <v>1277.58</v>
      </c>
      <c r="G843" s="35">
        <v>53958.7</v>
      </c>
      <c r="I843" s="36">
        <f t="shared" si="26"/>
        <v>3.5110870231165325E-3</v>
      </c>
      <c r="J843" s="36">
        <f t="shared" si="27"/>
        <v>-5.1634661264380322E-3</v>
      </c>
    </row>
    <row r="844" spans="5:10">
      <c r="E844" s="34">
        <v>45433</v>
      </c>
      <c r="F844" s="1">
        <v>1277.1400000000001</v>
      </c>
      <c r="G844" s="35">
        <v>54145.4</v>
      </c>
      <c r="I844" s="36">
        <f t="shared" si="26"/>
        <v>-3.4440113339273548E-4</v>
      </c>
      <c r="J844" s="36">
        <f t="shared" si="27"/>
        <v>3.4600537077431603E-3</v>
      </c>
    </row>
    <row r="845" spans="5:10">
      <c r="E845" s="34">
        <v>45434</v>
      </c>
      <c r="F845" s="1">
        <v>1266.9100000000001</v>
      </c>
      <c r="G845" s="35">
        <v>53678.63</v>
      </c>
      <c r="I845" s="36">
        <f t="shared" si="26"/>
        <v>-8.0100850337473384E-3</v>
      </c>
      <c r="J845" s="36">
        <f t="shared" si="27"/>
        <v>-8.6206769180762199E-3</v>
      </c>
    </row>
    <row r="846" spans="5:10">
      <c r="E846" s="34">
        <v>45435</v>
      </c>
      <c r="F846" s="1">
        <v>1281.03</v>
      </c>
      <c r="G846" s="35">
        <v>55545.72</v>
      </c>
      <c r="I846" s="36">
        <f t="shared" si="26"/>
        <v>1.1145227364216748E-2</v>
      </c>
      <c r="J846" s="36">
        <f t="shared" si="27"/>
        <v>3.4782743151231754E-2</v>
      </c>
    </row>
    <row r="847" spans="5:10">
      <c r="E847" s="34">
        <v>45436</v>
      </c>
      <c r="F847" s="1">
        <v>1261.93</v>
      </c>
      <c r="G847" s="35">
        <v>54145.4</v>
      </c>
      <c r="I847" s="36">
        <f t="shared" si="26"/>
        <v>-1.490987720818393E-2</v>
      </c>
      <c r="J847" s="36">
        <f t="shared" si="27"/>
        <v>-2.5210223217918548E-2</v>
      </c>
    </row>
    <row r="848" spans="5:10">
      <c r="E848" s="34">
        <v>45439</v>
      </c>
      <c r="F848" s="1">
        <v>1267.68</v>
      </c>
      <c r="G848" s="35">
        <v>54612.17</v>
      </c>
      <c r="I848" s="36">
        <f t="shared" si="26"/>
        <v>4.5565126433320113E-3</v>
      </c>
      <c r="J848" s="36">
        <f t="shared" si="27"/>
        <v>8.6206769180761089E-3</v>
      </c>
    </row>
    <row r="849" spans="5:10">
      <c r="E849" s="34">
        <v>45440</v>
      </c>
      <c r="F849" s="1">
        <v>1281.73</v>
      </c>
      <c r="G849" s="35">
        <v>56946.03</v>
      </c>
      <c r="I849" s="36">
        <f t="shared" si="26"/>
        <v>1.1083238672220164E-2</v>
      </c>
      <c r="J849" s="36">
        <f t="shared" si="27"/>
        <v>4.2735163242918262E-2</v>
      </c>
    </row>
    <row r="850" spans="5:10">
      <c r="E850" s="34">
        <v>45441</v>
      </c>
      <c r="F850" s="1">
        <v>1272.6400000000001</v>
      </c>
      <c r="G850" s="35">
        <v>56479.26</v>
      </c>
      <c r="I850" s="36">
        <f t="shared" si="26"/>
        <v>-7.0919772494986155E-3</v>
      </c>
      <c r="J850" s="36">
        <f t="shared" si="27"/>
        <v>-8.1967083570180232E-3</v>
      </c>
    </row>
    <row r="851" spans="5:10">
      <c r="E851" s="34">
        <v>45442</v>
      </c>
      <c r="F851" s="1">
        <v>1266.32</v>
      </c>
      <c r="G851" s="35">
        <v>55359.01</v>
      </c>
      <c r="I851" s="36">
        <f t="shared" si="26"/>
        <v>-4.9660548151874151E-3</v>
      </c>
      <c r="J851" s="36">
        <f t="shared" si="27"/>
        <v>-1.983471454831387E-2</v>
      </c>
    </row>
    <row r="852" spans="5:10">
      <c r="E852" s="34">
        <v>45443</v>
      </c>
      <c r="F852" s="1">
        <v>1261.72</v>
      </c>
      <c r="G852" s="35">
        <v>54425.47</v>
      </c>
      <c r="I852" s="36">
        <f t="shared" si="26"/>
        <v>-3.6325731252763171E-3</v>
      </c>
      <c r="J852" s="36">
        <f t="shared" si="27"/>
        <v>-1.6863379601622208E-2</v>
      </c>
    </row>
    <row r="853" spans="5:10">
      <c r="E853" s="34">
        <v>45446</v>
      </c>
      <c r="F853" s="1">
        <v>1280</v>
      </c>
      <c r="G853" s="35">
        <v>55452.36</v>
      </c>
      <c r="I853" s="36">
        <f t="shared" si="26"/>
        <v>1.4488159021018854E-2</v>
      </c>
      <c r="J853" s="36">
        <f t="shared" si="27"/>
        <v>1.8867820525941159E-2</v>
      </c>
    </row>
    <row r="854" spans="5:10">
      <c r="E854" s="34">
        <v>45447</v>
      </c>
      <c r="F854" s="1">
        <v>1283.52</v>
      </c>
      <c r="G854" s="35">
        <v>57319.44</v>
      </c>
      <c r="I854" s="36">
        <f t="shared" si="26"/>
        <v>2.7500000000000302E-3</v>
      </c>
      <c r="J854" s="36">
        <f t="shared" si="27"/>
        <v>3.3669982666202136E-2</v>
      </c>
    </row>
    <row r="855" spans="5:10">
      <c r="E855" s="34">
        <v>45448</v>
      </c>
      <c r="F855" s="1">
        <v>1284.3499999999999</v>
      </c>
      <c r="G855" s="35">
        <v>61240.32</v>
      </c>
      <c r="I855" s="36">
        <f t="shared" si="26"/>
        <v>6.4665918723494364E-4</v>
      </c>
      <c r="J855" s="36">
        <f t="shared" si="27"/>
        <v>6.8404017903873404E-2</v>
      </c>
    </row>
    <row r="856" spans="5:10">
      <c r="E856" s="34">
        <v>45449</v>
      </c>
      <c r="F856" s="1">
        <v>1283.56</v>
      </c>
      <c r="G856" s="35">
        <v>61146.96</v>
      </c>
      <c r="I856" s="36">
        <f t="shared" si="26"/>
        <v>-6.1509713084439976E-4</v>
      </c>
      <c r="J856" s="36">
        <f t="shared" si="27"/>
        <v>-1.5244858289440444E-3</v>
      </c>
    </row>
    <row r="857" spans="5:10">
      <c r="E857" s="34">
        <v>45450</v>
      </c>
      <c r="F857" s="1">
        <v>1287.58</v>
      </c>
      <c r="G857" s="35">
        <v>63387.46</v>
      </c>
      <c r="I857" s="36">
        <f t="shared" si="26"/>
        <v>3.1319143631773905E-3</v>
      </c>
      <c r="J857" s="36">
        <f t="shared" si="27"/>
        <v>3.6641232859327744E-2</v>
      </c>
    </row>
    <row r="858" spans="5:10">
      <c r="E858" s="34">
        <v>45453</v>
      </c>
      <c r="F858" s="1">
        <v>1290.67</v>
      </c>
      <c r="G858" s="35">
        <v>63200.76</v>
      </c>
      <c r="I858" s="36">
        <f t="shared" si="26"/>
        <v>2.3998508830520571E-3</v>
      </c>
      <c r="J858" s="36">
        <f t="shared" si="27"/>
        <v>-2.9453775241979896E-3</v>
      </c>
    </row>
    <row r="859" spans="5:10">
      <c r="E859" s="34">
        <v>45454</v>
      </c>
      <c r="F859" s="1">
        <v>1284.4100000000001</v>
      </c>
      <c r="G859" s="35">
        <v>63107.4</v>
      </c>
      <c r="I859" s="36">
        <f t="shared" si="26"/>
        <v>-4.8501940852425651E-3</v>
      </c>
      <c r="J859" s="36">
        <f t="shared" si="27"/>
        <v>-1.4771974261068577E-3</v>
      </c>
    </row>
    <row r="860" spans="5:10">
      <c r="E860" s="34">
        <v>45455</v>
      </c>
      <c r="F860" s="1">
        <v>1300.19</v>
      </c>
      <c r="G860" s="35">
        <v>62547.28</v>
      </c>
      <c r="I860" s="36">
        <f t="shared" si="26"/>
        <v>1.2285796591431142E-2</v>
      </c>
      <c r="J860" s="36">
        <f t="shared" si="27"/>
        <v>-8.8756627590426129E-3</v>
      </c>
    </row>
    <row r="861" spans="5:10">
      <c r="E861" s="34">
        <v>45456</v>
      </c>
      <c r="F861" s="1">
        <v>1301.51</v>
      </c>
      <c r="G861" s="35">
        <v>61240.32</v>
      </c>
      <c r="I861" s="36">
        <f t="shared" si="26"/>
        <v>1.0152362347040089E-3</v>
      </c>
      <c r="J861" s="36">
        <f t="shared" si="27"/>
        <v>-2.0895552932117867E-2</v>
      </c>
    </row>
    <row r="862" spans="5:10">
      <c r="E862" s="34">
        <v>45457</v>
      </c>
      <c r="F862" s="1">
        <v>1279.9100000000001</v>
      </c>
      <c r="G862" s="35">
        <v>59186.53</v>
      </c>
      <c r="I862" s="36">
        <f t="shared" si="26"/>
        <v>-1.6596107598097487E-2</v>
      </c>
      <c r="J862" s="36">
        <f t="shared" si="27"/>
        <v>-3.3536565452303324E-2</v>
      </c>
    </row>
    <row r="863" spans="5:10">
      <c r="E863" s="34">
        <v>45460</v>
      </c>
      <c r="F863" s="1">
        <v>1274.77</v>
      </c>
      <c r="G863" s="35">
        <v>59373.24</v>
      </c>
      <c r="I863" s="36">
        <f t="shared" si="26"/>
        <v>-4.0159073684868929E-3</v>
      </c>
      <c r="J863" s="36">
        <f t="shared" si="27"/>
        <v>3.154602913872484E-3</v>
      </c>
    </row>
    <row r="864" spans="5:10">
      <c r="E864" s="34">
        <v>45461</v>
      </c>
      <c r="F864" s="1">
        <v>1279.5</v>
      </c>
      <c r="G864" s="35">
        <v>59373.24</v>
      </c>
      <c r="I864" s="36">
        <f t="shared" si="26"/>
        <v>3.7104732618433722E-3</v>
      </c>
      <c r="J864" s="36">
        <f t="shared" si="27"/>
        <v>0</v>
      </c>
    </row>
    <row r="865" spans="5:10">
      <c r="E865" s="34">
        <v>45462</v>
      </c>
      <c r="F865" s="1">
        <v>1279.79</v>
      </c>
      <c r="G865" s="35">
        <v>57879.57</v>
      </c>
      <c r="I865" s="36">
        <f t="shared" si="26"/>
        <v>2.2665103556063215E-4</v>
      </c>
      <c r="J865" s="36">
        <f t="shared" si="27"/>
        <v>-2.5157293083550747E-2</v>
      </c>
    </row>
    <row r="866" spans="5:10">
      <c r="E866" s="34">
        <v>45463</v>
      </c>
      <c r="F866" s="1">
        <v>1282.3</v>
      </c>
      <c r="G866" s="35">
        <v>57972.92</v>
      </c>
      <c r="I866" s="36">
        <f t="shared" si="26"/>
        <v>1.9612592690987363E-3</v>
      </c>
      <c r="J866" s="36">
        <f t="shared" si="27"/>
        <v>1.6128316088042105E-3</v>
      </c>
    </row>
    <row r="867" spans="5:10">
      <c r="E867" s="34">
        <v>45464</v>
      </c>
      <c r="F867" s="1">
        <v>1282.02</v>
      </c>
      <c r="G867" s="35">
        <v>57412.800000000003</v>
      </c>
      <c r="I867" s="36">
        <f t="shared" si="26"/>
        <v>-2.183576386181052E-4</v>
      </c>
      <c r="J867" s="36">
        <f t="shared" si="27"/>
        <v>-9.6617524181978887E-3</v>
      </c>
    </row>
    <row r="868" spans="5:10">
      <c r="E868" s="34">
        <v>45467</v>
      </c>
      <c r="F868" s="1">
        <v>1254.1199999999999</v>
      </c>
      <c r="G868" s="35">
        <v>57412.800000000003</v>
      </c>
      <c r="I868" s="36">
        <f t="shared" si="26"/>
        <v>-2.1762531005756647E-2</v>
      </c>
      <c r="J868" s="36">
        <f t="shared" si="27"/>
        <v>0</v>
      </c>
    </row>
    <row r="869" spans="5:10">
      <c r="E869" s="34">
        <v>45468</v>
      </c>
      <c r="F869" s="1">
        <v>1256.56</v>
      </c>
      <c r="G869" s="35">
        <v>56572.61</v>
      </c>
      <c r="I869" s="36">
        <f t="shared" si="26"/>
        <v>1.9455873441138749E-3</v>
      </c>
      <c r="J869" s="36">
        <f t="shared" si="27"/>
        <v>-1.4634193071928259E-2</v>
      </c>
    </row>
    <row r="870" spans="5:10">
      <c r="E870" s="34">
        <v>45469</v>
      </c>
      <c r="F870" s="1">
        <v>1261.24</v>
      </c>
      <c r="G870" s="35">
        <v>56012.49</v>
      </c>
      <c r="I870" s="36">
        <f t="shared" si="26"/>
        <v>3.7244540650664959E-3</v>
      </c>
      <c r="J870" s="36">
        <f t="shared" si="27"/>
        <v>-9.9009043422250143E-3</v>
      </c>
    </row>
    <row r="871" spans="5:10">
      <c r="E871" s="34">
        <v>45470</v>
      </c>
      <c r="F871" s="1">
        <v>1259.0899999999999</v>
      </c>
      <c r="G871" s="35">
        <v>56572.61</v>
      </c>
      <c r="I871" s="36">
        <f t="shared" si="26"/>
        <v>-1.704671593035445E-3</v>
      </c>
      <c r="J871" s="36">
        <f t="shared" si="27"/>
        <v>9.9999125195113781E-3</v>
      </c>
    </row>
    <row r="872" spans="5:10">
      <c r="E872" s="34">
        <v>45471</v>
      </c>
      <c r="F872" s="1">
        <v>1245.32</v>
      </c>
      <c r="G872" s="35">
        <v>56012.49</v>
      </c>
      <c r="I872" s="36">
        <f t="shared" si="26"/>
        <v>-1.0936469990231013E-2</v>
      </c>
      <c r="J872" s="36">
        <f t="shared" si="27"/>
        <v>-9.9009043422250143E-3</v>
      </c>
    </row>
    <row r="873" spans="5:10">
      <c r="E873" s="34">
        <v>45474</v>
      </c>
      <c r="F873" s="1">
        <v>1254.56</v>
      </c>
      <c r="G873" s="35">
        <v>56852.67</v>
      </c>
      <c r="I873" s="36">
        <f t="shared" si="26"/>
        <v>7.4197796550283801E-3</v>
      </c>
      <c r="J873" s="36">
        <f t="shared" si="27"/>
        <v>1.4999868779266956E-2</v>
      </c>
    </row>
    <row r="874" spans="5:10">
      <c r="E874" s="34">
        <v>45475</v>
      </c>
      <c r="F874" s="1">
        <v>1269.79</v>
      </c>
      <c r="G874" s="35">
        <v>57132.74</v>
      </c>
      <c r="I874" s="36">
        <f t="shared" si="26"/>
        <v>1.2139714322152884E-2</v>
      </c>
      <c r="J874" s="36">
        <f t="shared" si="27"/>
        <v>4.9262418106308381E-3</v>
      </c>
    </row>
    <row r="875" spans="5:10">
      <c r="E875" s="34">
        <v>45476</v>
      </c>
      <c r="F875" s="1">
        <v>1276.8499999999999</v>
      </c>
      <c r="G875" s="35">
        <v>57412.800000000003</v>
      </c>
      <c r="I875" s="36">
        <f t="shared" si="26"/>
        <v>5.5599744839698317E-3</v>
      </c>
      <c r="J875" s="36">
        <f t="shared" si="27"/>
        <v>4.901917884561513E-3</v>
      </c>
    </row>
    <row r="876" spans="5:10">
      <c r="E876" s="34">
        <v>45477</v>
      </c>
      <c r="F876" s="1">
        <v>1279.8900000000001</v>
      </c>
      <c r="G876" s="35">
        <v>56946.03</v>
      </c>
      <c r="I876" s="36">
        <f t="shared" si="26"/>
        <v>2.3808591455536376E-3</v>
      </c>
      <c r="J876" s="36">
        <f t="shared" si="27"/>
        <v>-8.1300685561408459E-3</v>
      </c>
    </row>
    <row r="877" spans="5:10">
      <c r="E877" s="34">
        <v>45478</v>
      </c>
      <c r="F877" s="1">
        <v>1283.04</v>
      </c>
      <c r="G877" s="35">
        <v>55981.599999999999</v>
      </c>
      <c r="I877" s="36">
        <f t="shared" si="26"/>
        <v>2.4611490049926132E-3</v>
      </c>
      <c r="J877" s="36">
        <f t="shared" si="27"/>
        <v>-1.6935860146879422E-2</v>
      </c>
    </row>
    <row r="878" spans="5:10">
      <c r="E878" s="34">
        <v>45481</v>
      </c>
      <c r="F878" s="1">
        <v>1283.56</v>
      </c>
      <c r="G878" s="35">
        <v>54437.279999999999</v>
      </c>
      <c r="I878" s="36">
        <f t="shared" si="26"/>
        <v>4.0528744232437575E-4</v>
      </c>
      <c r="J878" s="36">
        <f t="shared" si="27"/>
        <v>-2.7586206896551668E-2</v>
      </c>
    </row>
    <row r="879" spans="5:10">
      <c r="E879" s="34">
        <v>45482</v>
      </c>
      <c r="F879" s="1">
        <v>1293.71</v>
      </c>
      <c r="G879" s="35">
        <v>55305.96</v>
      </c>
      <c r="I879" s="36">
        <f t="shared" si="26"/>
        <v>7.9076942254354687E-3</v>
      </c>
      <c r="J879" s="36">
        <f t="shared" si="27"/>
        <v>1.5957446808510634E-2</v>
      </c>
    </row>
    <row r="880" spans="5:10">
      <c r="E880" s="34">
        <v>45483</v>
      </c>
      <c r="F880" s="1">
        <v>1285.94</v>
      </c>
      <c r="G880" s="35">
        <v>54437.279999999999</v>
      </c>
      <c r="I880" s="36">
        <f t="shared" si="26"/>
        <v>-6.0059827936709276E-3</v>
      </c>
      <c r="J880" s="36">
        <f t="shared" si="27"/>
        <v>-1.5706806282722474E-2</v>
      </c>
    </row>
    <row r="881" spans="5:10">
      <c r="E881" s="34">
        <v>45484</v>
      </c>
      <c r="F881" s="1">
        <v>1283.8</v>
      </c>
      <c r="G881" s="35">
        <v>54340.76</v>
      </c>
      <c r="I881" s="36">
        <f t="shared" si="26"/>
        <v>-1.6641522932641095E-3</v>
      </c>
      <c r="J881" s="36">
        <f t="shared" si="27"/>
        <v>-1.7730496453900457E-3</v>
      </c>
    </row>
    <row r="882" spans="5:10">
      <c r="E882" s="34">
        <v>45485</v>
      </c>
      <c r="F882" s="1">
        <v>1280.75</v>
      </c>
      <c r="G882" s="35">
        <v>54051.199999999997</v>
      </c>
      <c r="I882" s="36">
        <f t="shared" si="26"/>
        <v>-2.3757594640909652E-3</v>
      </c>
      <c r="J882" s="36">
        <f t="shared" si="27"/>
        <v>-5.3285968028420339E-3</v>
      </c>
    </row>
    <row r="883" spans="5:10">
      <c r="E883" s="34">
        <v>45488</v>
      </c>
      <c r="F883" s="1">
        <v>1279.82</v>
      </c>
      <c r="G883" s="35">
        <v>53858.16</v>
      </c>
      <c r="I883" s="36">
        <f t="shared" si="26"/>
        <v>-7.2613702908452815E-4</v>
      </c>
      <c r="J883" s="36">
        <f t="shared" si="27"/>
        <v>-3.5714285714284477E-3</v>
      </c>
    </row>
    <row r="884" spans="5:10">
      <c r="E884" s="34">
        <v>45489</v>
      </c>
      <c r="F884" s="1">
        <v>1281.18</v>
      </c>
      <c r="G884" s="35">
        <v>53858.16</v>
      </c>
      <c r="I884" s="36">
        <f t="shared" si="26"/>
        <v>1.0626494350769455E-3</v>
      </c>
      <c r="J884" s="36">
        <f t="shared" si="27"/>
        <v>0</v>
      </c>
    </row>
    <row r="885" spans="5:10">
      <c r="E885" s="34">
        <v>45490</v>
      </c>
      <c r="F885" s="1">
        <v>1268.6600000000001</v>
      </c>
      <c r="G885" s="35">
        <v>52120.800000000003</v>
      </c>
      <c r="I885" s="36">
        <f t="shared" si="26"/>
        <v>-9.7722412151297622E-3</v>
      </c>
      <c r="J885" s="36">
        <f t="shared" si="27"/>
        <v>-3.2258064516129004E-2</v>
      </c>
    </row>
    <row r="886" spans="5:10">
      <c r="E886" s="34">
        <v>45491</v>
      </c>
      <c r="F886" s="1">
        <v>1274.44</v>
      </c>
      <c r="G886" s="35">
        <v>52410.36</v>
      </c>
      <c r="I886" s="36">
        <f t="shared" si="26"/>
        <v>4.5559882080306036E-3</v>
      </c>
      <c r="J886" s="36">
        <f t="shared" si="27"/>
        <v>5.5555555555555358E-3</v>
      </c>
    </row>
    <row r="887" spans="5:10">
      <c r="E887" s="34">
        <v>45492</v>
      </c>
      <c r="F887" s="1">
        <v>1264.78</v>
      </c>
      <c r="G887" s="35">
        <v>53279.040000000001</v>
      </c>
      <c r="I887" s="36">
        <f t="shared" si="26"/>
        <v>-7.5797997551866336E-3</v>
      </c>
      <c r="J887" s="36">
        <f t="shared" si="27"/>
        <v>1.6574585635359185E-2</v>
      </c>
    </row>
    <row r="888" spans="5:10">
      <c r="E888" s="34">
        <v>45495</v>
      </c>
      <c r="F888" s="1">
        <v>1254.6400000000001</v>
      </c>
      <c r="G888" s="35">
        <v>53761.64</v>
      </c>
      <c r="I888" s="36">
        <f t="shared" si="26"/>
        <v>-8.0172045731272679E-3</v>
      </c>
      <c r="J888" s="36">
        <f t="shared" si="27"/>
        <v>9.0579710144926828E-3</v>
      </c>
    </row>
    <row r="889" spans="5:10">
      <c r="E889" s="34">
        <v>45496</v>
      </c>
      <c r="F889" s="1">
        <v>1231.81</v>
      </c>
      <c r="G889" s="35">
        <v>52796.44</v>
      </c>
      <c r="I889" s="36">
        <f t="shared" si="26"/>
        <v>-1.8196454759931258E-2</v>
      </c>
      <c r="J889" s="36">
        <f t="shared" si="27"/>
        <v>-1.7953321364452379E-2</v>
      </c>
    </row>
    <row r="890" spans="5:10">
      <c r="E890" s="34">
        <v>45497</v>
      </c>
      <c r="F890" s="1">
        <v>1238.47</v>
      </c>
      <c r="G890" s="35">
        <v>52699.92</v>
      </c>
      <c r="I890" s="36">
        <f t="shared" si="26"/>
        <v>5.4066779779349261E-3</v>
      </c>
      <c r="J890" s="36">
        <f t="shared" si="27"/>
        <v>-1.8281535648995151E-3</v>
      </c>
    </row>
    <row r="891" spans="5:10">
      <c r="E891" s="34">
        <v>45498</v>
      </c>
      <c r="F891" s="1">
        <v>1233.19</v>
      </c>
      <c r="G891" s="35">
        <v>52120.800000000003</v>
      </c>
      <c r="I891" s="36">
        <f t="shared" si="26"/>
        <v>-4.2633249089601977E-3</v>
      </c>
      <c r="J891" s="36">
        <f t="shared" si="27"/>
        <v>-1.098901098901095E-2</v>
      </c>
    </row>
    <row r="892" spans="5:10">
      <c r="E892" s="34">
        <v>45499</v>
      </c>
      <c r="F892" s="1">
        <v>1242.1099999999999</v>
      </c>
      <c r="G892" s="35">
        <v>53086</v>
      </c>
      <c r="I892" s="36">
        <f t="shared" si="26"/>
        <v>7.2332730560578096E-3</v>
      </c>
      <c r="J892" s="36">
        <f t="shared" si="27"/>
        <v>1.8518518518518379E-2</v>
      </c>
    </row>
    <row r="893" spans="5:10">
      <c r="E893" s="34">
        <v>45502</v>
      </c>
      <c r="F893" s="1">
        <v>1246.5999999999999</v>
      </c>
      <c r="G893" s="35">
        <v>52989.48</v>
      </c>
      <c r="I893" s="36">
        <f t="shared" si="26"/>
        <v>3.6148167231566664E-3</v>
      </c>
      <c r="J893" s="36">
        <f t="shared" si="27"/>
        <v>-1.8181818181817189E-3</v>
      </c>
    </row>
    <row r="894" spans="5:10">
      <c r="E894" s="34">
        <v>45503</v>
      </c>
      <c r="F894" s="1">
        <v>1245.06</v>
      </c>
      <c r="G894" s="35">
        <v>52892.959999999999</v>
      </c>
      <c r="I894" s="36">
        <f t="shared" si="26"/>
        <v>-1.235360179688727E-3</v>
      </c>
      <c r="J894" s="36">
        <f t="shared" si="27"/>
        <v>-1.8214936247723523E-3</v>
      </c>
    </row>
    <row r="895" spans="5:10">
      <c r="E895" s="34">
        <v>45504</v>
      </c>
      <c r="F895" s="1">
        <v>1251.51</v>
      </c>
      <c r="G895" s="35">
        <v>53472.08</v>
      </c>
      <c r="I895" s="36">
        <f t="shared" si="26"/>
        <v>5.1804732302058731E-3</v>
      </c>
      <c r="J895" s="36">
        <f t="shared" si="27"/>
        <v>1.0948905109489093E-2</v>
      </c>
    </row>
    <row r="896" spans="5:10">
      <c r="E896" s="34">
        <v>45505</v>
      </c>
      <c r="F896" s="1">
        <v>1226.96</v>
      </c>
      <c r="G896" s="35">
        <v>53086</v>
      </c>
      <c r="I896" s="36">
        <f t="shared" si="26"/>
        <v>-1.9616303505365473E-2</v>
      </c>
      <c r="J896" s="36">
        <f t="shared" si="27"/>
        <v>-7.2202166064981865E-3</v>
      </c>
    </row>
    <row r="897" spans="5:10">
      <c r="E897" s="34">
        <v>45506</v>
      </c>
      <c r="F897" s="1">
        <v>1236.5999999999999</v>
      </c>
      <c r="G897" s="35">
        <v>53182.52</v>
      </c>
      <c r="I897" s="36">
        <f t="shared" si="26"/>
        <v>7.8568168481449874E-3</v>
      </c>
      <c r="J897" s="36">
        <f t="shared" si="27"/>
        <v>1.8181818181817189E-3</v>
      </c>
    </row>
    <row r="898" spans="5:10">
      <c r="E898" s="34">
        <v>45509</v>
      </c>
      <c r="F898" s="1">
        <v>1188.07</v>
      </c>
      <c r="G898" s="35">
        <v>50190.400000000001</v>
      </c>
      <c r="I898" s="36">
        <f t="shared" si="26"/>
        <v>-3.9244703218502375E-2</v>
      </c>
      <c r="J898" s="36">
        <f t="shared" si="27"/>
        <v>-5.6261343012704135E-2</v>
      </c>
    </row>
    <row r="899" spans="5:10">
      <c r="E899" s="34">
        <v>45510</v>
      </c>
      <c r="F899" s="1">
        <v>1210.28</v>
      </c>
      <c r="G899" s="35">
        <v>51445.16</v>
      </c>
      <c r="I899" s="36">
        <f t="shared" si="26"/>
        <v>1.8694184686087523E-2</v>
      </c>
      <c r="J899" s="36">
        <f t="shared" si="27"/>
        <v>2.5000000000000133E-2</v>
      </c>
    </row>
    <row r="900" spans="5:10">
      <c r="E900" s="34">
        <v>45511</v>
      </c>
      <c r="F900" s="1">
        <v>1215.8800000000001</v>
      </c>
      <c r="G900" s="35">
        <v>51059.08</v>
      </c>
      <c r="I900" s="36">
        <f t="shared" si="26"/>
        <v>4.6270284562250907E-3</v>
      </c>
      <c r="J900" s="36">
        <f t="shared" si="27"/>
        <v>-7.5046904315196894E-3</v>
      </c>
    </row>
    <row r="901" spans="5:10">
      <c r="E901" s="34">
        <v>45512</v>
      </c>
      <c r="F901" s="1">
        <v>1208.32</v>
      </c>
      <c r="G901" s="35">
        <v>50962.559999999998</v>
      </c>
      <c r="I901" s="36">
        <f t="shared" si="26"/>
        <v>-6.2177188538343753E-3</v>
      </c>
      <c r="J901" s="36">
        <f t="shared" si="27"/>
        <v>-1.890359168242095E-3</v>
      </c>
    </row>
    <row r="902" spans="5:10">
      <c r="E902" s="34">
        <v>45513</v>
      </c>
      <c r="F902" s="1">
        <v>1223.6400000000001</v>
      </c>
      <c r="G902" s="35">
        <v>51734.720000000001</v>
      </c>
      <c r="I902" s="36">
        <f t="shared" si="26"/>
        <v>1.2678760593220373E-2</v>
      </c>
      <c r="J902" s="36">
        <f t="shared" si="27"/>
        <v>1.5151515151515138E-2</v>
      </c>
    </row>
    <row r="903" spans="5:10">
      <c r="E903" s="34">
        <v>45516</v>
      </c>
      <c r="F903" s="1">
        <v>1230.28</v>
      </c>
      <c r="G903" s="35">
        <v>52120.800000000003</v>
      </c>
      <c r="I903" s="36">
        <f t="shared" ref="I903:I966" si="28">F903/F902-1</f>
        <v>5.4264326108985905E-3</v>
      </c>
      <c r="J903" s="36">
        <f t="shared" ref="J903:J966" si="29">G903/G902-1</f>
        <v>7.4626865671643117E-3</v>
      </c>
    </row>
    <row r="904" spans="5:10">
      <c r="E904" s="34">
        <v>45517</v>
      </c>
      <c r="F904" s="1">
        <v>1230.42</v>
      </c>
      <c r="G904" s="35">
        <v>52410.36</v>
      </c>
      <c r="I904" s="36">
        <f t="shared" si="28"/>
        <v>1.1379523360544042E-4</v>
      </c>
      <c r="J904" s="36">
        <f t="shared" si="29"/>
        <v>5.5555555555555358E-3</v>
      </c>
    </row>
    <row r="905" spans="5:10">
      <c r="E905" s="34">
        <v>45518</v>
      </c>
      <c r="F905" s="1">
        <v>1230.3599999999999</v>
      </c>
      <c r="G905" s="35">
        <v>53761.64</v>
      </c>
      <c r="I905" s="36">
        <f t="shared" si="28"/>
        <v>-4.8763836738796584E-5</v>
      </c>
      <c r="J905" s="36">
        <f t="shared" si="29"/>
        <v>2.5782688766114115E-2</v>
      </c>
    </row>
    <row r="906" spans="5:10">
      <c r="E906" s="34">
        <v>45519</v>
      </c>
      <c r="F906" s="1">
        <v>1223.56</v>
      </c>
      <c r="G906" s="35">
        <v>53761.64</v>
      </c>
      <c r="I906" s="36">
        <f t="shared" si="28"/>
        <v>-5.5268376735264635E-3</v>
      </c>
      <c r="J906" s="36">
        <f t="shared" si="29"/>
        <v>0</v>
      </c>
    </row>
    <row r="907" spans="5:10">
      <c r="E907" s="34">
        <v>45520</v>
      </c>
      <c r="F907" s="1">
        <v>1252.23</v>
      </c>
      <c r="G907" s="35">
        <v>54340.76</v>
      </c>
      <c r="I907" s="36">
        <f t="shared" si="28"/>
        <v>2.3431625747817986E-2</v>
      </c>
      <c r="J907" s="36">
        <f t="shared" si="29"/>
        <v>1.0771992818671583E-2</v>
      </c>
    </row>
    <row r="908" spans="5:10">
      <c r="E908" s="34">
        <v>45523</v>
      </c>
      <c r="F908" s="1">
        <v>1261.6199999999999</v>
      </c>
      <c r="G908" s="35">
        <v>55788.56</v>
      </c>
      <c r="I908" s="36">
        <f t="shared" si="28"/>
        <v>7.4986224575357419E-3</v>
      </c>
      <c r="J908" s="36">
        <f t="shared" si="29"/>
        <v>2.6642984014209503E-2</v>
      </c>
    </row>
    <row r="909" spans="5:10">
      <c r="E909" s="34">
        <v>45524</v>
      </c>
      <c r="F909" s="1">
        <v>1272.55</v>
      </c>
      <c r="G909" s="35">
        <v>55981.599999999999</v>
      </c>
      <c r="I909" s="36">
        <f t="shared" si="28"/>
        <v>8.6634644346159639E-3</v>
      </c>
      <c r="J909" s="36">
        <f t="shared" si="29"/>
        <v>3.4602076124568004E-3</v>
      </c>
    </row>
    <row r="910" spans="5:10">
      <c r="E910" s="34">
        <v>45525</v>
      </c>
      <c r="F910" s="1">
        <v>1284.05</v>
      </c>
      <c r="G910" s="35">
        <v>55402.48</v>
      </c>
      <c r="I910" s="36">
        <f t="shared" si="28"/>
        <v>9.0369730069546073E-3</v>
      </c>
      <c r="J910" s="36">
        <f t="shared" si="29"/>
        <v>-1.0344827586206806E-2</v>
      </c>
    </row>
    <row r="911" spans="5:10">
      <c r="E911" s="34">
        <v>45526</v>
      </c>
      <c r="F911" s="1">
        <v>1282.78</v>
      </c>
      <c r="G911" s="35">
        <v>55016.4</v>
      </c>
      <c r="I911" s="36">
        <f t="shared" si="28"/>
        <v>-9.8905805848681361E-4</v>
      </c>
      <c r="J911" s="36">
        <f t="shared" si="29"/>
        <v>-6.9686411149826322E-3</v>
      </c>
    </row>
    <row r="912" spans="5:10">
      <c r="E912" s="34">
        <v>45527</v>
      </c>
      <c r="F912" s="1">
        <v>1285.32</v>
      </c>
      <c r="G912" s="35">
        <v>54919.88</v>
      </c>
      <c r="I912" s="36">
        <f t="shared" si="28"/>
        <v>1.9800745256395302E-3</v>
      </c>
      <c r="J912" s="36">
        <f t="shared" si="29"/>
        <v>-1.7543859649123972E-3</v>
      </c>
    </row>
    <row r="913" spans="5:10">
      <c r="E913" s="34">
        <v>45530</v>
      </c>
      <c r="F913" s="1">
        <v>1280.02</v>
      </c>
      <c r="G913" s="35">
        <v>54726.84</v>
      </c>
      <c r="I913" s="36">
        <f t="shared" si="28"/>
        <v>-4.123486758161321E-3</v>
      </c>
      <c r="J913" s="36">
        <f t="shared" si="29"/>
        <v>-3.5149384885764245E-3</v>
      </c>
    </row>
    <row r="914" spans="5:10">
      <c r="E914" s="34">
        <v>45531</v>
      </c>
      <c r="F914" s="1">
        <v>1280.56</v>
      </c>
      <c r="G914" s="35">
        <v>55016.4</v>
      </c>
      <c r="I914" s="36">
        <f t="shared" si="28"/>
        <v>4.2186840830615857E-4</v>
      </c>
      <c r="J914" s="36">
        <f t="shared" si="29"/>
        <v>5.2910052910053462E-3</v>
      </c>
    </row>
    <row r="915" spans="5:10">
      <c r="E915" s="34">
        <v>45532</v>
      </c>
      <c r="F915" s="1">
        <v>1281.44</v>
      </c>
      <c r="G915" s="35">
        <v>55402.48</v>
      </c>
      <c r="I915" s="36">
        <f t="shared" si="28"/>
        <v>6.8719935028438428E-4</v>
      </c>
      <c r="J915" s="36">
        <f t="shared" si="29"/>
        <v>7.0175438596491446E-3</v>
      </c>
    </row>
    <row r="916" spans="5:10">
      <c r="E916" s="34">
        <v>45533</v>
      </c>
      <c r="F916" s="1">
        <v>1281.47</v>
      </c>
      <c r="G916" s="35">
        <v>55402.48</v>
      </c>
      <c r="I916" s="36">
        <f t="shared" si="28"/>
        <v>2.341116244219954E-5</v>
      </c>
      <c r="J916" s="36">
        <f t="shared" si="29"/>
        <v>0</v>
      </c>
    </row>
    <row r="917" spans="5:10">
      <c r="E917" s="34">
        <v>45534</v>
      </c>
      <c r="F917" s="1">
        <v>1283.8699999999999</v>
      </c>
      <c r="G917" s="35">
        <v>55499</v>
      </c>
      <c r="I917" s="36">
        <f t="shared" si="28"/>
        <v>1.8728491498043454E-3</v>
      </c>
      <c r="J917" s="36">
        <f t="shared" si="29"/>
        <v>1.7421602787455193E-3</v>
      </c>
    </row>
    <row r="918" spans="5:10">
      <c r="E918" s="34">
        <v>45539</v>
      </c>
      <c r="F918" s="1">
        <v>1275.8</v>
      </c>
      <c r="G918" s="35">
        <v>55209.440000000002</v>
      </c>
      <c r="I918" s="36">
        <f t="shared" si="28"/>
        <v>-6.2856831299118454E-3</v>
      </c>
      <c r="J918" s="36">
        <f t="shared" si="29"/>
        <v>-5.2173913043477294E-3</v>
      </c>
    </row>
    <row r="919" spans="5:10">
      <c r="E919" s="34">
        <v>45540</v>
      </c>
      <c r="F919" s="1">
        <v>1268.21</v>
      </c>
      <c r="G919" s="35">
        <v>55016.4</v>
      </c>
      <c r="I919" s="36">
        <f t="shared" si="28"/>
        <v>-5.9492083398651197E-3</v>
      </c>
      <c r="J919" s="36">
        <f t="shared" si="29"/>
        <v>-3.4965034965035446E-3</v>
      </c>
    </row>
    <row r="920" spans="5:10">
      <c r="E920" s="34">
        <v>45541</v>
      </c>
      <c r="F920" s="1">
        <v>1273.96</v>
      </c>
      <c r="G920" s="35">
        <v>54726.84</v>
      </c>
      <c r="I920" s="36">
        <f t="shared" si="28"/>
        <v>4.533949424779804E-3</v>
      </c>
      <c r="J920" s="36">
        <f t="shared" si="29"/>
        <v>-5.2631578947369695E-3</v>
      </c>
    </row>
    <row r="921" spans="5:10">
      <c r="E921" s="34">
        <v>45544</v>
      </c>
      <c r="F921" s="1">
        <v>1267.73</v>
      </c>
      <c r="G921" s="35">
        <v>54244.24</v>
      </c>
      <c r="I921" s="36">
        <f t="shared" si="28"/>
        <v>-4.89026343056298E-3</v>
      </c>
      <c r="J921" s="36">
        <f t="shared" si="29"/>
        <v>-8.818342151675429E-3</v>
      </c>
    </row>
    <row r="922" spans="5:10">
      <c r="E922" s="34">
        <v>45545</v>
      </c>
      <c r="F922" s="1">
        <v>1255.23</v>
      </c>
      <c r="G922" s="35">
        <v>53375.56</v>
      </c>
      <c r="I922" s="36">
        <f t="shared" si="28"/>
        <v>-9.8601437214549392E-3</v>
      </c>
      <c r="J922" s="36">
        <f t="shared" si="29"/>
        <v>-1.6014234875444844E-2</v>
      </c>
    </row>
    <row r="923" spans="5:10">
      <c r="E923" s="34">
        <v>45546</v>
      </c>
      <c r="F923" s="1">
        <v>1253.27</v>
      </c>
      <c r="G923" s="35">
        <v>53472.08</v>
      </c>
      <c r="I923" s="36">
        <f t="shared" si="28"/>
        <v>-1.5614668228133288E-3</v>
      </c>
      <c r="J923" s="36">
        <f t="shared" si="29"/>
        <v>1.8083182640145079E-3</v>
      </c>
    </row>
    <row r="924" spans="5:10">
      <c r="E924" s="34">
        <v>45547</v>
      </c>
      <c r="F924" s="1">
        <v>1256.3499999999999</v>
      </c>
      <c r="G924" s="35">
        <v>53472.08</v>
      </c>
      <c r="I924" s="36">
        <f t="shared" si="28"/>
        <v>2.4575709942789015E-3</v>
      </c>
      <c r="J924" s="36">
        <f t="shared" si="29"/>
        <v>0</v>
      </c>
    </row>
    <row r="925" spans="5:10">
      <c r="E925" s="34">
        <v>45548</v>
      </c>
      <c r="F925" s="1">
        <v>1251.71</v>
      </c>
      <c r="G925" s="35">
        <v>54147.72</v>
      </c>
      <c r="I925" s="36">
        <f t="shared" si="28"/>
        <v>-3.693238349186001E-3</v>
      </c>
      <c r="J925" s="36">
        <f t="shared" si="29"/>
        <v>1.2635379061371799E-2</v>
      </c>
    </row>
    <row r="926" spans="5:10">
      <c r="E926" s="34">
        <v>45551</v>
      </c>
      <c r="F926" s="1">
        <v>1239.26</v>
      </c>
      <c r="G926" s="35">
        <v>53858.16</v>
      </c>
      <c r="I926" s="36">
        <f t="shared" si="28"/>
        <v>-9.9463933339192234E-3</v>
      </c>
      <c r="J926" s="36">
        <f t="shared" si="29"/>
        <v>-5.3475935828876109E-3</v>
      </c>
    </row>
    <row r="927" spans="5:10">
      <c r="E927" s="34">
        <v>45552</v>
      </c>
      <c r="F927" s="1">
        <v>1258.95</v>
      </c>
      <c r="G927" s="35">
        <v>54533.8</v>
      </c>
      <c r="I927" s="36">
        <f t="shared" si="28"/>
        <v>1.5888514113261198E-2</v>
      </c>
      <c r="J927" s="36">
        <f t="shared" si="29"/>
        <v>1.2544802867383575E-2</v>
      </c>
    </row>
    <row r="928" spans="5:10">
      <c r="E928" s="34">
        <v>45553</v>
      </c>
      <c r="F928" s="1">
        <v>1264.9000000000001</v>
      </c>
      <c r="G928" s="35">
        <v>54147.72</v>
      </c>
      <c r="I928" s="36">
        <f t="shared" si="28"/>
        <v>4.7261606894635211E-3</v>
      </c>
      <c r="J928" s="36">
        <f t="shared" si="29"/>
        <v>-7.0796460176991705E-3</v>
      </c>
    </row>
    <row r="929" spans="5:10">
      <c r="E929" s="34">
        <v>45554</v>
      </c>
      <c r="F929" s="1">
        <v>1271.27</v>
      </c>
      <c r="G929" s="35">
        <v>54533.8</v>
      </c>
      <c r="I929" s="36">
        <f t="shared" si="28"/>
        <v>5.0359712230214626E-3</v>
      </c>
      <c r="J929" s="36">
        <f t="shared" si="29"/>
        <v>7.1301247771835552E-3</v>
      </c>
    </row>
    <row r="930" spans="5:10">
      <c r="E930" s="34">
        <v>45555</v>
      </c>
      <c r="F930" s="1">
        <v>1272.04</v>
      </c>
      <c r="G930" s="35">
        <v>55402.48</v>
      </c>
      <c r="I930" s="36">
        <f t="shared" si="28"/>
        <v>6.0569351907924229E-4</v>
      </c>
      <c r="J930" s="36">
        <f t="shared" si="29"/>
        <v>1.5929203539823078E-2</v>
      </c>
    </row>
    <row r="931" spans="5:10">
      <c r="E931" s="34">
        <v>45558</v>
      </c>
      <c r="F931" s="1">
        <v>1268.48</v>
      </c>
      <c r="G931" s="35">
        <v>55402.48</v>
      </c>
      <c r="I931" s="36">
        <f t="shared" si="28"/>
        <v>-2.7986541303731682E-3</v>
      </c>
      <c r="J931" s="36">
        <f t="shared" si="29"/>
        <v>0</v>
      </c>
    </row>
    <row r="932" spans="5:10">
      <c r="E932" s="34">
        <v>45559</v>
      </c>
      <c r="F932" s="1">
        <v>1276.99</v>
      </c>
      <c r="G932" s="35">
        <v>55499</v>
      </c>
      <c r="I932" s="36">
        <f t="shared" si="28"/>
        <v>6.7088168516649116E-3</v>
      </c>
      <c r="J932" s="36">
        <f t="shared" si="29"/>
        <v>1.7421602787455193E-3</v>
      </c>
    </row>
    <row r="933" spans="5:10">
      <c r="E933" s="34">
        <v>45560</v>
      </c>
      <c r="F933" s="1">
        <v>1287.48</v>
      </c>
      <c r="G933" s="35">
        <v>55402.48</v>
      </c>
      <c r="I933" s="36">
        <f t="shared" si="28"/>
        <v>8.2146297151897141E-3</v>
      </c>
      <c r="J933" s="36">
        <f t="shared" si="29"/>
        <v>-1.7391304347825765E-3</v>
      </c>
    </row>
    <row r="934" spans="5:10">
      <c r="E934" s="34">
        <v>45561</v>
      </c>
      <c r="F934" s="1">
        <v>1291.49</v>
      </c>
      <c r="G934" s="35">
        <v>56078.12</v>
      </c>
      <c r="I934" s="36">
        <f t="shared" si="28"/>
        <v>3.1146114891105192E-3</v>
      </c>
      <c r="J934" s="36">
        <f t="shared" si="29"/>
        <v>1.2195121951219523E-2</v>
      </c>
    </row>
    <row r="935" spans="5:10">
      <c r="E935" s="34">
        <v>45562</v>
      </c>
      <c r="F935" s="1">
        <v>1290.92</v>
      </c>
      <c r="G935" s="35">
        <v>56464.2</v>
      </c>
      <c r="I935" s="36">
        <f t="shared" si="28"/>
        <v>-4.413506879650253E-4</v>
      </c>
      <c r="J935" s="36">
        <f t="shared" si="29"/>
        <v>6.8846815834766595E-3</v>
      </c>
    </row>
    <row r="936" spans="5:10">
      <c r="E936" s="34">
        <v>45565</v>
      </c>
      <c r="F936" s="1">
        <v>1287.94</v>
      </c>
      <c r="G936" s="35">
        <v>55788.56</v>
      </c>
      <c r="I936" s="36">
        <f t="shared" si="28"/>
        <v>-2.3084311963561532E-3</v>
      </c>
      <c r="J936" s="36">
        <f t="shared" si="29"/>
        <v>-1.1965811965811923E-2</v>
      </c>
    </row>
    <row r="937" spans="5:10">
      <c r="E937" s="34">
        <v>45566</v>
      </c>
      <c r="F937" s="1">
        <v>1292.2</v>
      </c>
      <c r="G937" s="35">
        <v>55788.56</v>
      </c>
      <c r="I937" s="36">
        <f t="shared" si="28"/>
        <v>3.3076074972435698E-3</v>
      </c>
      <c r="J937" s="36">
        <f t="shared" si="29"/>
        <v>0</v>
      </c>
    </row>
    <row r="938" spans="5:10">
      <c r="E938" s="34">
        <v>45567</v>
      </c>
      <c r="F938" s="1">
        <v>1287.8399999999999</v>
      </c>
      <c r="G938" s="35">
        <v>54919.88</v>
      </c>
      <c r="I938" s="36">
        <f t="shared" si="28"/>
        <v>-3.3740906980344043E-3</v>
      </c>
      <c r="J938" s="36">
        <f t="shared" si="29"/>
        <v>-1.557093425605538E-2</v>
      </c>
    </row>
    <row r="939" spans="5:10">
      <c r="E939" s="34">
        <v>45568</v>
      </c>
      <c r="F939" s="1">
        <v>1278.0999999999999</v>
      </c>
      <c r="G939" s="35">
        <v>54823.360000000001</v>
      </c>
      <c r="I939" s="36">
        <f t="shared" si="28"/>
        <v>-7.56305131072188E-3</v>
      </c>
      <c r="J939" s="36">
        <f t="shared" si="29"/>
        <v>-1.7574692442882123E-3</v>
      </c>
    </row>
    <row r="940" spans="5:10">
      <c r="E940" s="34">
        <v>45569</v>
      </c>
      <c r="F940" s="1">
        <v>1270.5999999999999</v>
      </c>
      <c r="G940" s="35">
        <v>54630.32</v>
      </c>
      <c r="I940" s="36">
        <f t="shared" si="28"/>
        <v>-5.8680854393240445E-3</v>
      </c>
      <c r="J940" s="36">
        <f t="shared" si="29"/>
        <v>-3.5211267605633756E-3</v>
      </c>
    </row>
    <row r="941" spans="5:10">
      <c r="E941" s="34">
        <v>45572</v>
      </c>
      <c r="F941" s="1">
        <v>1269.93</v>
      </c>
      <c r="G941" s="35">
        <v>54726.84</v>
      </c>
      <c r="I941" s="36">
        <f t="shared" si="28"/>
        <v>-5.2730993231531187E-4</v>
      </c>
      <c r="J941" s="36">
        <f t="shared" si="29"/>
        <v>1.7667844522968323E-3</v>
      </c>
    </row>
    <row r="942" spans="5:10">
      <c r="E942" s="34">
        <v>45573</v>
      </c>
      <c r="F942" s="1">
        <v>1271.98</v>
      </c>
      <c r="G942" s="35">
        <v>54340.76</v>
      </c>
      <c r="I942" s="36">
        <f t="shared" si="28"/>
        <v>1.6142622034285292E-3</v>
      </c>
      <c r="J942" s="36">
        <f t="shared" si="29"/>
        <v>-7.0546737213402766E-3</v>
      </c>
    </row>
    <row r="943" spans="5:10">
      <c r="E943" s="34">
        <v>45574</v>
      </c>
      <c r="F943" s="1">
        <v>1281.8499999999999</v>
      </c>
      <c r="G943" s="35">
        <v>54437.279999999999</v>
      </c>
      <c r="I943" s="36">
        <f t="shared" si="28"/>
        <v>7.7595559678611536E-3</v>
      </c>
      <c r="J943" s="36">
        <f t="shared" si="29"/>
        <v>1.7761989342806039E-3</v>
      </c>
    </row>
    <row r="944" spans="5:10">
      <c r="E944" s="34">
        <v>45575</v>
      </c>
      <c r="F944" s="1">
        <v>1286.3599999999999</v>
      </c>
      <c r="G944" s="35">
        <v>55692.04</v>
      </c>
      <c r="I944" s="36">
        <f t="shared" si="28"/>
        <v>3.5183523813238082E-3</v>
      </c>
      <c r="J944" s="36">
        <f t="shared" si="29"/>
        <v>2.3049645390071039E-2</v>
      </c>
    </row>
    <row r="945" spans="5:10">
      <c r="E945" s="34">
        <v>45576</v>
      </c>
      <c r="F945" s="1">
        <v>1288.3900000000001</v>
      </c>
      <c r="G945" s="35">
        <v>55499</v>
      </c>
      <c r="I945" s="36">
        <f t="shared" si="28"/>
        <v>1.5780963338414278E-3</v>
      </c>
      <c r="J945" s="36">
        <f t="shared" si="29"/>
        <v>-3.4662045060658286E-3</v>
      </c>
    </row>
    <row r="946" spans="5:10">
      <c r="E946" s="34">
        <v>45579</v>
      </c>
      <c r="F946" s="1">
        <v>1286.3399999999999</v>
      </c>
      <c r="G946" s="35">
        <v>55209.440000000002</v>
      </c>
      <c r="I946" s="36">
        <f t="shared" si="28"/>
        <v>-1.591133119630106E-3</v>
      </c>
      <c r="J946" s="36">
        <f t="shared" si="29"/>
        <v>-5.2173913043477294E-3</v>
      </c>
    </row>
    <row r="947" spans="5:10">
      <c r="E947" s="34">
        <v>45580</v>
      </c>
      <c r="F947" s="1">
        <v>1281.08</v>
      </c>
      <c r="G947" s="35">
        <v>55112.92</v>
      </c>
      <c r="I947" s="36">
        <f t="shared" si="28"/>
        <v>-4.0891210721892834E-3</v>
      </c>
      <c r="J947" s="36">
        <f t="shared" si="29"/>
        <v>-1.7482517482517723E-3</v>
      </c>
    </row>
    <row r="948" spans="5:10">
      <c r="E948" s="34">
        <v>45581</v>
      </c>
      <c r="F948" s="1">
        <v>1279.48</v>
      </c>
      <c r="G948" s="35">
        <v>55788.56</v>
      </c>
      <c r="I948" s="36">
        <f t="shared" si="28"/>
        <v>-1.248946201642287E-3</v>
      </c>
      <c r="J948" s="36">
        <f t="shared" si="29"/>
        <v>1.2259194395796813E-2</v>
      </c>
    </row>
    <row r="949" spans="5:10">
      <c r="E949" s="34">
        <v>45582</v>
      </c>
      <c r="F949" s="1">
        <v>1286.52</v>
      </c>
      <c r="G949" s="35">
        <v>55305.96</v>
      </c>
      <c r="I949" s="36">
        <f t="shared" si="28"/>
        <v>5.5022352830838006E-3</v>
      </c>
      <c r="J949" s="36">
        <f t="shared" si="29"/>
        <v>-8.65051903114189E-3</v>
      </c>
    </row>
    <row r="950" spans="5:10">
      <c r="E950" s="34">
        <v>45583</v>
      </c>
      <c r="F950" s="1">
        <v>1285.46</v>
      </c>
      <c r="G950" s="35">
        <v>55402.48</v>
      </c>
      <c r="I950" s="36">
        <f t="shared" si="28"/>
        <v>-8.2392811615827899E-4</v>
      </c>
      <c r="J950" s="36">
        <f t="shared" si="29"/>
        <v>1.7452006980802626E-3</v>
      </c>
    </row>
    <row r="951" spans="5:10">
      <c r="E951" s="34">
        <v>45586</v>
      </c>
      <c r="F951" s="1">
        <v>1279.77</v>
      </c>
      <c r="G951" s="35">
        <v>54630.32</v>
      </c>
      <c r="I951" s="36">
        <f t="shared" si="28"/>
        <v>-4.4264310052433142E-3</v>
      </c>
      <c r="J951" s="36">
        <f t="shared" si="29"/>
        <v>-1.3937282229965264E-2</v>
      </c>
    </row>
    <row r="952" spans="5:10">
      <c r="E952" s="34">
        <v>45587</v>
      </c>
      <c r="F952" s="1">
        <v>1269.8900000000001</v>
      </c>
      <c r="G952" s="35">
        <v>54051.199999999997</v>
      </c>
      <c r="I952" s="36">
        <f t="shared" si="28"/>
        <v>-7.7201372121552536E-3</v>
      </c>
      <c r="J952" s="36">
        <f t="shared" si="29"/>
        <v>-1.0600706713780994E-2</v>
      </c>
    </row>
    <row r="953" spans="5:10">
      <c r="E953" s="34">
        <v>45588</v>
      </c>
      <c r="F953" s="1">
        <v>1270.9000000000001</v>
      </c>
      <c r="G953" s="35">
        <v>54051.199999999997</v>
      </c>
      <c r="I953" s="36">
        <f t="shared" si="28"/>
        <v>7.9534447865570179E-4</v>
      </c>
      <c r="J953" s="36">
        <f t="shared" si="29"/>
        <v>0</v>
      </c>
    </row>
    <row r="954" spans="5:10">
      <c r="E954" s="34">
        <v>45589</v>
      </c>
      <c r="F954" s="1">
        <v>1257.4100000000001</v>
      </c>
      <c r="G954" s="35">
        <v>53954.68</v>
      </c>
      <c r="I954" s="36">
        <f t="shared" si="28"/>
        <v>-1.0614525139664766E-2</v>
      </c>
      <c r="J954" s="36">
        <f t="shared" si="29"/>
        <v>-1.7857142857142794E-3</v>
      </c>
    </row>
    <row r="955" spans="5:10">
      <c r="E955" s="34">
        <v>45590</v>
      </c>
      <c r="F955" s="1">
        <v>1252.72</v>
      </c>
      <c r="G955" s="35">
        <v>53568.6</v>
      </c>
      <c r="I955" s="36">
        <f t="shared" si="28"/>
        <v>-3.7298892167233477E-3</v>
      </c>
      <c r="J955" s="36">
        <f t="shared" si="29"/>
        <v>-7.1556350626118537E-3</v>
      </c>
    </row>
    <row r="956" spans="5:10">
      <c r="E956" s="34">
        <v>45593</v>
      </c>
      <c r="F956" s="1">
        <v>1254.77</v>
      </c>
      <c r="G956" s="35">
        <v>53568.6</v>
      </c>
      <c r="I956" s="36">
        <f t="shared" si="28"/>
        <v>1.6364391084999763E-3</v>
      </c>
      <c r="J956" s="36">
        <f t="shared" si="29"/>
        <v>0</v>
      </c>
    </row>
    <row r="957" spans="5:10">
      <c r="E957" s="34">
        <v>45594</v>
      </c>
      <c r="F957" s="1">
        <v>1261.78</v>
      </c>
      <c r="G957" s="35">
        <v>53472.08</v>
      </c>
      <c r="I957" s="36">
        <f t="shared" si="28"/>
        <v>5.5866812244476094E-3</v>
      </c>
      <c r="J957" s="36">
        <f t="shared" si="29"/>
        <v>-1.8018018018017834E-3</v>
      </c>
    </row>
    <row r="958" spans="5:10">
      <c r="E958" s="34">
        <v>45595</v>
      </c>
      <c r="F958" s="1">
        <v>1258.6300000000001</v>
      </c>
      <c r="G958" s="35">
        <v>53279.040000000001</v>
      </c>
      <c r="I958" s="36">
        <f t="shared" si="28"/>
        <v>-2.4964732362217079E-3</v>
      </c>
      <c r="J958" s="36">
        <f t="shared" si="29"/>
        <v>-3.6101083032491488E-3</v>
      </c>
    </row>
    <row r="959" spans="5:10">
      <c r="E959" s="34">
        <v>45596</v>
      </c>
      <c r="F959" s="1">
        <v>1264.48</v>
      </c>
      <c r="G959" s="35">
        <v>53279.040000000001</v>
      </c>
      <c r="I959" s="36">
        <f t="shared" si="28"/>
        <v>4.6479108236732181E-3</v>
      </c>
      <c r="J959" s="36">
        <f t="shared" si="29"/>
        <v>0</v>
      </c>
    </row>
    <row r="960" spans="5:10">
      <c r="E960" s="34">
        <v>45597</v>
      </c>
      <c r="F960" s="1">
        <v>1254.8900000000001</v>
      </c>
      <c r="G960" s="35">
        <v>53375.56</v>
      </c>
      <c r="I960" s="36">
        <f t="shared" si="28"/>
        <v>-7.5841452612931404E-3</v>
      </c>
      <c r="J960" s="36">
        <f t="shared" si="29"/>
        <v>1.8115942028984477E-3</v>
      </c>
    </row>
    <row r="961" spans="5:10">
      <c r="E961" s="34">
        <v>45600</v>
      </c>
      <c r="F961" s="1">
        <v>1244.71</v>
      </c>
      <c r="G961" s="35">
        <v>53568.6</v>
      </c>
      <c r="I961" s="36">
        <f t="shared" si="28"/>
        <v>-8.1122648200241398E-3</v>
      </c>
      <c r="J961" s="36">
        <f t="shared" si="29"/>
        <v>3.6166365280290158E-3</v>
      </c>
    </row>
    <row r="962" spans="5:10">
      <c r="E962" s="34">
        <v>45601</v>
      </c>
      <c r="F962" s="1">
        <v>1245.76</v>
      </c>
      <c r="G962" s="35">
        <v>53568.6</v>
      </c>
      <c r="I962" s="36">
        <f t="shared" si="28"/>
        <v>8.4356998818990725E-4</v>
      </c>
      <c r="J962" s="36">
        <f t="shared" si="29"/>
        <v>0</v>
      </c>
    </row>
    <row r="963" spans="5:10">
      <c r="E963" s="34">
        <v>45602</v>
      </c>
      <c r="F963" s="1">
        <v>1261.28</v>
      </c>
      <c r="G963" s="35">
        <v>53858.16</v>
      </c>
      <c r="I963" s="36">
        <f t="shared" si="28"/>
        <v>1.2458258412535228E-2</v>
      </c>
      <c r="J963" s="36">
        <f t="shared" si="29"/>
        <v>5.4054054054055722E-3</v>
      </c>
    </row>
    <row r="964" spans="5:10">
      <c r="E964" s="34">
        <v>45603</v>
      </c>
      <c r="F964" s="1">
        <v>1259.75</v>
      </c>
      <c r="G964" s="35">
        <v>53665.120000000003</v>
      </c>
      <c r="I964" s="36">
        <f t="shared" si="28"/>
        <v>-1.2130534060637022E-3</v>
      </c>
      <c r="J964" s="36">
        <f t="shared" si="29"/>
        <v>-3.5842293906810374E-3</v>
      </c>
    </row>
    <row r="965" spans="5:10">
      <c r="E965" s="34">
        <v>45604</v>
      </c>
      <c r="F965" s="1">
        <v>1252.56</v>
      </c>
      <c r="G965" s="35">
        <v>53279.040000000001</v>
      </c>
      <c r="I965" s="36">
        <f t="shared" si="28"/>
        <v>-5.7074816431832431E-3</v>
      </c>
      <c r="J965" s="36">
        <f t="shared" si="29"/>
        <v>-7.1942446043166131E-3</v>
      </c>
    </row>
    <row r="966" spans="5:10">
      <c r="E966" s="34">
        <v>45607</v>
      </c>
      <c r="F966" s="1">
        <v>1250.32</v>
      </c>
      <c r="G966" s="35">
        <v>53375.56</v>
      </c>
      <c r="I966" s="36">
        <f t="shared" si="28"/>
        <v>-1.7883374848310929E-3</v>
      </c>
      <c r="J966" s="36">
        <f t="shared" si="29"/>
        <v>1.8115942028984477E-3</v>
      </c>
    </row>
    <row r="967" spans="5:10">
      <c r="E967" s="34">
        <v>45608</v>
      </c>
      <c r="F967" s="1">
        <v>1244.82</v>
      </c>
      <c r="G967" s="35">
        <v>54630.32</v>
      </c>
      <c r="I967" s="36">
        <f t="shared" ref="I967:I1030" si="30">F967/F966-1</f>
        <v>-4.3988738882846379E-3</v>
      </c>
      <c r="J967" s="36">
        <f t="shared" ref="J967:J1030" si="31">G967/G966-1</f>
        <v>2.3508137432188159E-2</v>
      </c>
    </row>
    <row r="968" spans="5:10">
      <c r="E968" s="34">
        <v>45609</v>
      </c>
      <c r="F968" s="1">
        <v>1246.04</v>
      </c>
      <c r="G968" s="35">
        <v>54823.360000000001</v>
      </c>
      <c r="I968" s="36">
        <f t="shared" si="30"/>
        <v>9.8006137433537255E-4</v>
      </c>
      <c r="J968" s="36">
        <f t="shared" si="31"/>
        <v>3.5335689045936647E-3</v>
      </c>
    </row>
    <row r="969" spans="5:10">
      <c r="E969" s="34">
        <v>45610</v>
      </c>
      <c r="F969" s="1">
        <v>1231.8900000000001</v>
      </c>
      <c r="G969" s="35">
        <v>54147.72</v>
      </c>
      <c r="I969" s="36">
        <f t="shared" si="30"/>
        <v>-1.1355975731116019E-2</v>
      </c>
      <c r="J969" s="36">
        <f t="shared" si="31"/>
        <v>-1.232394366197187E-2</v>
      </c>
    </row>
    <row r="970" spans="5:10">
      <c r="E970" s="34">
        <v>45611</v>
      </c>
      <c r="F970" s="1">
        <v>1218.57</v>
      </c>
      <c r="G970" s="35">
        <v>53568.6</v>
      </c>
      <c r="I970" s="36">
        <f t="shared" si="30"/>
        <v>-1.081265372719975E-2</v>
      </c>
      <c r="J970" s="36">
        <f t="shared" si="31"/>
        <v>-1.0695187165775444E-2</v>
      </c>
    </row>
    <row r="971" spans="5:10">
      <c r="E971" s="34">
        <v>45614</v>
      </c>
      <c r="F971" s="1">
        <v>1217.1199999999999</v>
      </c>
      <c r="G971" s="35">
        <v>53568.6</v>
      </c>
      <c r="I971" s="36">
        <f t="shared" si="30"/>
        <v>-1.1899193316756707E-3</v>
      </c>
      <c r="J971" s="36">
        <f t="shared" si="31"/>
        <v>0</v>
      </c>
    </row>
    <row r="972" spans="5:10">
      <c r="E972" s="34">
        <v>45615</v>
      </c>
      <c r="F972" s="1">
        <v>1205.1500000000001</v>
      </c>
      <c r="G972" s="35">
        <v>53086</v>
      </c>
      <c r="I972" s="36">
        <f t="shared" si="30"/>
        <v>-9.834691731299916E-3</v>
      </c>
      <c r="J972" s="36">
        <f t="shared" si="31"/>
        <v>-9.009009009009028E-3</v>
      </c>
    </row>
    <row r="973" spans="5:10">
      <c r="E973" s="34">
        <v>45616</v>
      </c>
      <c r="F973" s="1">
        <v>1216.54</v>
      </c>
      <c r="G973" s="35">
        <v>53568.6</v>
      </c>
      <c r="I973" s="36">
        <f t="shared" si="30"/>
        <v>9.4511056714929875E-3</v>
      </c>
      <c r="J973" s="36">
        <f t="shared" si="31"/>
        <v>9.0909090909090384E-3</v>
      </c>
    </row>
    <row r="974" spans="5:10">
      <c r="E974" s="34">
        <v>45617</v>
      </c>
      <c r="F974" s="1">
        <v>1228.33</v>
      </c>
      <c r="G974" s="35">
        <v>53375.56</v>
      </c>
      <c r="I974" s="36">
        <f t="shared" si="30"/>
        <v>9.6914199286499692E-3</v>
      </c>
      <c r="J974" s="36">
        <f t="shared" si="31"/>
        <v>-3.6036036036035668E-3</v>
      </c>
    </row>
    <row r="975" spans="5:10">
      <c r="E975" s="34">
        <v>45618</v>
      </c>
      <c r="F975" s="1">
        <v>1228.0999999999999</v>
      </c>
      <c r="G975" s="35">
        <v>53472.08</v>
      </c>
      <c r="I975" s="36">
        <f t="shared" si="30"/>
        <v>-1.8724609836118233E-4</v>
      </c>
      <c r="J975" s="36">
        <f t="shared" si="31"/>
        <v>1.8083182640145079E-3</v>
      </c>
    </row>
    <row r="976" spans="5:10">
      <c r="E976" s="34">
        <v>45621</v>
      </c>
      <c r="F976" s="1">
        <v>1234.7</v>
      </c>
      <c r="G976" s="35">
        <v>53568.6</v>
      </c>
      <c r="I976" s="36">
        <f t="shared" si="30"/>
        <v>5.3741551990882375E-3</v>
      </c>
      <c r="J976" s="36">
        <f t="shared" si="31"/>
        <v>1.8050541516245744E-3</v>
      </c>
    </row>
    <row r="977" spans="5:10">
      <c r="E977" s="34">
        <v>45622</v>
      </c>
      <c r="F977" s="1">
        <v>1242.1300000000001</v>
      </c>
      <c r="G977" s="35">
        <v>54147.72</v>
      </c>
      <c r="I977" s="36">
        <f t="shared" si="30"/>
        <v>6.0176561107962989E-3</v>
      </c>
      <c r="J977" s="36">
        <f t="shared" si="31"/>
        <v>1.0810810810810922E-2</v>
      </c>
    </row>
    <row r="978" spans="5:10">
      <c r="E978" s="34">
        <v>45623</v>
      </c>
      <c r="F978" s="1">
        <v>1241.97</v>
      </c>
      <c r="G978" s="35">
        <v>54147.72</v>
      </c>
      <c r="I978" s="36">
        <f t="shared" si="30"/>
        <v>-1.2881099401840235E-4</v>
      </c>
      <c r="J978" s="36">
        <f t="shared" si="31"/>
        <v>0</v>
      </c>
    </row>
    <row r="979" spans="5:10">
      <c r="E979" s="34">
        <v>45624</v>
      </c>
      <c r="F979" s="1">
        <v>1242.1099999999999</v>
      </c>
      <c r="G979" s="35">
        <v>53568.6</v>
      </c>
      <c r="I979" s="36">
        <f t="shared" si="30"/>
        <v>1.1272413987439833E-4</v>
      </c>
      <c r="J979" s="36">
        <f t="shared" si="31"/>
        <v>-1.0695187165775444E-2</v>
      </c>
    </row>
    <row r="980" spans="5:10">
      <c r="E980" s="34">
        <v>45625</v>
      </c>
      <c r="F980" s="1">
        <v>1250.46</v>
      </c>
      <c r="G980" s="35">
        <v>54147.72</v>
      </c>
      <c r="I980" s="36">
        <f t="shared" si="30"/>
        <v>6.7224319907255303E-3</v>
      </c>
      <c r="J980" s="36">
        <f t="shared" si="31"/>
        <v>1.0810810810810922E-2</v>
      </c>
    </row>
    <row r="981" spans="5:10">
      <c r="E981" s="34">
        <v>45628</v>
      </c>
      <c r="F981" s="1">
        <v>1251.21</v>
      </c>
      <c r="G981" s="35">
        <v>54244.24</v>
      </c>
      <c r="I981" s="36">
        <f t="shared" si="30"/>
        <v>5.9977928122445512E-4</v>
      </c>
      <c r="J981" s="36">
        <f t="shared" si="31"/>
        <v>1.7825311942958333E-3</v>
      </c>
    </row>
    <row r="982" spans="5:10">
      <c r="E982" s="34">
        <v>45629</v>
      </c>
      <c r="F982" s="1">
        <v>1249.83</v>
      </c>
      <c r="G982" s="35">
        <v>54244.24</v>
      </c>
      <c r="I982" s="36">
        <f t="shared" si="30"/>
        <v>-1.1029323614741848E-3</v>
      </c>
      <c r="J982" s="36">
        <f t="shared" si="31"/>
        <v>0</v>
      </c>
    </row>
    <row r="983" spans="5:10">
      <c r="E983" s="34">
        <v>45630</v>
      </c>
      <c r="F983" s="1">
        <v>1240.4100000000001</v>
      </c>
      <c r="G983" s="35">
        <v>55402.48</v>
      </c>
      <c r="I983" s="36">
        <f t="shared" si="30"/>
        <v>-7.5370250354046542E-3</v>
      </c>
      <c r="J983" s="36">
        <f t="shared" si="31"/>
        <v>2.135231316725994E-2</v>
      </c>
    </row>
    <row r="984" spans="5:10">
      <c r="E984" s="34">
        <v>45631</v>
      </c>
      <c r="F984" s="1">
        <v>1267.53</v>
      </c>
      <c r="G984" s="35">
        <v>55499</v>
      </c>
      <c r="I984" s="36">
        <f t="shared" si="30"/>
        <v>2.1863738602558636E-2</v>
      </c>
      <c r="J984" s="36">
        <f t="shared" si="31"/>
        <v>1.7421602787455193E-3</v>
      </c>
    </row>
    <row r="985" spans="5:10">
      <c r="E985" s="34">
        <v>45632</v>
      </c>
      <c r="F985" s="1">
        <v>1270.1400000000001</v>
      </c>
      <c r="G985" s="35">
        <v>55692.04</v>
      </c>
      <c r="I985" s="36">
        <f t="shared" si="30"/>
        <v>2.0591228609974088E-3</v>
      </c>
      <c r="J985" s="36">
        <f t="shared" si="31"/>
        <v>3.4782608695651529E-3</v>
      </c>
    </row>
    <row r="986" spans="5:10">
      <c r="E986" s="34">
        <v>45635</v>
      </c>
      <c r="F986" s="1">
        <v>1273.8399999999999</v>
      </c>
      <c r="G986" s="35">
        <v>55499</v>
      </c>
      <c r="I986" s="36">
        <f t="shared" si="30"/>
        <v>2.9130647015287447E-3</v>
      </c>
      <c r="J986" s="36">
        <f t="shared" si="31"/>
        <v>-3.4662045060658286E-3</v>
      </c>
    </row>
    <row r="987" spans="5:10">
      <c r="E987" s="34">
        <v>45636</v>
      </c>
      <c r="F987" s="1">
        <v>1272.07</v>
      </c>
      <c r="G987" s="35">
        <v>56078.12</v>
      </c>
      <c r="I987" s="36">
        <f t="shared" si="30"/>
        <v>-1.3894994661809434E-3</v>
      </c>
      <c r="J987" s="36">
        <f t="shared" si="31"/>
        <v>1.0434782608695681E-2</v>
      </c>
    </row>
    <row r="988" spans="5:10">
      <c r="E988" s="34">
        <v>45637</v>
      </c>
      <c r="F988" s="1">
        <v>1268.8599999999999</v>
      </c>
      <c r="G988" s="35">
        <v>55595.519999999997</v>
      </c>
      <c r="I988" s="36">
        <f t="shared" si="30"/>
        <v>-2.5234460367746792E-3</v>
      </c>
      <c r="J988" s="36">
        <f t="shared" si="31"/>
        <v>-8.6058519793460464E-3</v>
      </c>
    </row>
    <row r="989" spans="5:10">
      <c r="E989" s="34">
        <v>45638</v>
      </c>
      <c r="F989" s="1">
        <v>1267.3499999999999</v>
      </c>
      <c r="G989" s="35">
        <v>55499</v>
      </c>
      <c r="I989" s="36">
        <f t="shared" si="30"/>
        <v>-1.190044606970031E-3</v>
      </c>
      <c r="J989" s="36">
        <f t="shared" si="31"/>
        <v>-1.7361111111110494E-3</v>
      </c>
    </row>
    <row r="990" spans="5:10">
      <c r="E990" s="34">
        <v>45639</v>
      </c>
      <c r="F990" s="1">
        <v>1262.57</v>
      </c>
      <c r="G990" s="35">
        <v>55402.48</v>
      </c>
      <c r="I990" s="36">
        <f t="shared" si="30"/>
        <v>-3.7716495048722987E-3</v>
      </c>
      <c r="J990" s="36">
        <f t="shared" si="31"/>
        <v>-1.7391304347825765E-3</v>
      </c>
    </row>
    <row r="991" spans="5:10">
      <c r="E991" s="34">
        <v>45642</v>
      </c>
      <c r="F991" s="1">
        <v>1263.79</v>
      </c>
      <c r="G991" s="35">
        <v>55305.96</v>
      </c>
      <c r="I991" s="36">
        <f t="shared" si="30"/>
        <v>9.6628305757295863E-4</v>
      </c>
      <c r="J991" s="36">
        <f t="shared" si="31"/>
        <v>-1.7421602787457413E-3</v>
      </c>
    </row>
    <row r="992" spans="5:10">
      <c r="E992" s="34">
        <v>45643</v>
      </c>
      <c r="F992" s="1">
        <v>1261.72</v>
      </c>
      <c r="G992" s="35">
        <v>55305.96</v>
      </c>
      <c r="I992" s="36">
        <f t="shared" si="30"/>
        <v>-1.6379303523528232E-3</v>
      </c>
      <c r="J992" s="36">
        <f t="shared" si="31"/>
        <v>0</v>
      </c>
    </row>
    <row r="993" spans="5:10">
      <c r="E993" s="34">
        <v>45644</v>
      </c>
      <c r="F993" s="1">
        <v>1266</v>
      </c>
      <c r="G993" s="35">
        <v>55402.48</v>
      </c>
      <c r="I993" s="36">
        <f t="shared" si="30"/>
        <v>3.3921947817265874E-3</v>
      </c>
      <c r="J993" s="36">
        <f t="shared" si="31"/>
        <v>1.7452006980802626E-3</v>
      </c>
    </row>
    <row r="994" spans="5:10">
      <c r="E994" s="34">
        <v>45645</v>
      </c>
      <c r="F994" s="1">
        <v>1254.67</v>
      </c>
      <c r="G994" s="35">
        <v>54919.88</v>
      </c>
      <c r="I994" s="36">
        <f t="shared" si="30"/>
        <v>-8.9494470774090784E-3</v>
      </c>
      <c r="J994" s="36">
        <f t="shared" si="31"/>
        <v>-8.7108013937283735E-3</v>
      </c>
    </row>
    <row r="995" spans="5:10">
      <c r="E995" s="34">
        <v>45646</v>
      </c>
      <c r="F995" s="1">
        <v>1257.5</v>
      </c>
      <c r="G995" s="35">
        <v>54533.8</v>
      </c>
      <c r="I995" s="36">
        <f t="shared" si="30"/>
        <v>2.2555731786046973E-3</v>
      </c>
      <c r="J995" s="36">
        <f t="shared" si="31"/>
        <v>-7.0298769771528491E-3</v>
      </c>
    </row>
    <row r="996" spans="5:10">
      <c r="E996" s="34">
        <v>45649</v>
      </c>
      <c r="F996" s="1">
        <v>1262.76</v>
      </c>
      <c r="G996" s="35">
        <v>55209.440000000002</v>
      </c>
      <c r="I996" s="36">
        <f t="shared" si="30"/>
        <v>4.1829025844930534E-3</v>
      </c>
      <c r="J996" s="36">
        <f t="shared" si="31"/>
        <v>1.2389380530973382E-2</v>
      </c>
    </row>
    <row r="997" spans="5:10">
      <c r="E997" s="34">
        <v>45650</v>
      </c>
      <c r="F997" s="1">
        <v>1260.3599999999999</v>
      </c>
      <c r="G997" s="35">
        <v>55209.440000000002</v>
      </c>
      <c r="I997" s="36">
        <f t="shared" si="30"/>
        <v>-1.9005986885869408E-3</v>
      </c>
      <c r="J997" s="36">
        <f t="shared" si="31"/>
        <v>0</v>
      </c>
    </row>
    <row r="998" spans="5:10">
      <c r="E998" s="34">
        <v>45651</v>
      </c>
      <c r="F998" s="1">
        <v>1274.04</v>
      </c>
      <c r="G998" s="35">
        <v>55402.48</v>
      </c>
      <c r="I998" s="36">
        <f t="shared" si="30"/>
        <v>1.0854041702370809E-2</v>
      </c>
      <c r="J998" s="36">
        <f t="shared" si="31"/>
        <v>3.4965034965035446E-3</v>
      </c>
    </row>
    <row r="999" spans="5:10">
      <c r="E999" s="34">
        <v>45652</v>
      </c>
      <c r="F999" s="1">
        <v>1272.8699999999999</v>
      </c>
      <c r="G999">
        <v>55700</v>
      </c>
      <c r="I999" s="36">
        <f t="shared" si="30"/>
        <v>-9.1833851370448638E-4</v>
      </c>
      <c r="J999" s="36">
        <f t="shared" si="31"/>
        <v>5.3701567150061802E-3</v>
      </c>
    </row>
    <row r="1000" spans="5:10">
      <c r="E1000" s="34">
        <v>45653</v>
      </c>
      <c r="F1000" s="1">
        <v>1275.1400000000001</v>
      </c>
      <c r="G1000">
        <v>55800</v>
      </c>
      <c r="I1000" s="36">
        <f t="shared" si="30"/>
        <v>1.7833714362034403E-3</v>
      </c>
      <c r="J1000" s="36">
        <f t="shared" si="31"/>
        <v>1.7953321364452268E-3</v>
      </c>
    </row>
    <row r="1001" spans="5:10">
      <c r="E1001" s="34">
        <v>45656</v>
      </c>
      <c r="F1001" s="1">
        <v>1272.02</v>
      </c>
      <c r="G1001">
        <v>56100</v>
      </c>
      <c r="I1001" s="36">
        <f t="shared" si="30"/>
        <v>-2.446790156375056E-3</v>
      </c>
      <c r="J1001" s="36">
        <f t="shared" si="31"/>
        <v>5.3763440860215006E-3</v>
      </c>
    </row>
    <row r="1002" spans="5:10">
      <c r="E1002" s="34">
        <v>45657</v>
      </c>
      <c r="F1002" s="1">
        <v>1266.78</v>
      </c>
      <c r="G1002">
        <v>55500</v>
      </c>
      <c r="I1002" s="36">
        <f t="shared" si="30"/>
        <v>-4.1194320844012422E-3</v>
      </c>
      <c r="J1002" s="36">
        <f t="shared" si="31"/>
        <v>-1.0695187165775444E-2</v>
      </c>
    </row>
    <row r="1003" spans="5:10">
      <c r="E1003" s="34">
        <v>45659</v>
      </c>
      <c r="F1003" s="1">
        <v>1269.71</v>
      </c>
      <c r="G1003">
        <v>55600</v>
      </c>
      <c r="I1003" s="36">
        <f t="shared" si="30"/>
        <v>2.3129509464943077E-3</v>
      </c>
      <c r="J1003" s="36">
        <f t="shared" si="31"/>
        <v>1.8018018018017834E-3</v>
      </c>
    </row>
    <row r="1004" spans="5:10">
      <c r="E1004" s="34">
        <v>45660</v>
      </c>
      <c r="F1004" s="1">
        <v>1254.5899999999999</v>
      </c>
      <c r="G1004">
        <v>55000</v>
      </c>
      <c r="I1004" s="36">
        <f t="shared" si="30"/>
        <v>-1.1908231013381121E-2</v>
      </c>
      <c r="J1004" s="36">
        <f t="shared" si="31"/>
        <v>-1.0791366906474864E-2</v>
      </c>
    </row>
    <row r="1005" spans="5:10">
      <c r="E1005" s="34">
        <v>45663</v>
      </c>
      <c r="F1005" s="1">
        <v>1246.3499999999999</v>
      </c>
      <c r="G1005">
        <v>53600</v>
      </c>
      <c r="I1005" s="36">
        <f t="shared" si="30"/>
        <v>-6.567882734598518E-3</v>
      </c>
      <c r="J1005" s="36">
        <f t="shared" si="31"/>
        <v>-2.5454545454545507E-2</v>
      </c>
    </row>
    <row r="1006" spans="5:10">
      <c r="E1006" s="34">
        <v>45664</v>
      </c>
      <c r="F1006" s="1">
        <v>1246.95</v>
      </c>
      <c r="G1006">
        <v>53700</v>
      </c>
      <c r="I1006" s="36">
        <f t="shared" si="30"/>
        <v>4.8140570465760035E-4</v>
      </c>
      <c r="J1006" s="36">
        <f t="shared" si="31"/>
        <v>1.8656716417910779E-3</v>
      </c>
    </row>
    <row r="1007" spans="5:10">
      <c r="E1007" s="34">
        <v>45665</v>
      </c>
      <c r="F1007" s="1">
        <v>1251.02</v>
      </c>
      <c r="G1007">
        <v>53700</v>
      </c>
      <c r="I1007" s="36">
        <f t="shared" si="30"/>
        <v>3.2639640723364227E-3</v>
      </c>
      <c r="J1007" s="36">
        <f t="shared" si="31"/>
        <v>0</v>
      </c>
    </row>
    <row r="1008" spans="5:10">
      <c r="E1008" s="34">
        <v>45666</v>
      </c>
      <c r="F1008" s="1">
        <v>1245.77</v>
      </c>
      <c r="G1008">
        <v>53600</v>
      </c>
      <c r="I1008" s="36">
        <f t="shared" si="30"/>
        <v>-4.1965755943150773E-3</v>
      </c>
      <c r="J1008" s="36">
        <f t="shared" si="31"/>
        <v>-1.8621973929237035E-3</v>
      </c>
    </row>
    <row r="1009" spans="5:10">
      <c r="E1009" s="34">
        <v>45667</v>
      </c>
      <c r="F1009" s="1">
        <v>1230.48</v>
      </c>
      <c r="G1009">
        <v>53600</v>
      </c>
      <c r="I1009" s="36">
        <f t="shared" si="30"/>
        <v>-1.2273533637830347E-2</v>
      </c>
      <c r="J1009" s="36">
        <f t="shared" si="31"/>
        <v>0</v>
      </c>
    </row>
    <row r="1010" spans="5:10">
      <c r="E1010" s="34">
        <v>45670</v>
      </c>
      <c r="F1010" s="1">
        <v>1235.6500000000001</v>
      </c>
      <c r="G1010">
        <v>54100</v>
      </c>
      <c r="I1010" s="36">
        <f t="shared" si="30"/>
        <v>4.2016123789090365E-3</v>
      </c>
      <c r="J1010" s="36">
        <f t="shared" si="31"/>
        <v>9.3283582089551675E-3</v>
      </c>
    </row>
    <row r="1011" spans="5:10">
      <c r="E1011" s="34">
        <v>45671</v>
      </c>
      <c r="F1011" s="1">
        <v>1229.07</v>
      </c>
      <c r="G1011">
        <v>54500</v>
      </c>
      <c r="I1011" s="36">
        <f t="shared" si="30"/>
        <v>-5.3251325213451439E-3</v>
      </c>
      <c r="J1011" s="36">
        <f t="shared" si="31"/>
        <v>7.3937153419594281E-3</v>
      </c>
    </row>
    <row r="1012" spans="5:10">
      <c r="E1012" s="34">
        <v>45672</v>
      </c>
      <c r="F1012" s="1">
        <v>1236.18</v>
      </c>
      <c r="G1012">
        <v>55000</v>
      </c>
      <c r="I1012" s="36">
        <f t="shared" si="30"/>
        <v>5.784861724718704E-3</v>
      </c>
      <c r="J1012" s="36">
        <f t="shared" si="31"/>
        <v>9.1743119266054496E-3</v>
      </c>
    </row>
    <row r="1013" spans="5:10">
      <c r="E1013" s="34">
        <v>45673</v>
      </c>
      <c r="F1013" s="1">
        <v>1242.3599999999999</v>
      </c>
      <c r="G1013">
        <v>54000</v>
      </c>
      <c r="I1013" s="36">
        <f t="shared" si="30"/>
        <v>4.9992719506866123E-3</v>
      </c>
      <c r="J1013" s="36">
        <f t="shared" si="31"/>
        <v>-1.8181818181818188E-2</v>
      </c>
    </row>
    <row r="1014" spans="5:10">
      <c r="E1014" s="34">
        <v>45674</v>
      </c>
      <c r="F1014" s="1">
        <v>1249.1099999999999</v>
      </c>
      <c r="G1014">
        <v>53400</v>
      </c>
      <c r="I1014" s="36">
        <f t="shared" si="30"/>
        <v>5.433207765864978E-3</v>
      </c>
      <c r="J1014" s="36">
        <f t="shared" si="31"/>
        <v>-1.1111111111111072E-2</v>
      </c>
    </row>
    <row r="1015" spans="5:10">
      <c r="E1015" s="34">
        <v>45677</v>
      </c>
      <c r="F1015" s="1">
        <v>1249.55</v>
      </c>
      <c r="G1015">
        <v>54100</v>
      </c>
      <c r="I1015" s="36">
        <f t="shared" si="30"/>
        <v>3.5225080257150765E-4</v>
      </c>
      <c r="J1015" s="36">
        <f t="shared" si="31"/>
        <v>1.3108614232209659E-2</v>
      </c>
    </row>
    <row r="1016" spans="5:10">
      <c r="E1016" s="34">
        <v>45678</v>
      </c>
      <c r="F1016" s="1">
        <v>1246.0899999999999</v>
      </c>
      <c r="G1016">
        <v>53600</v>
      </c>
      <c r="I1016" s="36">
        <f t="shared" si="30"/>
        <v>-2.7689968388620034E-3</v>
      </c>
      <c r="J1016" s="36">
        <f t="shared" si="31"/>
        <v>-9.2421441774491742E-3</v>
      </c>
    </row>
    <row r="1017" spans="5:10">
      <c r="E1017" s="34">
        <v>45679</v>
      </c>
      <c r="F1017" s="1">
        <v>1242.53</v>
      </c>
      <c r="G1017">
        <v>53700</v>
      </c>
      <c r="I1017" s="36">
        <f t="shared" si="30"/>
        <v>-2.8569364973637379E-3</v>
      </c>
      <c r="J1017" s="36">
        <f t="shared" si="31"/>
        <v>1.8656716417910779E-3</v>
      </c>
    </row>
    <row r="1018" spans="5:10">
      <c r="E1018" s="34">
        <v>45680</v>
      </c>
      <c r="F1018" s="1">
        <v>1259.6300000000001</v>
      </c>
      <c r="G1018">
        <v>54000</v>
      </c>
      <c r="I1018" s="36">
        <f t="shared" si="30"/>
        <v>1.3762243165155175E-2</v>
      </c>
      <c r="J1018" s="36">
        <f t="shared" si="31"/>
        <v>5.5865921787709993E-3</v>
      </c>
    </row>
    <row r="1019" spans="5:10">
      <c r="E1019" s="34">
        <v>45681</v>
      </c>
      <c r="F1019" s="1">
        <v>1265.05</v>
      </c>
      <c r="G1019">
        <v>53800</v>
      </c>
      <c r="I1019" s="36">
        <f t="shared" si="30"/>
        <v>4.3028508371505403E-3</v>
      </c>
      <c r="J1019" s="36">
        <f t="shared" si="31"/>
        <v>-3.7037037037036535E-3</v>
      </c>
    </row>
    <row r="1020" spans="5:10">
      <c r="E1020" s="34">
        <v>45691</v>
      </c>
      <c r="F1020" s="1">
        <v>1253.03</v>
      </c>
      <c r="G1020">
        <v>52700</v>
      </c>
      <c r="I1020" s="36">
        <f t="shared" si="30"/>
        <v>-9.5016007272439307E-3</v>
      </c>
      <c r="J1020" s="36">
        <f t="shared" si="31"/>
        <v>-2.0446096654275103E-2</v>
      </c>
    </row>
    <row r="1021" spans="5:10">
      <c r="E1021" s="34">
        <v>45692</v>
      </c>
      <c r="F1021" s="1">
        <v>1264.68</v>
      </c>
      <c r="G1021">
        <v>52700</v>
      </c>
      <c r="I1021" s="36">
        <f t="shared" si="30"/>
        <v>9.2974629498097094E-3</v>
      </c>
      <c r="J1021" s="36">
        <f t="shared" si="31"/>
        <v>0</v>
      </c>
    </row>
    <row r="1022" spans="5:10">
      <c r="E1022" s="34">
        <v>45693</v>
      </c>
      <c r="F1022" s="1">
        <v>1269.6099999999999</v>
      </c>
      <c r="G1022">
        <v>53100</v>
      </c>
      <c r="I1022" s="36">
        <f t="shared" si="30"/>
        <v>3.8982193123950903E-3</v>
      </c>
      <c r="J1022" s="36">
        <f t="shared" si="31"/>
        <v>7.5901328273244584E-3</v>
      </c>
    </row>
    <row r="1023" spans="5:10">
      <c r="E1023" s="34">
        <v>45810</v>
      </c>
      <c r="F1023" s="1">
        <v>1271.48</v>
      </c>
      <c r="G1023" s="2">
        <v>52700</v>
      </c>
      <c r="I1023" s="36">
        <f t="shared" si="30"/>
        <v>1.4728932506833381E-3</v>
      </c>
      <c r="J1023" s="36">
        <f t="shared" si="31"/>
        <v>-7.532956685499026E-3</v>
      </c>
    </row>
    <row r="1024" spans="5:10">
      <c r="E1024" s="34">
        <v>45840</v>
      </c>
      <c r="F1024" s="1">
        <v>1275.2</v>
      </c>
      <c r="G1024" s="2">
        <v>52400</v>
      </c>
      <c r="I1024" s="36">
        <f t="shared" si="30"/>
        <v>2.9257243527227583E-3</v>
      </c>
      <c r="J1024" s="36">
        <f t="shared" si="31"/>
        <v>-5.6925996204933993E-3</v>
      </c>
    </row>
    <row r="1025" spans="5:10">
      <c r="E1025" s="34">
        <v>45932</v>
      </c>
      <c r="F1025" s="1">
        <v>1263.26</v>
      </c>
      <c r="G1025" s="2">
        <v>52200</v>
      </c>
      <c r="I1025" s="36">
        <f t="shared" si="30"/>
        <v>-9.3632371392723401E-3</v>
      </c>
      <c r="J1025" s="36">
        <f t="shared" si="31"/>
        <v>-3.8167938931297218E-3</v>
      </c>
    </row>
    <row r="1026" spans="5:10">
      <c r="E1026" s="34">
        <v>45963</v>
      </c>
      <c r="F1026" s="1">
        <v>1268.45</v>
      </c>
      <c r="G1026" s="2">
        <v>51600</v>
      </c>
      <c r="I1026" s="36">
        <f t="shared" si="30"/>
        <v>4.1084179028862966E-3</v>
      </c>
      <c r="J1026" s="36">
        <f t="shared" si="31"/>
        <v>-1.1494252873563204E-2</v>
      </c>
    </row>
    <row r="1027" spans="5:10">
      <c r="E1027" s="34">
        <v>45993</v>
      </c>
      <c r="F1027" s="1">
        <v>1266.9100000000001</v>
      </c>
      <c r="G1027" s="2">
        <v>51900</v>
      </c>
      <c r="I1027" s="36">
        <f t="shared" si="30"/>
        <v>-1.2140801765934128E-3</v>
      </c>
      <c r="J1027" s="36">
        <f t="shared" si="31"/>
        <v>5.8139534883721034E-3</v>
      </c>
    </row>
    <row r="1028" spans="5:10">
      <c r="E1028" t="s">
        <v>190</v>
      </c>
      <c r="F1028" s="1">
        <v>1270.3499999999999</v>
      </c>
      <c r="G1028" s="2">
        <v>51700</v>
      </c>
      <c r="I1028" s="36">
        <f t="shared" si="30"/>
        <v>2.7152678564379418E-3</v>
      </c>
      <c r="J1028" s="36">
        <f t="shared" si="31"/>
        <v>-3.8535645472062008E-3</v>
      </c>
    </row>
    <row r="1029" spans="5:10">
      <c r="E1029" t="s">
        <v>191</v>
      </c>
      <c r="F1029" s="1">
        <v>1276.08</v>
      </c>
      <c r="G1029" s="2">
        <v>51600</v>
      </c>
      <c r="I1029" s="36">
        <f t="shared" si="30"/>
        <v>4.510567953713629E-3</v>
      </c>
      <c r="J1029" s="36">
        <f t="shared" si="31"/>
        <v>-1.9342359767892114E-3</v>
      </c>
    </row>
    <row r="1030" spans="5:10">
      <c r="E1030" t="s">
        <v>192</v>
      </c>
      <c r="F1030" s="1">
        <v>1272.72</v>
      </c>
      <c r="G1030" s="2">
        <v>51100</v>
      </c>
      <c r="I1030" s="36">
        <f t="shared" si="30"/>
        <v>-2.6330637577580696E-3</v>
      </c>
      <c r="J1030" s="36">
        <f t="shared" si="31"/>
        <v>-9.6899224806201723E-3</v>
      </c>
    </row>
    <row r="1031" spans="5:10">
      <c r="E1031" t="s">
        <v>193</v>
      </c>
      <c r="F1031" s="1">
        <v>1278.1400000000001</v>
      </c>
      <c r="G1031" s="2">
        <v>51200</v>
      </c>
      <c r="I1031" s="36">
        <f t="shared" ref="I1031:I1094" si="32">F1031/F1030-1</f>
        <v>4.2585957634044824E-3</v>
      </c>
      <c r="J1031" s="36">
        <f t="shared" ref="J1031:J1094" si="33">G1031/G1030-1</f>
        <v>1.9569471624265589E-3</v>
      </c>
    </row>
    <row r="1032" spans="5:10">
      <c r="E1032" t="s">
        <v>194</v>
      </c>
      <c r="F1032" s="1">
        <v>1288.56</v>
      </c>
      <c r="G1032" s="2">
        <v>51300</v>
      </c>
      <c r="I1032" s="36">
        <f t="shared" si="32"/>
        <v>8.1524715602359077E-3</v>
      </c>
      <c r="J1032" s="36">
        <f t="shared" si="33"/>
        <v>1.953125E-3</v>
      </c>
    </row>
    <row r="1033" spans="5:10">
      <c r="E1033" t="s">
        <v>195</v>
      </c>
      <c r="F1033" s="1">
        <v>1292.98</v>
      </c>
      <c r="G1033" s="2">
        <v>51400</v>
      </c>
      <c r="I1033" s="36">
        <f t="shared" si="32"/>
        <v>3.4301856335754444E-3</v>
      </c>
      <c r="J1033" s="36">
        <f t="shared" si="33"/>
        <v>1.9493177387914784E-3</v>
      </c>
    </row>
    <row r="1034" spans="5:10">
      <c r="E1034" t="s">
        <v>196</v>
      </c>
      <c r="F1034" s="1">
        <v>1296.75</v>
      </c>
      <c r="G1034" s="2">
        <v>51800</v>
      </c>
      <c r="I1034" s="36">
        <f t="shared" si="32"/>
        <v>2.9157450231247495E-3</v>
      </c>
      <c r="J1034" s="36">
        <f t="shared" si="33"/>
        <v>7.7821011673151474E-3</v>
      </c>
    </row>
    <row r="1035" spans="5:10">
      <c r="E1035" t="s">
        <v>197</v>
      </c>
      <c r="F1035" s="1">
        <v>1304.56</v>
      </c>
      <c r="G1035" s="2">
        <v>52400</v>
      </c>
      <c r="I1035" s="36">
        <f t="shared" si="32"/>
        <v>6.0227491806439382E-3</v>
      </c>
      <c r="J1035" s="36">
        <f t="shared" si="33"/>
        <v>1.158301158301156E-2</v>
      </c>
    </row>
    <row r="1036" spans="5:10">
      <c r="E1036" t="s">
        <v>198</v>
      </c>
      <c r="F1036" s="1">
        <v>1303.1600000000001</v>
      </c>
      <c r="G1036" s="2">
        <v>52400</v>
      </c>
      <c r="I1036" s="36">
        <f t="shared" si="32"/>
        <v>-1.0731587661739761E-3</v>
      </c>
      <c r="J1036" s="36">
        <f t="shared" si="33"/>
        <v>0</v>
      </c>
    </row>
    <row r="1037" spans="5:10">
      <c r="E1037" t="s">
        <v>199</v>
      </c>
      <c r="F1037" s="1">
        <v>1302.96</v>
      </c>
      <c r="G1037" s="2">
        <v>52200</v>
      </c>
      <c r="I1037" s="36">
        <f t="shared" si="32"/>
        <v>-1.5347309616631222E-4</v>
      </c>
      <c r="J1037" s="36">
        <f t="shared" si="33"/>
        <v>-3.8167938931297218E-3</v>
      </c>
    </row>
    <row r="1038" spans="5:10">
      <c r="E1038" t="s">
        <v>200</v>
      </c>
      <c r="F1038" s="1">
        <v>1307.8</v>
      </c>
      <c r="G1038" s="2">
        <v>52200</v>
      </c>
      <c r="I1038" s="36">
        <f t="shared" si="32"/>
        <v>3.714619021305321E-3</v>
      </c>
      <c r="J1038" s="36">
        <f t="shared" si="33"/>
        <v>0</v>
      </c>
    </row>
    <row r="1039" spans="5:10">
      <c r="E1039" t="s">
        <v>201</v>
      </c>
      <c r="F1039" s="1">
        <v>1305.3599999999999</v>
      </c>
      <c r="G1039" s="2">
        <v>51500</v>
      </c>
      <c r="I1039" s="36">
        <f t="shared" si="32"/>
        <v>-1.8657287046949245E-3</v>
      </c>
      <c r="J1039" s="36">
        <f t="shared" si="33"/>
        <v>-1.3409961685823757E-2</v>
      </c>
    </row>
    <row r="1040" spans="5:10">
      <c r="E1040" s="34">
        <v>45719</v>
      </c>
      <c r="F1040" s="1">
        <v>1309.3699999999999</v>
      </c>
      <c r="G1040" s="2">
        <v>51700</v>
      </c>
      <c r="I1040" s="36">
        <f t="shared" si="32"/>
        <v>3.0719495005209208E-3</v>
      </c>
      <c r="J1040" s="36">
        <f t="shared" si="33"/>
        <v>3.8834951456310218E-3</v>
      </c>
    </row>
    <row r="1041" spans="5:10">
      <c r="E1041" s="34">
        <v>45750</v>
      </c>
      <c r="F1041" s="1">
        <v>1311.91</v>
      </c>
      <c r="G1041" s="2">
        <v>52000</v>
      </c>
      <c r="I1041" s="36">
        <f t="shared" si="32"/>
        <v>1.9398642095054264E-3</v>
      </c>
      <c r="J1041" s="36">
        <f t="shared" si="33"/>
        <v>5.8027079303675233E-3</v>
      </c>
    </row>
    <row r="1042" spans="5:10">
      <c r="E1042" s="34">
        <v>45780</v>
      </c>
      <c r="F1042" s="1">
        <v>1304.71</v>
      </c>
      <c r="G1042" s="2">
        <v>51800</v>
      </c>
      <c r="I1042" s="36">
        <f t="shared" si="32"/>
        <v>-5.4881813539038315E-3</v>
      </c>
      <c r="J1042" s="36">
        <f t="shared" si="33"/>
        <v>-3.8461538461538325E-3</v>
      </c>
    </row>
    <row r="1043" spans="5:10">
      <c r="E1043" s="34">
        <v>45811</v>
      </c>
      <c r="F1043" s="1">
        <v>1318.22</v>
      </c>
      <c r="G1043" s="2">
        <v>51400</v>
      </c>
      <c r="I1043" s="36">
        <f t="shared" si="32"/>
        <v>1.0354791486230752E-2</v>
      </c>
      <c r="J1043" s="36">
        <f t="shared" si="33"/>
        <v>-7.7220077220077066E-3</v>
      </c>
    </row>
    <row r="1044" spans="5:10">
      <c r="E1044" s="34">
        <v>45841</v>
      </c>
      <c r="F1044" s="1">
        <v>1326.05</v>
      </c>
      <c r="G1044" s="2">
        <v>51200</v>
      </c>
      <c r="I1044" s="36">
        <f t="shared" si="32"/>
        <v>5.9398279498110718E-3</v>
      </c>
      <c r="J1044" s="36">
        <f t="shared" si="33"/>
        <v>-3.8910505836575737E-3</v>
      </c>
    </row>
    <row r="1045" spans="5:10">
      <c r="E1045" s="34">
        <v>45933</v>
      </c>
      <c r="F1045" s="1">
        <v>1330.28</v>
      </c>
      <c r="G1045" s="2">
        <v>51400</v>
      </c>
      <c r="I1045" s="36">
        <f t="shared" si="32"/>
        <v>3.1899249651219375E-3</v>
      </c>
      <c r="J1045" s="36">
        <f t="shared" si="33"/>
        <v>3.90625E-3</v>
      </c>
    </row>
    <row r="1046" spans="5:10">
      <c r="E1046" s="34">
        <v>45964</v>
      </c>
      <c r="F1046" s="1">
        <v>1332.54</v>
      </c>
      <c r="G1046" s="2">
        <v>51200</v>
      </c>
      <c r="I1046" s="36">
        <f t="shared" si="32"/>
        <v>1.6988904591515031E-3</v>
      </c>
      <c r="J1046" s="36">
        <f t="shared" si="33"/>
        <v>-3.8910505836575737E-3</v>
      </c>
    </row>
    <row r="1047" spans="5:10">
      <c r="E1047" s="34">
        <v>45994</v>
      </c>
      <c r="F1047" s="1">
        <v>1334.41</v>
      </c>
      <c r="G1047" s="2">
        <v>51100</v>
      </c>
      <c r="I1047" s="36">
        <f t="shared" si="32"/>
        <v>1.4033349843156628E-3</v>
      </c>
      <c r="J1047" s="36">
        <f t="shared" si="33"/>
        <v>-1.953125E-3</v>
      </c>
    </row>
    <row r="1048" spans="5:10">
      <c r="E1048" t="s">
        <v>202</v>
      </c>
      <c r="F1048" s="1">
        <v>1326.27</v>
      </c>
      <c r="G1048" s="2">
        <v>51100</v>
      </c>
      <c r="I1048" s="36">
        <f t="shared" si="32"/>
        <v>-6.10007419009162E-3</v>
      </c>
      <c r="J1048" s="36">
        <f t="shared" si="33"/>
        <v>0</v>
      </c>
    </row>
    <row r="1049" spans="5:10">
      <c r="E1049" t="s">
        <v>203</v>
      </c>
      <c r="F1049" s="1">
        <v>1326.15</v>
      </c>
      <c r="G1049" s="2">
        <v>51600</v>
      </c>
      <c r="I1049" s="36">
        <f t="shared" si="32"/>
        <v>-9.0479314166724834E-5</v>
      </c>
      <c r="J1049" s="36">
        <f t="shared" si="33"/>
        <v>9.7847358121330164E-3</v>
      </c>
    </row>
    <row r="1050" spans="5:10">
      <c r="E1050" t="s">
        <v>204</v>
      </c>
      <c r="F1050" s="1">
        <v>1336.26</v>
      </c>
      <c r="G1050" s="2">
        <v>51600</v>
      </c>
      <c r="I1050" s="36">
        <f t="shared" si="32"/>
        <v>7.6235719941182278E-3</v>
      </c>
      <c r="J1050" s="36">
        <f t="shared" si="33"/>
        <v>0</v>
      </c>
    </row>
    <row r="1051" spans="5:10">
      <c r="E1051" t="s">
        <v>205</v>
      </c>
      <c r="F1051" s="1">
        <v>1330.97</v>
      </c>
      <c r="G1051" s="2">
        <v>51100</v>
      </c>
      <c r="I1051" s="36">
        <f t="shared" si="32"/>
        <v>-3.9588104111475397E-3</v>
      </c>
      <c r="J1051" s="36">
        <f t="shared" si="33"/>
        <v>-9.6899224806201723E-3</v>
      </c>
    </row>
    <row r="1052" spans="5:10">
      <c r="E1052" t="s">
        <v>206</v>
      </c>
      <c r="F1052" s="1">
        <v>1324.63</v>
      </c>
      <c r="G1052" s="2">
        <v>50800</v>
      </c>
      <c r="I1052" s="36">
        <f t="shared" si="32"/>
        <v>-4.7634432030774221E-3</v>
      </c>
      <c r="J1052" s="36">
        <f t="shared" si="33"/>
        <v>-5.8708414872798986E-3</v>
      </c>
    </row>
    <row r="1053" spans="5:10">
      <c r="E1053" t="s">
        <v>207</v>
      </c>
      <c r="F1053" s="1">
        <v>1323.93</v>
      </c>
      <c r="G1053" s="2">
        <v>50600</v>
      </c>
      <c r="I1053" s="36">
        <f t="shared" si="32"/>
        <v>-5.2844945380980946E-4</v>
      </c>
      <c r="J1053" s="36">
        <f t="shared" si="33"/>
        <v>-3.937007874015741E-3</v>
      </c>
    </row>
    <row r="1054" spans="5:10">
      <c r="E1054" t="s">
        <v>208</v>
      </c>
      <c r="F1054" s="1">
        <v>1321.88</v>
      </c>
      <c r="G1054" s="2">
        <v>50300</v>
      </c>
      <c r="I1054" s="36">
        <f t="shared" si="32"/>
        <v>-1.5484202336981667E-3</v>
      </c>
      <c r="J1054" s="36">
        <f t="shared" si="33"/>
        <v>-5.9288537549406772E-3</v>
      </c>
    </row>
    <row r="1055" spans="5:10">
      <c r="E1055" t="s">
        <v>209</v>
      </c>
      <c r="F1055" s="1">
        <v>1330.32</v>
      </c>
      <c r="G1055" s="2">
        <v>49900</v>
      </c>
      <c r="I1055" s="36">
        <f t="shared" si="32"/>
        <v>6.3848458256421381E-3</v>
      </c>
      <c r="J1055" s="36">
        <f t="shared" si="33"/>
        <v>-7.9522862823061535E-3</v>
      </c>
    </row>
    <row r="1056" spans="5:10">
      <c r="E1056" t="s">
        <v>210</v>
      </c>
      <c r="F1056" s="1">
        <v>1331.92</v>
      </c>
      <c r="G1056" s="2">
        <v>49550</v>
      </c>
      <c r="I1056" s="36">
        <f t="shared" si="32"/>
        <v>1.2027181430032119E-3</v>
      </c>
      <c r="J1056" s="36">
        <f t="shared" si="33"/>
        <v>-7.0140280561121759E-3</v>
      </c>
    </row>
    <row r="1057" spans="5:10">
      <c r="E1057" t="s">
        <v>211</v>
      </c>
      <c r="F1057" s="1">
        <v>1326.09</v>
      </c>
      <c r="G1057" s="2">
        <v>49550</v>
      </c>
      <c r="I1057" s="36">
        <f t="shared" si="32"/>
        <v>-4.3771397681543478E-3</v>
      </c>
      <c r="J1057" s="36">
        <f t="shared" si="33"/>
        <v>0</v>
      </c>
    </row>
    <row r="1058" spans="5:10">
      <c r="E1058" t="s">
        <v>212</v>
      </c>
      <c r="F1058" s="1">
        <v>1323.81</v>
      </c>
      <c r="G1058" s="2">
        <v>49550</v>
      </c>
      <c r="I1058" s="36">
        <f t="shared" si="32"/>
        <v>-1.7193403162680809E-3</v>
      </c>
      <c r="J1058" s="36">
        <f t="shared" si="33"/>
        <v>0</v>
      </c>
    </row>
    <row r="1059" spans="5:10">
      <c r="E1059" t="s">
        <v>213</v>
      </c>
      <c r="F1059" s="1">
        <v>1317.46</v>
      </c>
      <c r="G1059" s="2">
        <v>49300</v>
      </c>
      <c r="I1059" s="36">
        <f t="shared" si="32"/>
        <v>-4.7967608644744475E-3</v>
      </c>
      <c r="J1059" s="36">
        <f t="shared" si="33"/>
        <v>-5.0454086781028806E-3</v>
      </c>
    </row>
    <row r="1060" spans="5:10">
      <c r="E1060" t="s">
        <v>214</v>
      </c>
      <c r="F1060" s="1">
        <v>1306.8599999999999</v>
      </c>
      <c r="G1060" s="2">
        <v>48900</v>
      </c>
      <c r="I1060" s="36">
        <f t="shared" si="32"/>
        <v>-8.0457850712736256E-3</v>
      </c>
      <c r="J1060" s="36">
        <f t="shared" si="33"/>
        <v>-8.113590263691739E-3</v>
      </c>
    </row>
    <row r="1061" spans="5:10">
      <c r="E1061" s="34">
        <v>45661</v>
      </c>
      <c r="F1061" s="1">
        <v>1317.33</v>
      </c>
      <c r="G1061" s="2">
        <v>49350</v>
      </c>
      <c r="I1061" s="36">
        <f t="shared" si="32"/>
        <v>8.0115697167255639E-3</v>
      </c>
      <c r="J1061" s="36">
        <f t="shared" si="33"/>
        <v>9.2024539877300082E-3</v>
      </c>
    </row>
    <row r="1062" spans="5:10">
      <c r="E1062" s="34">
        <v>45692</v>
      </c>
      <c r="F1062" s="1">
        <v>1317.83</v>
      </c>
      <c r="G1062" s="2">
        <v>49300</v>
      </c>
      <c r="I1062" s="36">
        <f t="shared" si="32"/>
        <v>3.7955561628444379E-4</v>
      </c>
      <c r="J1062" s="36">
        <f t="shared" si="33"/>
        <v>-1.0131712259371373E-3</v>
      </c>
    </row>
    <row r="1063" spans="5:10">
      <c r="E1063" s="34">
        <v>45720</v>
      </c>
      <c r="F1063" s="1">
        <v>1229.8399999999999</v>
      </c>
      <c r="G1063" s="2">
        <v>45850</v>
      </c>
      <c r="I1063" s="36">
        <f t="shared" si="32"/>
        <v>-6.6768854859883264E-2</v>
      </c>
      <c r="J1063" s="36">
        <f t="shared" si="33"/>
        <v>-6.9979716024340721E-2</v>
      </c>
    </row>
    <row r="1064" spans="5:10">
      <c r="E1064" s="34">
        <v>45751</v>
      </c>
      <c r="F1064" s="1">
        <v>1210.67</v>
      </c>
      <c r="G1064" s="2">
        <v>43350</v>
      </c>
      <c r="I1064" s="36">
        <f t="shared" si="32"/>
        <v>-1.5587393482078826E-2</v>
      </c>
      <c r="J1064" s="36">
        <f t="shared" si="33"/>
        <v>-5.4525627044710978E-2</v>
      </c>
    </row>
    <row r="1065" spans="5:10">
      <c r="E1065" s="34">
        <v>45873</v>
      </c>
      <c r="F1065" s="1">
        <v>1132.79</v>
      </c>
      <c r="G1065" s="2">
        <v>42600</v>
      </c>
      <c r="I1065" s="36">
        <f t="shared" si="32"/>
        <v>-6.432801671801569E-2</v>
      </c>
      <c r="J1065" s="36">
        <f t="shared" si="33"/>
        <v>-1.730103806228378E-2</v>
      </c>
    </row>
    <row r="1066" spans="5:10">
      <c r="E1066" s="34">
        <v>45904</v>
      </c>
      <c r="F1066" s="1">
        <v>1094.3</v>
      </c>
      <c r="G1066" s="2">
        <v>44100</v>
      </c>
      <c r="I1066" s="36">
        <f t="shared" si="32"/>
        <v>-3.3978054184800377E-2</v>
      </c>
      <c r="J1066" s="36">
        <f t="shared" si="33"/>
        <v>3.5211267605633756E-2</v>
      </c>
    </row>
    <row r="1067" spans="5:10">
      <c r="E1067" s="34">
        <v>45934</v>
      </c>
      <c r="F1067" s="1">
        <v>1168.3399999999999</v>
      </c>
      <c r="G1067" s="2">
        <v>47150</v>
      </c>
      <c r="I1067" s="36">
        <f t="shared" si="32"/>
        <v>6.7659691126747745E-2</v>
      </c>
      <c r="J1067" s="36">
        <f t="shared" si="33"/>
        <v>6.9160997732426344E-2</v>
      </c>
    </row>
    <row r="1068" spans="5:10">
      <c r="E1068" s="34">
        <v>45965</v>
      </c>
      <c r="F1068" s="1">
        <v>1222.46</v>
      </c>
      <c r="G1068" s="2">
        <v>49000</v>
      </c>
      <c r="I1068" s="36">
        <f t="shared" si="32"/>
        <v>4.6322132256021442E-2</v>
      </c>
      <c r="J1068" s="36">
        <f t="shared" si="33"/>
        <v>3.923647932131491E-2</v>
      </c>
    </row>
    <row r="1069" spans="5:10">
      <c r="E1069" t="s">
        <v>215</v>
      </c>
      <c r="F1069" s="1">
        <v>1241.44</v>
      </c>
      <c r="G1069" s="2">
        <v>49500</v>
      </c>
      <c r="I1069" s="36">
        <f t="shared" si="32"/>
        <v>1.5526070382670953E-2</v>
      </c>
      <c r="J1069" s="36">
        <f t="shared" si="33"/>
        <v>1.0204081632652962E-2</v>
      </c>
    </row>
    <row r="1070" spans="5:10">
      <c r="E1070" t="s">
        <v>216</v>
      </c>
      <c r="F1070" s="1">
        <v>1227.79</v>
      </c>
      <c r="G1070" s="2">
        <v>48700</v>
      </c>
      <c r="I1070" s="36">
        <f t="shared" si="32"/>
        <v>-1.0995295785539483E-2</v>
      </c>
      <c r="J1070" s="36">
        <f t="shared" si="33"/>
        <v>-1.6161616161616155E-2</v>
      </c>
    </row>
    <row r="1071" spans="5:10">
      <c r="E1071" t="s">
        <v>217</v>
      </c>
      <c r="F1071" s="1">
        <v>1210.3</v>
      </c>
      <c r="G1071" s="2">
        <v>47600</v>
      </c>
      <c r="I1071" s="36">
        <f t="shared" si="32"/>
        <v>-1.4245107062282658E-2</v>
      </c>
      <c r="J1071" s="36">
        <f t="shared" si="33"/>
        <v>-2.2587268993839782E-2</v>
      </c>
    </row>
    <row r="1072" spans="5:10">
      <c r="E1072" t="s">
        <v>218</v>
      </c>
      <c r="F1072" s="1">
        <v>1217.25</v>
      </c>
      <c r="G1072" s="2">
        <v>47000</v>
      </c>
      <c r="I1072" s="36">
        <f t="shared" si="32"/>
        <v>5.7423779228291671E-3</v>
      </c>
      <c r="J1072" s="36">
        <f t="shared" si="33"/>
        <v>-1.2605042016806678E-2</v>
      </c>
    </row>
    <row r="1073" spans="5:10">
      <c r="E1073" t="s">
        <v>219</v>
      </c>
      <c r="F1073" s="1">
        <v>1219.1199999999999</v>
      </c>
      <c r="G1073" s="2">
        <v>47350</v>
      </c>
      <c r="I1073" s="36">
        <f t="shared" si="32"/>
        <v>1.5362497432735989E-3</v>
      </c>
      <c r="J1073" s="36">
        <f t="shared" si="33"/>
        <v>7.4468085106382809E-3</v>
      </c>
    </row>
    <row r="1074" spans="5:10">
      <c r="E1074" t="s">
        <v>220</v>
      </c>
      <c r="F1074" s="1">
        <v>1207.07</v>
      </c>
      <c r="G1074" s="2">
        <v>47100</v>
      </c>
      <c r="I1074" s="36">
        <f t="shared" si="32"/>
        <v>-9.8841787518865187E-3</v>
      </c>
      <c r="J1074" s="36">
        <f t="shared" si="33"/>
        <v>-5.2798310454065245E-3</v>
      </c>
    </row>
    <row r="1075" spans="5:10">
      <c r="E1075" t="s">
        <v>221</v>
      </c>
      <c r="F1075" s="1">
        <v>1197.1300000000001</v>
      </c>
      <c r="G1075" s="2">
        <v>46600</v>
      </c>
      <c r="I1075" s="36">
        <f t="shared" si="32"/>
        <v>-8.2348165392229777E-3</v>
      </c>
      <c r="J1075" s="36">
        <f t="shared" si="33"/>
        <v>-1.0615711252653925E-2</v>
      </c>
    </row>
    <row r="1076" spans="5:10">
      <c r="E1076" t="s">
        <v>222</v>
      </c>
      <c r="F1076" s="1">
        <v>1211</v>
      </c>
      <c r="G1076" s="2">
        <v>48600</v>
      </c>
      <c r="I1076" s="36">
        <f t="shared" si="32"/>
        <v>1.1586043286861081E-2</v>
      </c>
      <c r="J1076" s="36">
        <f t="shared" si="33"/>
        <v>4.2918454935622297E-2</v>
      </c>
    </row>
    <row r="1077" spans="5:10">
      <c r="E1077" t="s">
        <v>223</v>
      </c>
      <c r="F1077" s="1">
        <v>1223.3499999999999</v>
      </c>
      <c r="G1077" s="2">
        <v>49200</v>
      </c>
      <c r="I1077" s="36">
        <f t="shared" si="32"/>
        <v>1.0198183319570564E-2</v>
      </c>
      <c r="J1077" s="36">
        <f t="shared" si="33"/>
        <v>1.2345679012345734E-2</v>
      </c>
    </row>
    <row r="1078" spans="5:10">
      <c r="E1078" t="s">
        <v>224</v>
      </c>
      <c r="F1078" s="1">
        <v>1229.23</v>
      </c>
      <c r="G1078" s="2">
        <v>49500</v>
      </c>
      <c r="I1078" s="36">
        <f t="shared" si="32"/>
        <v>4.8064740262394601E-3</v>
      </c>
      <c r="J1078" s="36">
        <f t="shared" si="33"/>
        <v>6.0975609756097615E-3</v>
      </c>
    </row>
    <row r="1079" spans="5:10">
      <c r="E1079" t="s">
        <v>225</v>
      </c>
      <c r="F1079" s="1">
        <v>1226.8</v>
      </c>
      <c r="G1079" s="2">
        <v>51200</v>
      </c>
      <c r="I1079" s="36">
        <f t="shared" si="32"/>
        <v>-1.9768472946478655E-3</v>
      </c>
      <c r="J1079" s="36">
        <f t="shared" si="33"/>
        <v>3.4343434343434343E-2</v>
      </c>
    </row>
    <row r="1080" spans="5:10">
      <c r="E1080" t="s">
        <v>226</v>
      </c>
      <c r="F1080" s="1">
        <v>1226.3</v>
      </c>
      <c r="G1080" s="2">
        <v>48100</v>
      </c>
      <c r="I1080" s="36">
        <f t="shared" si="32"/>
        <v>-4.0756439517442011E-4</v>
      </c>
      <c r="J1080" s="36">
        <f t="shared" si="33"/>
        <v>-6.0546875E-2</v>
      </c>
    </row>
    <row r="1081" spans="5:10">
      <c r="E1081" s="34">
        <v>45782</v>
      </c>
      <c r="F1081" s="1">
        <v>1240.05</v>
      </c>
      <c r="G1081" s="2">
        <v>47900</v>
      </c>
      <c r="I1081" s="36">
        <f t="shared" si="32"/>
        <v>1.1212590720052207E-2</v>
      </c>
      <c r="J1081" s="36">
        <f t="shared" si="33"/>
        <v>-4.1580041580041582E-3</v>
      </c>
    </row>
    <row r="1082" spans="5:10">
      <c r="E1082" s="34">
        <v>45813</v>
      </c>
      <c r="F1082" s="1">
        <v>1241.95</v>
      </c>
      <c r="G1082" s="2">
        <v>47850</v>
      </c>
      <c r="I1082" s="36">
        <f t="shared" si="32"/>
        <v>1.5321962824079716E-3</v>
      </c>
      <c r="J1082" s="36">
        <f t="shared" si="33"/>
        <v>-1.0438413361169019E-3</v>
      </c>
    </row>
    <row r="1083" spans="5:10">
      <c r="E1083" s="34">
        <v>45843</v>
      </c>
      <c r="F1083" s="1">
        <v>1250.3699999999999</v>
      </c>
      <c r="G1083" s="2">
        <v>48050</v>
      </c>
      <c r="I1083" s="36">
        <f t="shared" si="32"/>
        <v>6.7796610169490457E-3</v>
      </c>
      <c r="J1083" s="36">
        <f t="shared" si="33"/>
        <v>4.179728317659448E-3</v>
      </c>
    </row>
    <row r="1084" spans="5:10">
      <c r="E1084" s="34">
        <v>45874</v>
      </c>
      <c r="F1084" s="1">
        <v>1269.8</v>
      </c>
      <c r="G1084" s="2">
        <v>48550</v>
      </c>
      <c r="I1084" s="36">
        <f t="shared" si="32"/>
        <v>1.5539400337500231E-2</v>
      </c>
      <c r="J1084" s="36">
        <f t="shared" si="33"/>
        <v>1.0405827263267442E-2</v>
      </c>
    </row>
    <row r="1085" spans="5:10">
      <c r="E1085" s="34">
        <v>45905</v>
      </c>
      <c r="F1085" s="1">
        <v>1267.3</v>
      </c>
      <c r="G1085" s="2">
        <v>49000</v>
      </c>
      <c r="I1085" s="36">
        <f t="shared" si="32"/>
        <v>-1.9688139864545429E-3</v>
      </c>
      <c r="J1085" s="36">
        <f t="shared" si="33"/>
        <v>9.2687950566425759E-3</v>
      </c>
    </row>
    <row r="1086" spans="5:10">
      <c r="E1086" s="34">
        <v>45996</v>
      </c>
      <c r="F1086" s="1">
        <v>1283.26</v>
      </c>
      <c r="G1086" s="2">
        <v>49450</v>
      </c>
      <c r="I1086" s="36">
        <f t="shared" si="32"/>
        <v>1.2593703148425783E-2</v>
      </c>
      <c r="J1086" s="36">
        <f t="shared" si="33"/>
        <v>9.1836734693877542E-3</v>
      </c>
    </row>
    <row r="1087" spans="5:10">
      <c r="E1087" t="s">
        <v>227</v>
      </c>
      <c r="F1087" s="1">
        <v>1293.43</v>
      </c>
      <c r="G1087" s="2">
        <v>49250</v>
      </c>
      <c r="I1087" s="36">
        <f t="shared" si="32"/>
        <v>7.9251281891432601E-3</v>
      </c>
      <c r="J1087" s="36">
        <f t="shared" si="33"/>
        <v>-4.0444893832153328E-3</v>
      </c>
    </row>
    <row r="1088" spans="5:10">
      <c r="E1088" t="s">
        <v>228</v>
      </c>
      <c r="F1088" s="1">
        <v>1309.73</v>
      </c>
      <c r="G1088" s="2">
        <v>49500</v>
      </c>
      <c r="I1088" s="36">
        <f t="shared" si="32"/>
        <v>1.2602150870166806E-2</v>
      </c>
      <c r="J1088" s="36">
        <f t="shared" si="33"/>
        <v>5.0761421319795996E-3</v>
      </c>
    </row>
    <row r="1089" spans="5:10">
      <c r="E1089" t="s">
        <v>229</v>
      </c>
      <c r="F1089" s="1">
        <v>1313.2</v>
      </c>
      <c r="G1089" s="2">
        <v>50300</v>
      </c>
      <c r="I1089" s="36">
        <f t="shared" si="32"/>
        <v>2.6494010215847297E-3</v>
      </c>
      <c r="J1089" s="36">
        <f t="shared" si="33"/>
        <v>1.6161616161616266E-2</v>
      </c>
    </row>
    <row r="1090" spans="5:10">
      <c r="E1090" t="s">
        <v>230</v>
      </c>
      <c r="F1090" s="1">
        <v>1301.3900000000001</v>
      </c>
      <c r="G1090" s="2">
        <v>50500</v>
      </c>
      <c r="I1090" s="36">
        <f t="shared" si="32"/>
        <v>-8.9932988120621227E-3</v>
      </c>
      <c r="J1090" s="36">
        <f t="shared" si="33"/>
        <v>3.9761431411531323E-3</v>
      </c>
    </row>
    <row r="1091" spans="5:10">
      <c r="E1091" t="s">
        <v>231</v>
      </c>
      <c r="F1091" s="1">
        <v>1296.29</v>
      </c>
      <c r="G1091" s="2">
        <v>49700</v>
      </c>
      <c r="I1091" s="36">
        <f t="shared" si="32"/>
        <v>-3.9188867288054707E-3</v>
      </c>
      <c r="J1091" s="36">
        <f t="shared" si="33"/>
        <v>-1.5841584158415856E-2</v>
      </c>
    </row>
    <row r="1092" spans="5:10">
      <c r="E1092" t="s">
        <v>232</v>
      </c>
      <c r="F1092" s="1">
        <v>1315.15</v>
      </c>
      <c r="G1092" s="2">
        <v>49800</v>
      </c>
      <c r="I1092" s="36">
        <f t="shared" si="32"/>
        <v>1.4549213524751581E-2</v>
      </c>
      <c r="J1092" s="36">
        <f t="shared" si="33"/>
        <v>2.012072434607548E-3</v>
      </c>
    </row>
    <row r="1093" spans="5:10">
      <c r="E1093" t="s">
        <v>233</v>
      </c>
      <c r="F1093" s="1">
        <v>1323.05</v>
      </c>
      <c r="G1093" s="2">
        <v>49600</v>
      </c>
      <c r="I1093" s="36">
        <f t="shared" si="32"/>
        <v>6.0069193628102813E-3</v>
      </c>
      <c r="J1093" s="36">
        <f t="shared" si="33"/>
        <v>-4.0160642570281624E-3</v>
      </c>
    </row>
    <row r="1094" spans="5:10">
      <c r="E1094" t="s">
        <v>234</v>
      </c>
      <c r="F1094" s="1">
        <v>1313.84</v>
      </c>
      <c r="G1094" s="2">
        <v>49650</v>
      </c>
      <c r="I1094" s="36">
        <f t="shared" si="32"/>
        <v>-6.9611881637126061E-3</v>
      </c>
      <c r="J1094" s="36">
        <f t="shared" si="33"/>
        <v>1.0080645161290036E-3</v>
      </c>
    </row>
    <row r="1095" spans="5:10">
      <c r="E1095" t="s">
        <v>235</v>
      </c>
      <c r="F1095" s="1">
        <v>1314.46</v>
      </c>
      <c r="G1095" s="2">
        <v>49450</v>
      </c>
      <c r="I1095" s="36">
        <f t="shared" ref="I1095:I1158" si="34">F1095/F1094-1</f>
        <v>4.7189916580414604E-4</v>
      </c>
      <c r="J1095" s="36">
        <f t="shared" ref="J1095:J1158" si="35">G1095/G1094-1</f>
        <v>-4.0281973816717054E-3</v>
      </c>
    </row>
    <row r="1096" spans="5:10">
      <c r="E1096" t="s">
        <v>236</v>
      </c>
      <c r="F1096" s="1">
        <v>1332.51</v>
      </c>
      <c r="G1096" s="2">
        <v>49450</v>
      </c>
      <c r="I1096" s="36">
        <f t="shared" si="34"/>
        <v>1.3731874686182977E-2</v>
      </c>
      <c r="J1096" s="36">
        <f t="shared" si="35"/>
        <v>0</v>
      </c>
    </row>
    <row r="1097" spans="5:10">
      <c r="E1097" t="s">
        <v>237</v>
      </c>
      <c r="F1097" s="1">
        <v>1339.81</v>
      </c>
      <c r="G1097" s="2">
        <v>49450</v>
      </c>
      <c r="I1097" s="36">
        <f t="shared" si="34"/>
        <v>5.4783829014415364E-3</v>
      </c>
      <c r="J1097" s="36">
        <f t="shared" si="35"/>
        <v>0</v>
      </c>
    </row>
    <row r="1098" spans="5:10">
      <c r="E1098" t="s">
        <v>238</v>
      </c>
      <c r="F1098" s="1">
        <v>1341.87</v>
      </c>
      <c r="G1098" s="2">
        <v>49450</v>
      </c>
      <c r="I1098" s="36">
        <f t="shared" si="34"/>
        <v>1.5375314410250862E-3</v>
      </c>
      <c r="J1098" s="36">
        <f t="shared" si="35"/>
        <v>0</v>
      </c>
    </row>
    <row r="1099" spans="5:10">
      <c r="E1099" t="s">
        <v>239</v>
      </c>
      <c r="F1099" s="1">
        <v>1341.86</v>
      </c>
      <c r="G1099" s="2">
        <v>49250</v>
      </c>
      <c r="I1099" s="36">
        <f t="shared" si="34"/>
        <v>-7.4522867341553223E-6</v>
      </c>
      <c r="J1099" s="36">
        <f t="shared" si="35"/>
        <v>-4.0444893832153328E-3</v>
      </c>
    </row>
    <row r="1100" spans="5:10">
      <c r="E1100" t="s">
        <v>240</v>
      </c>
      <c r="F1100" s="1">
        <v>1332.6</v>
      </c>
      <c r="G1100" s="2">
        <v>48750</v>
      </c>
      <c r="I1100" s="36">
        <f t="shared" si="34"/>
        <v>-6.9008689431088177E-3</v>
      </c>
      <c r="J1100" s="36">
        <f t="shared" si="35"/>
        <v>-1.0152284263959421E-2</v>
      </c>
    </row>
    <row r="1101" spans="5:10">
      <c r="E1101" s="34">
        <v>45694</v>
      </c>
      <c r="F1101" s="1">
        <v>1336.3</v>
      </c>
      <c r="G1101" s="2">
        <v>49150</v>
      </c>
      <c r="I1101" s="36">
        <f t="shared" si="34"/>
        <v>2.7765270898993943E-3</v>
      </c>
      <c r="J1101" s="36">
        <f t="shared" si="35"/>
        <v>8.2051282051283092E-3</v>
      </c>
    </row>
    <row r="1102" spans="5:10">
      <c r="E1102" s="34">
        <v>45722</v>
      </c>
      <c r="F1102" s="1">
        <v>1347.25</v>
      </c>
      <c r="G1102" s="2">
        <v>49500</v>
      </c>
      <c r="I1102" s="36">
        <f t="shared" si="34"/>
        <v>8.194267754246809E-3</v>
      </c>
      <c r="J1102" s="36">
        <f t="shared" si="35"/>
        <v>7.1210579857579059E-3</v>
      </c>
    </row>
    <row r="1103" spans="5:10">
      <c r="E1103" s="34">
        <v>45753</v>
      </c>
      <c r="F1103" s="1">
        <v>1345.74</v>
      </c>
      <c r="G1103" s="2">
        <v>50100</v>
      </c>
      <c r="I1103" s="36">
        <f t="shared" si="34"/>
        <v>-1.1208016329560255E-3</v>
      </c>
      <c r="J1103" s="36">
        <f t="shared" si="35"/>
        <v>1.2121212121212199E-2</v>
      </c>
    </row>
    <row r="1104" spans="5:10">
      <c r="E1104" s="34">
        <v>45783</v>
      </c>
      <c r="F1104" s="1">
        <v>1342.09</v>
      </c>
      <c r="G1104" s="2">
        <v>49500</v>
      </c>
      <c r="I1104" s="36">
        <f t="shared" si="34"/>
        <v>-2.7122623983830696E-3</v>
      </c>
      <c r="J1104" s="36">
        <f t="shared" si="35"/>
        <v>-1.19760479041916E-2</v>
      </c>
    </row>
    <row r="1105" spans="5:10">
      <c r="E1105" s="34">
        <v>45814</v>
      </c>
      <c r="F1105" s="1">
        <v>1329.89</v>
      </c>
      <c r="G1105" s="2">
        <v>49050</v>
      </c>
      <c r="I1105" s="36">
        <f t="shared" si="34"/>
        <v>-9.0902994583074159E-3</v>
      </c>
      <c r="J1105" s="36">
        <f t="shared" si="35"/>
        <v>-9.0909090909090384E-3</v>
      </c>
    </row>
    <row r="1106" spans="5:10">
      <c r="E1106" s="34">
        <v>45906</v>
      </c>
      <c r="F1106" s="1">
        <v>1310.57</v>
      </c>
      <c r="G1106" s="2">
        <v>48850</v>
      </c>
      <c r="I1106" s="36">
        <f t="shared" si="34"/>
        <v>-1.4527517313462135E-2</v>
      </c>
      <c r="J1106" s="36">
        <f t="shared" si="35"/>
        <v>-4.0774719673801751E-3</v>
      </c>
    </row>
    <row r="1107" spans="5:10">
      <c r="E1107" s="34">
        <v>45936</v>
      </c>
      <c r="F1107" s="1">
        <v>1316.23</v>
      </c>
      <c r="G1107" s="2">
        <v>48850</v>
      </c>
      <c r="I1107" s="36">
        <f t="shared" si="34"/>
        <v>4.3187315442898555E-3</v>
      </c>
      <c r="J1107" s="36">
        <f t="shared" si="35"/>
        <v>0</v>
      </c>
    </row>
    <row r="1108" spans="5:10">
      <c r="E1108" s="34">
        <v>45967</v>
      </c>
      <c r="F1108" s="1">
        <v>1315.2</v>
      </c>
      <c r="G1108" s="2">
        <v>49000</v>
      </c>
      <c r="I1108" s="36">
        <f t="shared" si="34"/>
        <v>-7.8253800627547943E-4</v>
      </c>
      <c r="J1108" s="36">
        <f t="shared" si="35"/>
        <v>3.0706243602864891E-3</v>
      </c>
    </row>
    <row r="1109" spans="5:10">
      <c r="E1109" s="34">
        <v>45997</v>
      </c>
      <c r="F1109" s="1">
        <v>1322.99</v>
      </c>
      <c r="G1109" s="2">
        <v>49450</v>
      </c>
      <c r="I1109" s="36">
        <f t="shared" si="34"/>
        <v>5.9230535279806151E-3</v>
      </c>
      <c r="J1109" s="36">
        <f t="shared" si="35"/>
        <v>9.1836734693877542E-3</v>
      </c>
    </row>
    <row r="1110" spans="5:10">
      <c r="E1110" t="s">
        <v>241</v>
      </c>
      <c r="F1110" s="1">
        <v>1315.49</v>
      </c>
      <c r="G1110" s="2">
        <v>49100</v>
      </c>
      <c r="I1110" s="36">
        <f t="shared" si="34"/>
        <v>-5.6689770897738745E-3</v>
      </c>
      <c r="J1110" s="36">
        <f t="shared" si="35"/>
        <v>-7.0778564206268602E-3</v>
      </c>
    </row>
    <row r="1111" spans="5:10">
      <c r="E1111" t="s">
        <v>242</v>
      </c>
      <c r="F1111" s="1">
        <v>1338.11</v>
      </c>
      <c r="G1111" s="2">
        <v>49550</v>
      </c>
      <c r="I1111" s="36">
        <f t="shared" si="34"/>
        <v>1.7195113607856971E-2</v>
      </c>
      <c r="J1111" s="36">
        <f t="shared" si="35"/>
        <v>9.164969450101923E-3</v>
      </c>
    </row>
    <row r="1112" spans="5:10">
      <c r="E1112" t="s">
        <v>243</v>
      </c>
      <c r="F1112" s="1">
        <v>1347.69</v>
      </c>
      <c r="G1112" s="2">
        <v>49950</v>
      </c>
      <c r="I1112" s="36">
        <f t="shared" si="34"/>
        <v>7.1593516228114495E-3</v>
      </c>
      <c r="J1112" s="36">
        <f t="shared" si="35"/>
        <v>8.0726538849646978E-3</v>
      </c>
    </row>
    <row r="1113" spans="5:10">
      <c r="E1113" t="s">
        <v>244</v>
      </c>
      <c r="F1113" s="1">
        <v>1346.83</v>
      </c>
      <c r="G1113" s="2">
        <v>49500</v>
      </c>
      <c r="I1113" s="36">
        <f t="shared" si="34"/>
        <v>-6.3812894656789521E-4</v>
      </c>
      <c r="J1113" s="36">
        <f t="shared" si="35"/>
        <v>-9.009009009009028E-3</v>
      </c>
    </row>
    <row r="1114" spans="5:10">
      <c r="E1114" t="s">
        <v>245</v>
      </c>
      <c r="F1114" s="1">
        <v>1352.04</v>
      </c>
      <c r="G1114" s="2">
        <v>49450</v>
      </c>
      <c r="I1114" s="36">
        <f t="shared" si="34"/>
        <v>3.8683427010091087E-3</v>
      </c>
      <c r="J1114" s="36">
        <f t="shared" si="35"/>
        <v>-1.0101010101010166E-3</v>
      </c>
    </row>
    <row r="1115" spans="5:10">
      <c r="E1115" t="s">
        <v>246</v>
      </c>
      <c r="F1115" s="1">
        <v>1349.35</v>
      </c>
      <c r="G1115" s="2">
        <v>49500</v>
      </c>
      <c r="I1115" s="36">
        <f t="shared" si="34"/>
        <v>-1.989586106919905E-3</v>
      </c>
      <c r="J1115" s="36">
        <f t="shared" si="35"/>
        <v>1.0111223458038054E-3</v>
      </c>
    </row>
    <row r="1116" spans="5:10">
      <c r="E1116" t="s">
        <v>247</v>
      </c>
      <c r="F1116" s="1">
        <v>1358.18</v>
      </c>
      <c r="G1116" s="2">
        <v>46330</v>
      </c>
      <c r="I1116" s="36">
        <f t="shared" si="34"/>
        <v>6.543891503316468E-3</v>
      </c>
      <c r="J1116" s="36">
        <f t="shared" si="35"/>
        <v>-6.4040404040404009E-2</v>
      </c>
    </row>
    <row r="1117" spans="5:10">
      <c r="E1117" t="s">
        <v>248</v>
      </c>
      <c r="F1117" s="1">
        <v>1366.77</v>
      </c>
      <c r="G1117" s="2">
        <v>46706</v>
      </c>
      <c r="I1117" s="36">
        <f t="shared" si="34"/>
        <v>6.324640327497022E-3</v>
      </c>
      <c r="J1117" s="36">
        <f t="shared" si="35"/>
        <v>8.1156917763867131E-3</v>
      </c>
    </row>
    <row r="1118" spans="5:10">
      <c r="E1118" t="s">
        <v>249</v>
      </c>
      <c r="F1118" s="1">
        <v>1366.75</v>
      </c>
      <c r="G1118" s="2">
        <v>47318</v>
      </c>
      <c r="I1118" s="36">
        <f t="shared" si="34"/>
        <v>-1.4633039940870063E-5</v>
      </c>
      <c r="J1118" s="36">
        <f t="shared" si="35"/>
        <v>1.3103241553547695E-2</v>
      </c>
    </row>
    <row r="1119" spans="5:10">
      <c r="E1119" t="s">
        <v>250</v>
      </c>
      <c r="F1119" s="1">
        <v>1365.67</v>
      </c>
      <c r="G1119" s="2">
        <v>47506</v>
      </c>
      <c r="I1119" s="36">
        <f t="shared" si="34"/>
        <v>-7.9019571977312353E-4</v>
      </c>
      <c r="J1119" s="36">
        <f t="shared" si="35"/>
        <v>3.9731180523268073E-3</v>
      </c>
    </row>
    <row r="1120" spans="5:10">
      <c r="E1120" t="s">
        <v>251</v>
      </c>
      <c r="F1120" s="1">
        <v>1371.44</v>
      </c>
      <c r="G1120" s="2">
        <v>47600</v>
      </c>
      <c r="I1120" s="36">
        <f t="shared" si="34"/>
        <v>4.2250324016783747E-3</v>
      </c>
      <c r="J1120" s="36">
        <f t="shared" si="35"/>
        <v>1.9786974276934099E-3</v>
      </c>
    </row>
    <row r="1121" spans="5:10">
      <c r="E1121" t="s">
        <v>252</v>
      </c>
      <c r="F1121" s="1">
        <v>1376.07</v>
      </c>
      <c r="G1121" s="2">
        <v>47000</v>
      </c>
      <c r="I1121" s="36">
        <f t="shared" si="34"/>
        <v>3.3760135332203678E-3</v>
      </c>
      <c r="J1121" s="36">
        <f t="shared" si="35"/>
        <v>-1.2605042016806678E-2</v>
      </c>
    </row>
    <row r="1122" spans="5:10">
      <c r="E1122" s="34">
        <v>45664</v>
      </c>
      <c r="F1122" s="1">
        <v>1377.84</v>
      </c>
      <c r="G1122" s="2">
        <v>46550</v>
      </c>
      <c r="I1122" s="36">
        <f t="shared" si="34"/>
        <v>1.2862717739650087E-3</v>
      </c>
      <c r="J1122" s="36">
        <f t="shared" si="35"/>
        <v>-9.5744680851064246E-3</v>
      </c>
    </row>
    <row r="1123" spans="5:10">
      <c r="E1123" s="34">
        <v>45695</v>
      </c>
      <c r="F1123" s="1">
        <v>1384.59</v>
      </c>
      <c r="G1123" s="2">
        <v>46400</v>
      </c>
      <c r="I1123" s="36">
        <f t="shared" si="34"/>
        <v>4.8989723044765565E-3</v>
      </c>
      <c r="J1123" s="36">
        <f t="shared" si="35"/>
        <v>-3.2223415682062218E-3</v>
      </c>
    </row>
    <row r="1124" spans="5:10">
      <c r="E1124" s="34">
        <v>45723</v>
      </c>
      <c r="F1124" s="1">
        <v>1381.96</v>
      </c>
      <c r="G1124" s="2">
        <v>46250</v>
      </c>
      <c r="I1124" s="36">
        <f t="shared" si="34"/>
        <v>-1.8994792682309747E-3</v>
      </c>
      <c r="J1124" s="36">
        <f t="shared" si="35"/>
        <v>-3.2327586206896131E-3</v>
      </c>
    </row>
    <row r="1125" spans="5:10">
      <c r="E1125" s="34">
        <v>45754</v>
      </c>
      <c r="F1125" s="1">
        <v>1386.97</v>
      </c>
      <c r="G1125" s="2">
        <v>46400</v>
      </c>
      <c r="I1125" s="36">
        <f t="shared" si="34"/>
        <v>3.6252858259284704E-3</v>
      </c>
      <c r="J1125" s="36">
        <f t="shared" si="35"/>
        <v>3.2432432432432101E-3</v>
      </c>
    </row>
    <row r="1126" spans="5:10">
      <c r="E1126" s="34">
        <v>45845</v>
      </c>
      <c r="F1126" s="1">
        <v>1402.06</v>
      </c>
      <c r="G1126" s="2">
        <v>46400</v>
      </c>
      <c r="I1126" s="36">
        <f t="shared" si="34"/>
        <v>1.0879831575304477E-2</v>
      </c>
      <c r="J1126" s="36">
        <f t="shared" si="35"/>
        <v>0</v>
      </c>
    </row>
    <row r="1127" spans="5:10">
      <c r="E1127" s="34">
        <v>45876</v>
      </c>
      <c r="F1127" s="1">
        <v>1415.46</v>
      </c>
      <c r="G1127" s="2">
        <v>46850</v>
      </c>
      <c r="I1127" s="36">
        <f t="shared" si="34"/>
        <v>9.5573655906309174E-3</v>
      </c>
      <c r="J1127" s="36">
        <f t="shared" si="35"/>
        <v>9.6982758620689502E-3</v>
      </c>
    </row>
    <row r="1128" spans="5:10">
      <c r="E1128" s="34">
        <v>45907</v>
      </c>
      <c r="F1128" s="1">
        <v>1431.32</v>
      </c>
      <c r="G1128" s="2">
        <v>47650</v>
      </c>
      <c r="I1128" s="36">
        <f t="shared" si="34"/>
        <v>1.1204838003193274E-2</v>
      </c>
      <c r="J1128" s="36">
        <f t="shared" si="35"/>
        <v>1.7075773745997891E-2</v>
      </c>
    </row>
    <row r="1129" spans="5:10">
      <c r="E1129" s="34">
        <v>45937</v>
      </c>
      <c r="F1129" s="1">
        <v>1445.64</v>
      </c>
      <c r="G1129" s="2">
        <v>48100</v>
      </c>
      <c r="I1129" s="36">
        <f t="shared" si="34"/>
        <v>1.0004750859346823E-2</v>
      </c>
      <c r="J1129" s="36">
        <f t="shared" si="35"/>
        <v>9.4438614900314022E-3</v>
      </c>
    </row>
    <row r="1130" spans="5:10">
      <c r="E1130" s="34">
        <v>45968</v>
      </c>
      <c r="F1130" s="1">
        <v>1457.76</v>
      </c>
      <c r="G1130" s="2">
        <v>48150</v>
      </c>
      <c r="I1130" s="36">
        <f t="shared" si="34"/>
        <v>8.3838299991698673E-3</v>
      </c>
      <c r="J1130" s="36">
        <f t="shared" si="35"/>
        <v>1.0395010395010118E-3</v>
      </c>
    </row>
    <row r="1131" spans="5:10">
      <c r="E1131" t="s">
        <v>253</v>
      </c>
      <c r="F1131" s="1">
        <v>1470.42</v>
      </c>
      <c r="G1131" s="2">
        <v>48000</v>
      </c>
      <c r="I1131" s="36">
        <f t="shared" si="34"/>
        <v>8.6845571287454959E-3</v>
      </c>
      <c r="J1131" s="36">
        <f t="shared" si="35"/>
        <v>-3.1152647975077885E-3</v>
      </c>
    </row>
    <row r="1132" spans="5:10">
      <c r="E1132" t="s">
        <v>254</v>
      </c>
      <c r="F1132" s="1">
        <v>1460.65</v>
      </c>
      <c r="G1132" s="2">
        <v>48050</v>
      </c>
      <c r="I1132" s="36">
        <f t="shared" si="34"/>
        <v>-6.6443601147970766E-3</v>
      </c>
      <c r="J1132" s="36">
        <f t="shared" si="35"/>
        <v>1.0416666666666075E-3</v>
      </c>
    </row>
    <row r="1133" spans="5:10">
      <c r="E1133" t="s">
        <v>255</v>
      </c>
      <c r="F1133" s="1">
        <v>1475.47</v>
      </c>
      <c r="G1133" s="2">
        <v>48000</v>
      </c>
      <c r="I1133" s="36">
        <f t="shared" si="34"/>
        <v>1.0146167802005834E-2</v>
      </c>
      <c r="J1133" s="36">
        <f t="shared" si="35"/>
        <v>-1.0405827263267886E-3</v>
      </c>
    </row>
    <row r="1134" spans="5:10">
      <c r="E1134" t="s">
        <v>256</v>
      </c>
      <c r="F1134" s="1">
        <v>1490.01</v>
      </c>
      <c r="G1134" s="2">
        <v>48400</v>
      </c>
      <c r="I1134" s="36">
        <f t="shared" si="34"/>
        <v>9.8544870448060706E-3</v>
      </c>
      <c r="J1134" s="36">
        <f t="shared" si="35"/>
        <v>8.3333333333333037E-3</v>
      </c>
    </row>
    <row r="1135" spans="5:10">
      <c r="E1135" t="s">
        <v>257</v>
      </c>
      <c r="F1135" s="1">
        <v>1497.28</v>
      </c>
      <c r="G1135" s="2">
        <v>48200</v>
      </c>
      <c r="I1135" s="36">
        <f t="shared" si="34"/>
        <v>4.8791618848196272E-3</v>
      </c>
      <c r="J1135" s="36">
        <f t="shared" si="35"/>
        <v>-4.1322314049586639E-3</v>
      </c>
    </row>
    <row r="1136" spans="5:10">
      <c r="E1136" t="s">
        <v>258</v>
      </c>
      <c r="F1136" s="1">
        <v>1485.05</v>
      </c>
      <c r="G1136" s="2">
        <v>47700</v>
      </c>
      <c r="I1136" s="36">
        <f t="shared" si="34"/>
        <v>-8.1681449027569686E-3</v>
      </c>
      <c r="J1136" s="36">
        <f t="shared" si="35"/>
        <v>-1.0373443983402453E-2</v>
      </c>
    </row>
    <row r="1137" spans="5:10">
      <c r="E1137" t="s">
        <v>259</v>
      </c>
      <c r="F1137" s="1">
        <v>1509.54</v>
      </c>
      <c r="G1137" s="2">
        <v>47800</v>
      </c>
      <c r="I1137" s="36">
        <f t="shared" si="34"/>
        <v>1.6491027238140221E-2</v>
      </c>
      <c r="J1137" s="36">
        <f t="shared" si="35"/>
        <v>2.0964360587001352E-3</v>
      </c>
    </row>
    <row r="1138" spans="5:10">
      <c r="E1138" t="s">
        <v>260</v>
      </c>
      <c r="F1138" s="1">
        <v>1512.31</v>
      </c>
      <c r="G1138" s="2">
        <v>48600</v>
      </c>
      <c r="I1138" s="36">
        <f t="shared" si="34"/>
        <v>1.8349960915244878E-3</v>
      </c>
      <c r="J1138" s="36">
        <f t="shared" si="35"/>
        <v>1.6736401673640211E-2</v>
      </c>
    </row>
    <row r="1139" spans="5:10">
      <c r="E1139" t="s">
        <v>261</v>
      </c>
      <c r="F1139" s="1">
        <v>1521.02</v>
      </c>
      <c r="G1139" s="2">
        <v>49000</v>
      </c>
      <c r="I1139" s="36">
        <f t="shared" si="34"/>
        <v>5.7594011809747325E-3</v>
      </c>
      <c r="J1139" s="36">
        <f t="shared" si="35"/>
        <v>8.2304526748970819E-3</v>
      </c>
    </row>
    <row r="1140" spans="5:10">
      <c r="E1140" t="s">
        <v>262</v>
      </c>
      <c r="F1140" s="1">
        <v>1531.13</v>
      </c>
      <c r="G1140" s="2">
        <v>49100</v>
      </c>
      <c r="I1140" s="36">
        <f t="shared" si="34"/>
        <v>6.6468553996661406E-3</v>
      </c>
      <c r="J1140" s="36">
        <f t="shared" si="35"/>
        <v>2.0408163265306367E-3</v>
      </c>
    </row>
    <row r="1141" spans="5:10">
      <c r="E1141" t="s">
        <v>263</v>
      </c>
      <c r="F1141" s="1">
        <v>1557.42</v>
      </c>
      <c r="G1141" s="2">
        <v>49300</v>
      </c>
      <c r="I1141" s="36">
        <f t="shared" si="34"/>
        <v>1.7170325184667545E-2</v>
      </c>
      <c r="J1141" s="36">
        <f t="shared" si="35"/>
        <v>4.0733197556008793E-3</v>
      </c>
    </row>
    <row r="1142" spans="5:10">
      <c r="E1142" t="s">
        <v>264</v>
      </c>
      <c r="F1142" s="1">
        <v>1493.41</v>
      </c>
      <c r="G1142" s="2">
        <v>47350</v>
      </c>
      <c r="I1142" s="36">
        <f t="shared" si="34"/>
        <v>-4.110002439932714E-2</v>
      </c>
      <c r="J1142" s="36">
        <f t="shared" si="35"/>
        <v>-3.9553752535496978E-2</v>
      </c>
    </row>
    <row r="1143" spans="5:10">
      <c r="E1143" t="s">
        <v>265</v>
      </c>
      <c r="F1143" s="1">
        <v>1507.63</v>
      </c>
      <c r="G1143" s="2">
        <v>47600</v>
      </c>
      <c r="I1143" s="36">
        <f t="shared" si="34"/>
        <v>9.5218325844879104E-3</v>
      </c>
      <c r="J1143" s="36">
        <f t="shared" si="35"/>
        <v>5.2798310454065245E-3</v>
      </c>
    </row>
    <row r="1144" spans="5:10">
      <c r="E1144" t="s">
        <v>266</v>
      </c>
      <c r="F1144" s="1">
        <v>1502.52</v>
      </c>
      <c r="G1144" s="2">
        <v>47650</v>
      </c>
      <c r="I1144" s="36">
        <f t="shared" si="34"/>
        <v>-3.389425787494349E-3</v>
      </c>
      <c r="J1144" s="36">
        <f t="shared" si="35"/>
        <v>1.0504201680672232E-3</v>
      </c>
    </row>
    <row r="1145" spans="5:10">
      <c r="E1145" s="34">
        <v>45665</v>
      </c>
      <c r="F1145" s="1">
        <v>1495.21</v>
      </c>
      <c r="G1145" s="2">
        <v>47950</v>
      </c>
      <c r="I1145" s="36">
        <f t="shared" si="34"/>
        <v>-4.8651598647605487E-3</v>
      </c>
      <c r="J1145" s="36">
        <f t="shared" si="35"/>
        <v>6.2959076600210828E-3</v>
      </c>
    </row>
    <row r="1146" spans="5:10">
      <c r="E1146" s="34">
        <v>45755</v>
      </c>
      <c r="F1146" s="1">
        <v>1528.19</v>
      </c>
      <c r="G1146" s="2">
        <v>48100</v>
      </c>
      <c r="I1146" s="36">
        <f t="shared" si="34"/>
        <v>2.2057102346827451E-2</v>
      </c>
      <c r="J1146" s="36">
        <f t="shared" si="35"/>
        <v>3.1282586027112647E-3</v>
      </c>
    </row>
    <row r="1147" spans="5:10">
      <c r="E1147" s="34">
        <v>45785</v>
      </c>
      <c r="F1147" s="1">
        <v>1547.15</v>
      </c>
      <c r="G1147" s="2">
        <v>47500</v>
      </c>
      <c r="I1147" s="36">
        <f t="shared" si="34"/>
        <v>1.2406834228728236E-2</v>
      </c>
      <c r="J1147" s="36">
        <f t="shared" si="35"/>
        <v>-1.2474012474012475E-2</v>
      </c>
    </row>
    <row r="1148" spans="5:10">
      <c r="E1148" s="34">
        <v>45816</v>
      </c>
      <c r="F1148" s="1">
        <v>1573.71</v>
      </c>
      <c r="G1148" s="2">
        <v>47800</v>
      </c>
      <c r="I1148" s="36">
        <f t="shared" si="34"/>
        <v>1.7167049090262676E-2</v>
      </c>
      <c r="J1148" s="36">
        <f t="shared" si="35"/>
        <v>6.3157894736842746E-3</v>
      </c>
    </row>
    <row r="1149" spans="5:10">
      <c r="E1149" s="34">
        <v>45846</v>
      </c>
      <c r="F1149" s="1">
        <v>1581.81</v>
      </c>
      <c r="G1149" s="2">
        <v>47700</v>
      </c>
      <c r="I1149" s="36">
        <f t="shared" si="34"/>
        <v>5.1470728406122213E-3</v>
      </c>
      <c r="J1149" s="36">
        <f t="shared" si="35"/>
        <v>-2.0920502092049986E-3</v>
      </c>
    </row>
    <row r="1150" spans="5:10">
      <c r="E1150" s="34">
        <v>45877</v>
      </c>
      <c r="F1150" s="1">
        <v>1584.95</v>
      </c>
      <c r="G1150" s="2">
        <v>47850</v>
      </c>
      <c r="I1150" s="36">
        <f t="shared" si="34"/>
        <v>1.9850677388562055E-3</v>
      </c>
      <c r="J1150" s="36">
        <f t="shared" si="35"/>
        <v>3.1446540880504248E-3</v>
      </c>
    </row>
    <row r="1151" spans="5:10">
      <c r="E1151" s="34">
        <v>45969</v>
      </c>
      <c r="F1151" s="1">
        <v>1596.86</v>
      </c>
      <c r="G1151" s="2">
        <v>48200</v>
      </c>
      <c r="I1151" s="36">
        <f t="shared" si="34"/>
        <v>7.514432631944068E-3</v>
      </c>
      <c r="J1151" s="36">
        <f t="shared" si="35"/>
        <v>7.3145245559038674E-3</v>
      </c>
    </row>
    <row r="1152" spans="5:10">
      <c r="E1152" s="34">
        <v>45999</v>
      </c>
      <c r="F1152" s="1">
        <v>1608.22</v>
      </c>
      <c r="G1152" s="2">
        <v>48300</v>
      </c>
      <c r="I1152" s="36">
        <f t="shared" si="34"/>
        <v>7.1139611487545107E-3</v>
      </c>
      <c r="J1152" s="36">
        <f t="shared" si="35"/>
        <v>2.0746887966804906E-3</v>
      </c>
    </row>
    <row r="1153" spans="5:10">
      <c r="E1153" t="s">
        <v>267</v>
      </c>
      <c r="F1153" s="1">
        <v>1611.6</v>
      </c>
      <c r="G1153" s="2">
        <v>47950</v>
      </c>
      <c r="I1153" s="36">
        <f t="shared" si="34"/>
        <v>2.1017025033887027E-3</v>
      </c>
      <c r="J1153" s="36">
        <f t="shared" si="35"/>
        <v>-7.2463768115942351E-3</v>
      </c>
    </row>
    <row r="1154" spans="5:10">
      <c r="E1154" t="s">
        <v>268</v>
      </c>
      <c r="F1154" s="1">
        <v>1640.69</v>
      </c>
      <c r="G1154" s="2">
        <v>47900</v>
      </c>
      <c r="I1154" s="36">
        <f t="shared" si="34"/>
        <v>1.8050384710846412E-2</v>
      </c>
      <c r="J1154" s="36">
        <f t="shared" si="35"/>
        <v>-1.0427528675703845E-3</v>
      </c>
    </row>
    <row r="1155" spans="5:10">
      <c r="E1155" t="s">
        <v>269</v>
      </c>
      <c r="F1155" s="1">
        <v>1630</v>
      </c>
      <c r="G1155" s="2">
        <v>47500</v>
      </c>
      <c r="I1155" s="36">
        <f t="shared" si="34"/>
        <v>-6.515551383869056E-3</v>
      </c>
      <c r="J1155" s="36">
        <f t="shared" si="35"/>
        <v>-8.3507306889353261E-3</v>
      </c>
    </row>
    <row r="1156" spans="5:10">
      <c r="E1156" t="s">
        <v>270</v>
      </c>
      <c r="F1156" s="1">
        <v>1636.37</v>
      </c>
      <c r="G1156" s="2">
        <v>47150</v>
      </c>
      <c r="I1156" s="36">
        <f t="shared" si="34"/>
        <v>3.9079754601225591E-3</v>
      </c>
      <c r="J1156" s="36">
        <f t="shared" si="35"/>
        <v>-7.3684210526315796E-3</v>
      </c>
    </row>
    <row r="1157" spans="5:10">
      <c r="E1157" t="s">
        <v>271</v>
      </c>
      <c r="F1157" s="1">
        <v>1654.2</v>
      </c>
      <c r="G1157" s="2">
        <v>47150</v>
      </c>
      <c r="I1157" s="36">
        <f t="shared" si="34"/>
        <v>1.0896068737510589E-2</v>
      </c>
      <c r="J1157" s="36">
        <f t="shared" si="35"/>
        <v>0</v>
      </c>
    </row>
    <row r="1158" spans="5:10">
      <c r="E1158" t="s">
        <v>272</v>
      </c>
      <c r="F1158" s="1">
        <v>1664.36</v>
      </c>
      <c r="G1158" s="2">
        <v>46750</v>
      </c>
      <c r="I1158" s="36">
        <f t="shared" si="34"/>
        <v>6.1419417240962115E-3</v>
      </c>
      <c r="J1158" s="36">
        <f t="shared" si="35"/>
        <v>-8.4835630965005571E-3</v>
      </c>
    </row>
    <row r="1159" spans="5:10">
      <c r="E1159" t="s">
        <v>273</v>
      </c>
      <c r="F1159" s="1">
        <v>1688</v>
      </c>
      <c r="G1159" s="2">
        <v>46600</v>
      </c>
      <c r="I1159" s="36">
        <f t="shared" ref="I1159:I1222" si="36">F1159/F1158-1</f>
        <v>1.4203657862481789E-2</v>
      </c>
      <c r="J1159" s="36">
        <f t="shared" ref="J1159:J1222" si="37">G1159/G1158-1</f>
        <v>-3.2085561497325887E-3</v>
      </c>
    </row>
    <row r="1160" spans="5:10">
      <c r="E1160" t="s">
        <v>274</v>
      </c>
      <c r="F1160" s="1">
        <v>1645.47</v>
      </c>
      <c r="G1160" s="2">
        <v>45800</v>
      </c>
      <c r="I1160" s="36">
        <f t="shared" si="36"/>
        <v>-2.5195497630331687E-2</v>
      </c>
      <c r="J1160" s="36">
        <f t="shared" si="37"/>
        <v>-1.7167381974248941E-2</v>
      </c>
    </row>
    <row r="1161" spans="5:10">
      <c r="E1161" t="s">
        <v>275</v>
      </c>
      <c r="F1161" s="1">
        <v>1614.03</v>
      </c>
      <c r="G1161" s="2">
        <v>45600</v>
      </c>
      <c r="I1161" s="36">
        <f t="shared" si="36"/>
        <v>-1.9107002862404077E-2</v>
      </c>
      <c r="J1161" s="36">
        <f t="shared" si="37"/>
        <v>-4.366812227074246E-3</v>
      </c>
    </row>
    <row r="1162" spans="5:10">
      <c r="E1162" t="s">
        <v>276</v>
      </c>
      <c r="F1162" s="1">
        <v>1667.63</v>
      </c>
      <c r="G1162" s="2">
        <v>45900</v>
      </c>
      <c r="I1162" s="36">
        <f t="shared" si="36"/>
        <v>3.3208800332088062E-2</v>
      </c>
      <c r="J1162" s="36">
        <f t="shared" si="37"/>
        <v>6.5789473684210176E-3</v>
      </c>
    </row>
    <row r="1163" spans="5:10">
      <c r="E1163" t="s">
        <v>277</v>
      </c>
      <c r="F1163" s="1">
        <v>1672.78</v>
      </c>
      <c r="G1163" s="2">
        <v>46000</v>
      </c>
      <c r="I1163" s="36">
        <f t="shared" si="36"/>
        <v>3.0882150117230722E-3</v>
      </c>
      <c r="J1163" s="36">
        <f t="shared" si="37"/>
        <v>2.1786492374726851E-3</v>
      </c>
    </row>
    <row r="1164" spans="5:10">
      <c r="E1164" t="s">
        <v>278</v>
      </c>
      <c r="F1164" s="1">
        <v>1680.86</v>
      </c>
      <c r="G1164" s="2">
        <v>46550</v>
      </c>
      <c r="I1164" s="36">
        <f t="shared" si="36"/>
        <v>4.8302825237029889E-3</v>
      </c>
      <c r="J1164" s="36">
        <f t="shared" si="37"/>
        <v>1.1956521739130421E-2</v>
      </c>
    </row>
    <row r="1165" spans="5:10">
      <c r="E1165" t="s">
        <v>279</v>
      </c>
      <c r="F1165" s="1">
        <v>1682.21</v>
      </c>
      <c r="G1165" s="2">
        <v>46550</v>
      </c>
      <c r="I1165" s="36">
        <f t="shared" si="36"/>
        <v>8.031602869960075E-4</v>
      </c>
      <c r="J1165" s="36">
        <f t="shared" si="37"/>
        <v>0</v>
      </c>
    </row>
    <row r="1166" spans="5:10">
      <c r="E1166" s="34">
        <v>45725</v>
      </c>
      <c r="F1166" s="1">
        <v>1681.3</v>
      </c>
      <c r="G1166" s="2">
        <v>46350</v>
      </c>
      <c r="I1166" s="36">
        <f t="shared" si="36"/>
        <v>-5.409550531741969E-4</v>
      </c>
      <c r="J1166" s="36">
        <f t="shared" si="37"/>
        <v>-4.2964554242749253E-3</v>
      </c>
    </row>
    <row r="1167" spans="5:10">
      <c r="E1167" s="34">
        <v>45756</v>
      </c>
      <c r="F1167" s="1">
        <v>1696.29</v>
      </c>
      <c r="G1167" s="2">
        <v>47100</v>
      </c>
      <c r="I1167" s="36">
        <f t="shared" si="36"/>
        <v>8.9157199785880881E-3</v>
      </c>
      <c r="J1167" s="36">
        <f t="shared" si="37"/>
        <v>1.6181229773462702E-2</v>
      </c>
    </row>
    <row r="1168" spans="5:10">
      <c r="E1168" s="34">
        <v>45786</v>
      </c>
      <c r="F1168" s="1">
        <v>1666.97</v>
      </c>
      <c r="G1168" s="2">
        <v>47300</v>
      </c>
      <c r="I1168" s="36">
        <f t="shared" si="36"/>
        <v>-1.7284780314686721E-2</v>
      </c>
      <c r="J1168" s="36">
        <f t="shared" si="37"/>
        <v>4.2462845010615702E-3</v>
      </c>
    </row>
    <row r="1169" spans="5:10">
      <c r="E1169" s="34">
        <v>45878</v>
      </c>
      <c r="F1169" s="1">
        <v>1624.53</v>
      </c>
      <c r="G1169" s="2">
        <v>46800</v>
      </c>
      <c r="I1169" s="36">
        <f t="shared" si="36"/>
        <v>-2.5459366395316096E-2</v>
      </c>
      <c r="J1169" s="36">
        <f t="shared" si="37"/>
        <v>-1.0570824524312905E-2</v>
      </c>
    </row>
    <row r="1170" spans="5:10">
      <c r="E1170" s="34">
        <v>45909</v>
      </c>
      <c r="F1170" s="1">
        <v>1637.32</v>
      </c>
      <c r="G1170" s="2">
        <v>46300</v>
      </c>
      <c r="I1170" s="36">
        <f t="shared" si="36"/>
        <v>7.8730463580234389E-3</v>
      </c>
      <c r="J1170" s="36">
        <f t="shared" si="37"/>
        <v>-1.0683760683760646E-2</v>
      </c>
    </row>
    <row r="1171" spans="5:10">
      <c r="E1171" s="34">
        <v>45939</v>
      </c>
      <c r="F1171" s="1">
        <v>1643.26</v>
      </c>
      <c r="G1171" s="2">
        <v>46250</v>
      </c>
      <c r="I1171" s="36">
        <f t="shared" si="36"/>
        <v>3.6278797058608703E-3</v>
      </c>
      <c r="J1171" s="36">
        <f t="shared" si="37"/>
        <v>-1.0799136069113979E-3</v>
      </c>
    </row>
    <row r="1172" spans="5:10">
      <c r="E1172" s="34">
        <v>45970</v>
      </c>
      <c r="F1172" s="1">
        <v>1657.75</v>
      </c>
      <c r="G1172" s="2">
        <v>46400</v>
      </c>
      <c r="I1172" s="36">
        <f t="shared" si="36"/>
        <v>8.8178377128391716E-3</v>
      </c>
      <c r="J1172" s="36">
        <f t="shared" si="37"/>
        <v>3.2432432432432101E-3</v>
      </c>
    </row>
    <row r="1173" spans="5:10">
      <c r="E1173" s="34">
        <v>46000</v>
      </c>
      <c r="F1173" s="1">
        <v>1667.26</v>
      </c>
      <c r="G1173" s="2">
        <v>46650</v>
      </c>
      <c r="I1173" s="36">
        <f t="shared" si="36"/>
        <v>5.7366912984466722E-3</v>
      </c>
      <c r="J1173" s="36">
        <f t="shared" si="37"/>
        <v>5.3879310344826514E-3</v>
      </c>
    </row>
    <row r="1174" spans="5:10">
      <c r="E1174" t="s">
        <v>280</v>
      </c>
      <c r="F1174" s="1">
        <v>1684.9</v>
      </c>
      <c r="G1174" s="2">
        <v>46700</v>
      </c>
      <c r="I1174" s="36">
        <f t="shared" si="36"/>
        <v>1.0580233436896513E-2</v>
      </c>
      <c r="J1174" s="36">
        <f t="shared" si="37"/>
        <v>1.071811361200492E-3</v>
      </c>
    </row>
    <row r="1175" spans="5:10">
      <c r="E1175" t="s">
        <v>281</v>
      </c>
      <c r="F1175" s="1">
        <v>1680.9</v>
      </c>
      <c r="G1175" s="2">
        <v>47800</v>
      </c>
      <c r="I1175" s="36">
        <f t="shared" si="36"/>
        <v>-2.3740281322334189E-3</v>
      </c>
      <c r="J1175" s="36">
        <f t="shared" si="37"/>
        <v>2.3554603854389677E-2</v>
      </c>
    </row>
    <row r="1176" spans="5:10">
      <c r="E1176" t="s">
        <v>282</v>
      </c>
      <c r="F1176" s="1">
        <v>1670.97</v>
      </c>
      <c r="G1176" s="2">
        <v>47300</v>
      </c>
      <c r="I1176" s="36">
        <f t="shared" si="36"/>
        <v>-5.907549527039091E-3</v>
      </c>
      <c r="J1176" s="36">
        <f t="shared" si="37"/>
        <v>-1.0460251046025104E-2</v>
      </c>
    </row>
    <row r="1177" spans="5:10">
      <c r="E1177" t="s">
        <v>283</v>
      </c>
      <c r="F1177" s="1">
        <v>1665.18</v>
      </c>
      <c r="G1177" s="2">
        <v>46800</v>
      </c>
      <c r="I1177" s="36">
        <f t="shared" si="36"/>
        <v>-3.4650532325535277E-3</v>
      </c>
      <c r="J1177" s="36">
        <f t="shared" si="37"/>
        <v>-1.0570824524312905E-2</v>
      </c>
    </row>
    <row r="1178" spans="5:10">
      <c r="E1178" t="s">
        <v>284</v>
      </c>
      <c r="F1178" s="1">
        <v>1658.62</v>
      </c>
      <c r="G1178" s="2">
        <v>46000</v>
      </c>
      <c r="I1178" s="36">
        <f t="shared" si="36"/>
        <v>-3.9395140465295908E-3</v>
      </c>
      <c r="J1178" s="36">
        <f t="shared" si="37"/>
        <v>-1.7094017094017144E-2</v>
      </c>
    </row>
    <row r="1179" spans="5:10">
      <c r="E1179" t="s">
        <v>285</v>
      </c>
      <c r="F1179" s="1">
        <v>1634.45</v>
      </c>
      <c r="G1179" s="2">
        <v>45700</v>
      </c>
      <c r="I1179" s="36">
        <f t="shared" si="36"/>
        <v>-1.4572355331540554E-2</v>
      </c>
      <c r="J1179" s="36">
        <f t="shared" si="37"/>
        <v>-6.521739130434745E-3</v>
      </c>
    </row>
    <row r="1180" spans="5:10">
      <c r="E1180" t="s">
        <v>286</v>
      </c>
      <c r="F1180" s="1">
        <v>1635.26</v>
      </c>
      <c r="G1180" s="2">
        <v>45800</v>
      </c>
      <c r="I1180" s="36">
        <f t="shared" si="36"/>
        <v>4.9557955275481014E-4</v>
      </c>
      <c r="J1180" s="36">
        <f t="shared" si="37"/>
        <v>2.1881838074397919E-3</v>
      </c>
    </row>
    <row r="1181" spans="5:10">
      <c r="E1181" t="s">
        <v>287</v>
      </c>
      <c r="F1181" s="1">
        <v>1657.46</v>
      </c>
      <c r="G1181" s="2">
        <v>46100</v>
      </c>
      <c r="I1181" s="36">
        <f t="shared" si="36"/>
        <v>1.3575822804936299E-2</v>
      </c>
      <c r="J1181" s="36">
        <f t="shared" si="37"/>
        <v>6.5502183406114245E-3</v>
      </c>
    </row>
    <row r="1182" spans="5:10">
      <c r="E1182" t="s">
        <v>288</v>
      </c>
      <c r="F1182" s="1">
        <v>1666.09</v>
      </c>
      <c r="G1182" s="2">
        <v>45850</v>
      </c>
      <c r="I1182" s="36">
        <f t="shared" si="36"/>
        <v>5.2067621541393994E-3</v>
      </c>
      <c r="J1182" s="36">
        <f t="shared" si="37"/>
        <v>-5.4229934924078238E-3</v>
      </c>
    </row>
    <row r="1183" spans="5:10">
      <c r="E1183" t="s">
        <v>289</v>
      </c>
      <c r="F1183" s="1">
        <v>1660.7</v>
      </c>
      <c r="G1183" s="2">
        <v>45650</v>
      </c>
      <c r="I1183" s="36">
        <f t="shared" si="36"/>
        <v>-3.2351193512955012E-3</v>
      </c>
      <c r="J1183" s="36">
        <f t="shared" si="37"/>
        <v>-4.362050163576936E-3</v>
      </c>
    </row>
    <row r="1184" spans="5:10">
      <c r="E1184" t="s">
        <v>290</v>
      </c>
      <c r="F1184" s="1">
        <v>1666.48</v>
      </c>
      <c r="G1184" s="2">
        <v>45500</v>
      </c>
      <c r="I1184" s="36">
        <f t="shared" si="36"/>
        <v>3.4804600469682256E-3</v>
      </c>
      <c r="J1184" s="36">
        <f t="shared" si="37"/>
        <v>-3.2858707557502642E-3</v>
      </c>
    </row>
    <row r="1185" spans="5:10">
      <c r="E1185" t="s">
        <v>291</v>
      </c>
      <c r="F1185" s="1">
        <v>1661.7</v>
      </c>
      <c r="G1185" s="2">
        <v>45200</v>
      </c>
      <c r="I1185" s="36">
        <f t="shared" si="36"/>
        <v>-2.8683212519802215E-3</v>
      </c>
      <c r="J1185" s="36">
        <f t="shared" si="37"/>
        <v>-6.59340659340657E-3</v>
      </c>
    </row>
    <row r="1186" spans="5:10">
      <c r="E1186" s="34">
        <v>45667</v>
      </c>
      <c r="F1186" s="1">
        <v>1665.05</v>
      </c>
      <c r="G1186" s="2">
        <v>45300</v>
      </c>
      <c r="I1186" s="36">
        <f t="shared" si="36"/>
        <v>2.0160077029547363E-3</v>
      </c>
      <c r="J1186" s="36">
        <f t="shared" si="37"/>
        <v>2.2123893805310324E-3</v>
      </c>
    </row>
    <row r="1187" spans="5:10">
      <c r="E1187" s="34">
        <v>45698</v>
      </c>
      <c r="F1187" s="1">
        <v>1652.71</v>
      </c>
      <c r="G1187" s="2">
        <v>45400</v>
      </c>
      <c r="I1187" s="36">
        <f t="shared" si="36"/>
        <v>-7.4111888531875891E-3</v>
      </c>
      <c r="J1187" s="36">
        <f t="shared" si="37"/>
        <v>2.2075055187638082E-3</v>
      </c>
    </row>
    <row r="1188" spans="5:10">
      <c r="E1188" s="34">
        <v>45726</v>
      </c>
      <c r="F1188" s="1">
        <v>1645.82</v>
      </c>
      <c r="G1188" s="2">
        <v>45550</v>
      </c>
      <c r="I1188" s="36">
        <f t="shared" si="36"/>
        <v>-4.1689104561599688E-3</v>
      </c>
      <c r="J1188" s="36">
        <f t="shared" si="37"/>
        <v>3.3039647577093323E-3</v>
      </c>
    </row>
    <row r="1189" spans="5:10">
      <c r="E1189" s="34">
        <v>45818</v>
      </c>
      <c r="F1189" s="1">
        <v>1695.5</v>
      </c>
      <c r="G1189" s="2">
        <v>46150</v>
      </c>
      <c r="I1189" s="36">
        <f t="shared" si="36"/>
        <v>3.0185560996949912E-2</v>
      </c>
      <c r="J1189" s="36">
        <f t="shared" si="37"/>
        <v>1.317233809001106E-2</v>
      </c>
    </row>
    <row r="1190" spans="5:10">
      <c r="E1190" s="34">
        <v>45848</v>
      </c>
      <c r="F1190" s="1">
        <v>1685.3</v>
      </c>
      <c r="G1190" s="2">
        <v>46000</v>
      </c>
      <c r="I1190" s="36">
        <f t="shared" si="36"/>
        <v>-6.0159245060454891E-3</v>
      </c>
      <c r="J1190" s="36">
        <f t="shared" si="37"/>
        <v>-3.25027085590468E-3</v>
      </c>
    </row>
    <row r="1191" spans="5:10">
      <c r="E1191" s="34">
        <v>45879</v>
      </c>
      <c r="F1191" s="1">
        <v>1697.83</v>
      </c>
      <c r="G1191" s="2">
        <v>45950</v>
      </c>
      <c r="I1191" s="36">
        <f t="shared" si="36"/>
        <v>7.4348780632527145E-3</v>
      </c>
      <c r="J1191" s="36">
        <f t="shared" si="37"/>
        <v>-1.0869565217391797E-3</v>
      </c>
    </row>
    <row r="1192" spans="5:10">
      <c r="E1192" s="34">
        <v>45910</v>
      </c>
      <c r="F1192" s="1">
        <v>1716.47</v>
      </c>
      <c r="G1192" s="2">
        <v>45600</v>
      </c>
      <c r="I1192" s="36">
        <f t="shared" si="36"/>
        <v>1.0978719895395894E-2</v>
      </c>
      <c r="J1192" s="36">
        <f t="shared" si="37"/>
        <v>-7.6169749727965641E-3</v>
      </c>
    </row>
    <row r="1193" spans="5:10">
      <c r="E1193" s="34">
        <v>45940</v>
      </c>
      <c r="F1193" s="1">
        <v>1747.55</v>
      </c>
      <c r="G1193" s="2">
        <v>45850</v>
      </c>
      <c r="I1193" s="36">
        <f t="shared" si="36"/>
        <v>1.8106928754944684E-2</v>
      </c>
      <c r="J1193" s="36">
        <f t="shared" si="37"/>
        <v>5.482456140350811E-3</v>
      </c>
    </row>
    <row r="1194" spans="5:10">
      <c r="E1194" t="s">
        <v>292</v>
      </c>
      <c r="F1194" s="1">
        <v>1765.12</v>
      </c>
      <c r="G1194" s="2">
        <v>45950</v>
      </c>
      <c r="I1194" s="36">
        <f t="shared" si="36"/>
        <v>1.0054075705988375E-2</v>
      </c>
      <c r="J1194" s="36">
        <f t="shared" si="37"/>
        <v>2.1810250817884125E-3</v>
      </c>
    </row>
    <row r="1195" spans="5:10">
      <c r="E1195" t="s">
        <v>293</v>
      </c>
      <c r="F1195" s="1">
        <v>1761.06</v>
      </c>
      <c r="G1195" s="2">
        <v>45400</v>
      </c>
      <c r="I1195" s="36">
        <f t="shared" si="36"/>
        <v>-2.3001269035533012E-3</v>
      </c>
      <c r="J1195" s="36">
        <f t="shared" si="37"/>
        <v>-1.196953210010876E-2</v>
      </c>
    </row>
    <row r="1196" spans="5:10">
      <c r="E1196" t="s">
        <v>294</v>
      </c>
      <c r="F1196" s="1">
        <v>1757.95</v>
      </c>
      <c r="G1196" s="2">
        <v>45250</v>
      </c>
      <c r="I1196" s="36">
        <f t="shared" si="36"/>
        <v>-1.7659818518391823E-3</v>
      </c>
      <c r="J1196" s="36">
        <f t="shared" si="37"/>
        <v>-3.3039647577092213E-3</v>
      </c>
    </row>
    <row r="1197" spans="5:10">
      <c r="E1197" t="s">
        <v>295</v>
      </c>
      <c r="F1197" s="1">
        <v>1766.85</v>
      </c>
      <c r="G1197" s="2">
        <v>45200</v>
      </c>
      <c r="I1197" s="36">
        <f t="shared" si="36"/>
        <v>5.0627150942859078E-3</v>
      </c>
      <c r="J1197" s="36">
        <f t="shared" si="37"/>
        <v>-1.1049723756906271E-3</v>
      </c>
    </row>
    <row r="1198" spans="5:10">
      <c r="E1198" t="s">
        <v>296</v>
      </c>
      <c r="F1198" s="1">
        <v>1731.19</v>
      </c>
      <c r="G1198" s="2">
        <v>45250</v>
      </c>
      <c r="I1198" s="36">
        <f t="shared" si="36"/>
        <v>-2.0182811217703711E-2</v>
      </c>
      <c r="J1198" s="36">
        <f t="shared" si="37"/>
        <v>1.1061946902655162E-3</v>
      </c>
    </row>
    <row r="1199" spans="5:10">
      <c r="E1199" t="s">
        <v>297</v>
      </c>
      <c r="F1199" s="1">
        <v>1636.43</v>
      </c>
      <c r="G1199" s="2">
        <v>44000</v>
      </c>
      <c r="I1199" s="36">
        <f t="shared" si="36"/>
        <v>-5.4736915069980796E-2</v>
      </c>
      <c r="J1199" s="36">
        <f t="shared" si="37"/>
        <v>-2.7624309392265234E-2</v>
      </c>
    </row>
    <row r="1200" spans="5:10">
      <c r="E1200" t="s">
        <v>298</v>
      </c>
      <c r="F1200" s="1">
        <v>1663.43</v>
      </c>
      <c r="G1200" s="2">
        <v>44450</v>
      </c>
      <c r="I1200" s="36">
        <f t="shared" si="36"/>
        <v>1.6499330860470618E-2</v>
      </c>
      <c r="J1200" s="36">
        <f t="shared" si="37"/>
        <v>1.0227272727272751E-2</v>
      </c>
    </row>
    <row r="1201" spans="5:10">
      <c r="E1201" t="s">
        <v>299</v>
      </c>
      <c r="F1201" s="1">
        <v>1678.5</v>
      </c>
      <c r="G1201" s="2">
        <v>44800</v>
      </c>
      <c r="I1201" s="36">
        <f t="shared" si="36"/>
        <v>9.0595937310256058E-3</v>
      </c>
      <c r="J1201" s="36">
        <f t="shared" si="37"/>
        <v>7.8740157480314821E-3</v>
      </c>
    </row>
    <row r="1202" spans="5:10">
      <c r="E1202" t="s">
        <v>300</v>
      </c>
      <c r="F1202" s="1">
        <v>1687.06</v>
      </c>
      <c r="G1202" s="2">
        <v>45450</v>
      </c>
      <c r="I1202" s="36">
        <f t="shared" si="36"/>
        <v>5.099791480488447E-3</v>
      </c>
      <c r="J1202" s="36">
        <f t="shared" si="37"/>
        <v>1.4508928571428603E-2</v>
      </c>
    </row>
    <row r="1203" spans="5:10">
      <c r="E1203" t="s">
        <v>301</v>
      </c>
      <c r="F1203" s="1">
        <v>1683.18</v>
      </c>
      <c r="G1203" s="2">
        <v>45150</v>
      </c>
      <c r="I1203" s="36">
        <f t="shared" si="36"/>
        <v>-2.2998589261792324E-3</v>
      </c>
      <c r="J1203" s="36">
        <f t="shared" si="37"/>
        <v>-6.6006600660065695E-3</v>
      </c>
    </row>
    <row r="1204" spans="5:10">
      <c r="E1204" t="s">
        <v>302</v>
      </c>
      <c r="F1204" s="1">
        <v>1652.54</v>
      </c>
      <c r="G1204" s="2">
        <v>45450</v>
      </c>
      <c r="I1204" s="36">
        <f t="shared" si="36"/>
        <v>-1.8203638351216189E-2</v>
      </c>
      <c r="J1204" s="36">
        <f t="shared" si="37"/>
        <v>6.6445182724252927E-3</v>
      </c>
    </row>
    <row r="1205" spans="5:10">
      <c r="E1205" t="s">
        <v>303</v>
      </c>
      <c r="F1205" s="1">
        <v>1680.5</v>
      </c>
      <c r="G1205" s="2">
        <v>45450</v>
      </c>
      <c r="I1205" s="36">
        <f t="shared" si="36"/>
        <v>1.6919408909920497E-2</v>
      </c>
      <c r="J1205" s="36">
        <f t="shared" si="37"/>
        <v>0</v>
      </c>
    </row>
    <row r="1206" spans="5:10">
      <c r="E1206" t="s">
        <v>304</v>
      </c>
      <c r="F1206" s="1">
        <v>1685.83</v>
      </c>
      <c r="G1206" s="2">
        <v>45750</v>
      </c>
      <c r="I1206" s="36">
        <f t="shared" si="36"/>
        <v>3.1716750966974683E-3</v>
      </c>
      <c r="J1206" s="36">
        <f t="shared" si="37"/>
        <v>6.6006600660066805E-3</v>
      </c>
    </row>
    <row r="1207" spans="5:10">
      <c r="E1207" t="s">
        <v>305</v>
      </c>
      <c r="F1207" s="1">
        <v>1669.57</v>
      </c>
      <c r="G1207" s="2">
        <v>45700</v>
      </c>
      <c r="I1207" s="36">
        <f t="shared" si="36"/>
        <v>-9.6451006329226763E-3</v>
      </c>
      <c r="J1207" s="36">
        <f t="shared" si="37"/>
        <v>-1.0928961748634114E-3</v>
      </c>
    </row>
    <row r="1208" spans="5:10">
      <c r="E1208" t="s">
        <v>306</v>
      </c>
      <c r="F1208" s="1">
        <v>1639.65</v>
      </c>
      <c r="G1208" s="2">
        <v>45850</v>
      </c>
      <c r="I1208" s="36">
        <f t="shared" si="36"/>
        <v>-1.7920781997759816E-2</v>
      </c>
      <c r="J1208" s="36">
        <f t="shared" si="37"/>
        <v>3.2822757111596879E-3</v>
      </c>
    </row>
    <row r="1209" spans="5:10">
      <c r="E1209" s="34">
        <v>45727</v>
      </c>
      <c r="F1209" s="1">
        <v>1617</v>
      </c>
      <c r="G1209" s="2">
        <v>46300</v>
      </c>
      <c r="I1209" s="36">
        <f t="shared" si="36"/>
        <v>-1.3813923703229425E-2</v>
      </c>
      <c r="J1209" s="36">
        <f t="shared" si="37"/>
        <v>9.8146128680480782E-3</v>
      </c>
    </row>
    <row r="1210" spans="5:10">
      <c r="E1210" s="34">
        <v>45758</v>
      </c>
      <c r="F1210" s="1">
        <v>1651.98</v>
      </c>
      <c r="G1210" s="2">
        <v>46250</v>
      </c>
      <c r="I1210" s="36">
        <f t="shared" si="36"/>
        <v>2.1632653061224527E-2</v>
      </c>
      <c r="J1210" s="36">
        <f t="shared" si="37"/>
        <v>-1.0799136069113979E-3</v>
      </c>
    </row>
    <row r="1211" spans="5:10">
      <c r="E1211" s="34">
        <v>45788</v>
      </c>
      <c r="F1211" s="1">
        <v>1654.89</v>
      </c>
      <c r="G1211" s="2">
        <v>46200</v>
      </c>
      <c r="I1211" s="36">
        <f t="shared" si="36"/>
        <v>1.7615225365925635E-3</v>
      </c>
      <c r="J1211" s="36">
        <f t="shared" si="37"/>
        <v>-1.08108108108107E-3</v>
      </c>
    </row>
    <row r="1212" spans="5:10">
      <c r="E1212" s="34">
        <v>45819</v>
      </c>
      <c r="F1212" s="1">
        <v>1642.64</v>
      </c>
      <c r="G1212" s="2">
        <v>46150</v>
      </c>
      <c r="I1212" s="36">
        <f t="shared" si="36"/>
        <v>-7.402304684903549E-3</v>
      </c>
      <c r="J1212" s="36">
        <f t="shared" si="37"/>
        <v>-1.0822510822511289E-3</v>
      </c>
    </row>
    <row r="1213" spans="5:10">
      <c r="E1213" s="34">
        <v>45849</v>
      </c>
      <c r="F1213" s="1">
        <v>1599.1</v>
      </c>
      <c r="G1213" s="2">
        <v>46100</v>
      </c>
      <c r="I1213" s="36">
        <f t="shared" si="36"/>
        <v>-2.6506112112209768E-2</v>
      </c>
      <c r="J1213" s="36">
        <f t="shared" si="37"/>
        <v>-1.0834236186348933E-3</v>
      </c>
    </row>
    <row r="1214" spans="5:10">
      <c r="E1214" s="34">
        <v>45941</v>
      </c>
      <c r="F1214" s="1">
        <v>1580.54</v>
      </c>
      <c r="G1214" s="2">
        <v>46000</v>
      </c>
      <c r="I1214" s="36">
        <f t="shared" si="36"/>
        <v>-1.1606528672378214E-2</v>
      </c>
      <c r="J1214" s="36">
        <f t="shared" si="37"/>
        <v>-2.1691973969630851E-3</v>
      </c>
    </row>
    <row r="1215" spans="5:10">
      <c r="E1215" s="34">
        <v>45972</v>
      </c>
      <c r="F1215" s="1">
        <v>1593.61</v>
      </c>
      <c r="G1215" s="2">
        <v>46800</v>
      </c>
      <c r="I1215" s="36">
        <f t="shared" si="36"/>
        <v>8.2693256735040244E-3</v>
      </c>
      <c r="J1215" s="36">
        <f t="shared" si="37"/>
        <v>1.7391304347825987E-2</v>
      </c>
    </row>
    <row r="1216" spans="5:10">
      <c r="E1216" s="34">
        <v>46002</v>
      </c>
      <c r="F1216" s="1">
        <v>1631.86</v>
      </c>
      <c r="G1216" s="2">
        <v>46950</v>
      </c>
      <c r="I1216" s="36">
        <f t="shared" si="36"/>
        <v>2.4002108420504431E-2</v>
      </c>
      <c r="J1216" s="36">
        <f t="shared" si="37"/>
        <v>3.2051282051281937E-3</v>
      </c>
    </row>
    <row r="1217" spans="5:10">
      <c r="E1217" t="s">
        <v>307</v>
      </c>
      <c r="F1217" s="1">
        <v>1631.44</v>
      </c>
      <c r="G1217" s="2">
        <v>47400</v>
      </c>
      <c r="I1217" s="36">
        <f t="shared" si="36"/>
        <v>-2.5737501991585088E-4</v>
      </c>
      <c r="J1217" s="36">
        <f t="shared" si="37"/>
        <v>9.5846645367412275E-3</v>
      </c>
    </row>
    <row r="1218" spans="5:10">
      <c r="E1218" t="s">
        <v>308</v>
      </c>
      <c r="F1218" s="1">
        <v>1635.46</v>
      </c>
      <c r="G1218" s="2">
        <v>47100</v>
      </c>
      <c r="I1218" s="36">
        <f t="shared" si="36"/>
        <v>2.4640808120433011E-3</v>
      </c>
      <c r="J1218" s="36">
        <f t="shared" si="37"/>
        <v>-6.3291139240506666E-3</v>
      </c>
    </row>
    <row r="1219" spans="5:10">
      <c r="E1219" t="s">
        <v>309</v>
      </c>
      <c r="F1219" s="1">
        <v>1654.42</v>
      </c>
      <c r="G1219" s="2">
        <v>47250</v>
      </c>
      <c r="I1219" s="36">
        <f t="shared" si="36"/>
        <v>1.1593068616780666E-2</v>
      </c>
      <c r="J1219" s="36">
        <f t="shared" si="37"/>
        <v>3.1847133757962887E-3</v>
      </c>
    </row>
    <row r="1220" spans="5:10">
      <c r="E1220" t="s">
        <v>310</v>
      </c>
      <c r="F1220" s="1">
        <v>1659.92</v>
      </c>
      <c r="G1220" s="2">
        <v>47200</v>
      </c>
      <c r="I1220" s="36">
        <f t="shared" si="36"/>
        <v>3.324427896181037E-3</v>
      </c>
      <c r="J1220" s="36">
        <f t="shared" si="37"/>
        <v>-1.0582010582010914E-3</v>
      </c>
    </row>
    <row r="1221" spans="5:10">
      <c r="E1221" t="s">
        <v>311</v>
      </c>
      <c r="F1221" s="1">
        <v>1649</v>
      </c>
      <c r="G1221" s="2">
        <v>47000</v>
      </c>
      <c r="I1221" s="36">
        <f t="shared" si="36"/>
        <v>-6.5786302954359277E-3</v>
      </c>
      <c r="J1221" s="36">
        <f t="shared" si="37"/>
        <v>-4.237288135593209E-3</v>
      </c>
    </row>
    <row r="1222" spans="5:10">
      <c r="E1222" t="s">
        <v>312</v>
      </c>
      <c r="F1222" s="1">
        <v>1655.99</v>
      </c>
      <c r="G1222" s="2">
        <v>47050</v>
      </c>
      <c r="I1222" s="36">
        <f t="shared" si="36"/>
        <v>4.2389326864766819E-3</v>
      </c>
      <c r="J1222" s="36">
        <f t="shared" si="37"/>
        <v>1.0638297872340718E-3</v>
      </c>
    </row>
    <row r="1223" spans="5:10">
      <c r="E1223" t="s">
        <v>313</v>
      </c>
      <c r="F1223" s="1">
        <v>1654.93</v>
      </c>
      <c r="G1223" s="2">
        <v>46700</v>
      </c>
      <c r="I1223" s="36">
        <f t="shared" ref="I1223:I1286" si="38">F1223/F1222-1</f>
        <v>-6.4010048369855799E-4</v>
      </c>
      <c r="J1223" s="36">
        <f t="shared" ref="J1223:J1286" si="39">G1223/G1222-1</f>
        <v>-7.4388947927735982E-3</v>
      </c>
    </row>
    <row r="1224" spans="5:10">
      <c r="E1224" t="s">
        <v>314</v>
      </c>
      <c r="F1224" s="1">
        <v>1667.98</v>
      </c>
      <c r="G1224" s="2">
        <v>46150</v>
      </c>
      <c r="I1224" s="36">
        <f t="shared" si="38"/>
        <v>7.8855299015667679E-3</v>
      </c>
      <c r="J1224" s="36">
        <f t="shared" si="39"/>
        <v>-1.1777301927194839E-2</v>
      </c>
    </row>
    <row r="1225" spans="5:10">
      <c r="E1225" t="s">
        <v>315</v>
      </c>
      <c r="F1225" s="1">
        <v>1660.36</v>
      </c>
      <c r="G1225" s="2">
        <v>46300</v>
      </c>
      <c r="I1225" s="36">
        <f t="shared" si="38"/>
        <v>-4.568400100720682E-3</v>
      </c>
      <c r="J1225" s="36">
        <f t="shared" si="39"/>
        <v>3.250270855904569E-3</v>
      </c>
    </row>
    <row r="1226" spans="5:10">
      <c r="E1226" t="s">
        <v>316</v>
      </c>
      <c r="F1226" s="1">
        <v>1680.36</v>
      </c>
      <c r="G1226" s="2">
        <v>46500</v>
      </c>
      <c r="I1226" s="36">
        <f t="shared" si="38"/>
        <v>1.2045580476523154E-2</v>
      </c>
      <c r="J1226" s="36">
        <f t="shared" si="39"/>
        <v>4.3196544276458138E-3</v>
      </c>
    </row>
    <row r="1227" spans="5:10">
      <c r="E1227" t="s">
        <v>317</v>
      </c>
      <c r="F1227" s="1">
        <v>1684.32</v>
      </c>
      <c r="G1227" s="2">
        <v>46400</v>
      </c>
      <c r="I1227" s="36">
        <f t="shared" si="38"/>
        <v>2.3566378633150808E-3</v>
      </c>
      <c r="J1227" s="36">
        <f t="shared" si="39"/>
        <v>-2.1505376344086446E-3</v>
      </c>
    </row>
    <row r="1228" spans="5:10">
      <c r="E1228" t="s">
        <v>318</v>
      </c>
      <c r="F1228" s="1">
        <v>1690.99</v>
      </c>
      <c r="G1228" s="2">
        <v>46400</v>
      </c>
      <c r="I1228" s="36">
        <f t="shared" si="38"/>
        <v>3.9600550964187242E-3</v>
      </c>
      <c r="J1228" s="36">
        <f t="shared" si="39"/>
        <v>0</v>
      </c>
    </row>
    <row r="1229" spans="5:10">
      <c r="E1229" s="34">
        <v>45669</v>
      </c>
      <c r="F1229" s="1">
        <v>1701.67</v>
      </c>
      <c r="G1229" s="2">
        <v>49000</v>
      </c>
      <c r="I1229" s="36">
        <f t="shared" si="38"/>
        <v>6.3158268233403092E-3</v>
      </c>
      <c r="J1229" s="36">
        <f t="shared" si="39"/>
        <v>5.6034482758620774E-2</v>
      </c>
    </row>
    <row r="1230" spans="5:10">
      <c r="E1230" s="34">
        <v>45700</v>
      </c>
      <c r="F1230" s="1">
        <v>1717.06</v>
      </c>
      <c r="G1230" s="2">
        <v>52400</v>
      </c>
      <c r="I1230" s="36">
        <f t="shared" si="38"/>
        <v>9.0440567207508149E-3</v>
      </c>
      <c r="J1230" s="36">
        <f t="shared" si="39"/>
        <v>6.938775510204076E-2</v>
      </c>
    </row>
    <row r="1231" spans="5:10">
      <c r="E1231" s="34">
        <v>45728</v>
      </c>
      <c r="F1231" s="1">
        <v>1731.77</v>
      </c>
      <c r="G1231" s="2">
        <v>51900</v>
      </c>
      <c r="I1231" s="36">
        <f t="shared" si="38"/>
        <v>8.5669691216381239E-3</v>
      </c>
      <c r="J1231" s="36">
        <f t="shared" si="39"/>
        <v>-9.5419847328244156E-3</v>
      </c>
    </row>
    <row r="1232" spans="5:10">
      <c r="E1232" s="34">
        <v>45759</v>
      </c>
      <c r="F1232" s="1">
        <v>1737.24</v>
      </c>
      <c r="G1232" s="2">
        <v>50900</v>
      </c>
      <c r="I1232" s="36">
        <f t="shared" si="38"/>
        <v>3.1586180612899195E-3</v>
      </c>
      <c r="J1232" s="36">
        <f t="shared" si="39"/>
        <v>-1.9267822736030782E-2</v>
      </c>
    </row>
    <row r="1233" spans="5:10">
      <c r="E1233" s="34">
        <v>45789</v>
      </c>
      <c r="F1233" s="1">
        <v>1741.32</v>
      </c>
      <c r="G1233" s="2">
        <v>49800</v>
      </c>
      <c r="I1233" s="36">
        <f t="shared" si="38"/>
        <v>2.3485528769773278E-3</v>
      </c>
      <c r="J1233" s="36">
        <f t="shared" si="39"/>
        <v>-2.16110019646365E-2</v>
      </c>
    </row>
    <row r="1234" spans="5:10">
      <c r="E1234" s="34">
        <v>45881</v>
      </c>
      <c r="F1234" s="1">
        <v>1753.74</v>
      </c>
      <c r="G1234" s="2">
        <v>53200</v>
      </c>
      <c r="I1234" s="36">
        <f t="shared" si="38"/>
        <v>7.1325201571221797E-3</v>
      </c>
      <c r="J1234" s="36">
        <f t="shared" si="39"/>
        <v>6.8273092369477872E-2</v>
      </c>
    </row>
    <row r="1235" spans="5:10">
      <c r="E1235" s="34">
        <v>45912</v>
      </c>
      <c r="F1235" s="1">
        <v>1747.17</v>
      </c>
      <c r="G1235" s="2">
        <v>53300</v>
      </c>
      <c r="I1235" s="36">
        <f t="shared" si="38"/>
        <v>-3.746279380067663E-3</v>
      </c>
      <c r="J1235" s="36">
        <f t="shared" si="39"/>
        <v>1.879699248120259E-3</v>
      </c>
    </row>
    <row r="1236" spans="5:10">
      <c r="E1236" s="34">
        <v>45942</v>
      </c>
      <c r="F1236" s="1">
        <v>1718.98</v>
      </c>
      <c r="G1236" s="2">
        <v>51500</v>
      </c>
      <c r="I1236" s="36">
        <f t="shared" si="38"/>
        <v>-1.6134663484377643E-2</v>
      </c>
      <c r="J1236" s="36">
        <f t="shared" si="39"/>
        <v>-3.3771106941838602E-2</v>
      </c>
    </row>
    <row r="1237" spans="5:10">
      <c r="E1237" s="34">
        <v>45973</v>
      </c>
      <c r="F1237" s="1">
        <v>1698.9</v>
      </c>
      <c r="G1237" s="2">
        <v>52300</v>
      </c>
      <c r="I1237" s="36">
        <f t="shared" si="38"/>
        <v>-1.1681345914437591E-2</v>
      </c>
      <c r="J1237" s="36">
        <f t="shared" si="39"/>
        <v>1.5533980582524309E-2</v>
      </c>
    </row>
    <row r="1238" spans="5:10">
      <c r="E1238" s="34">
        <v>46003</v>
      </c>
      <c r="F1238" s="1">
        <v>1646.89</v>
      </c>
      <c r="G1238" s="2">
        <v>50000</v>
      </c>
      <c r="I1238" s="36">
        <f t="shared" si="38"/>
        <v>-3.0613926658425994E-2</v>
      </c>
      <c r="J1238" s="36">
        <f t="shared" si="39"/>
        <v>-4.3977055449330837E-2</v>
      </c>
    </row>
    <row r="1239" spans="5:10">
      <c r="E1239" t="s">
        <v>319</v>
      </c>
      <c r="F1239" s="1">
        <v>1646.01</v>
      </c>
      <c r="G1239" s="2">
        <v>50500</v>
      </c>
      <c r="I1239" s="36">
        <f t="shared" si="38"/>
        <v>-5.34340484185436E-4</v>
      </c>
      <c r="J1239" s="36">
        <f t="shared" si="39"/>
        <v>1.0000000000000009E-2</v>
      </c>
    </row>
    <row r="1240" spans="5:10">
      <c r="E1240" t="s">
        <v>320</v>
      </c>
      <c r="F1240" s="1">
        <v>1679.18</v>
      </c>
      <c r="G1240" s="2">
        <v>51700</v>
      </c>
      <c r="I1240" s="36">
        <f t="shared" si="38"/>
        <v>2.0151760924903339E-2</v>
      </c>
      <c r="J1240" s="36">
        <f t="shared" si="39"/>
        <v>2.3762376237623783E-2</v>
      </c>
    </row>
    <row r="1241" spans="5:10">
      <c r="E1241" t="s">
        <v>321</v>
      </c>
      <c r="F1241" s="1">
        <v>1673.66</v>
      </c>
      <c r="G1241" s="2">
        <v>50100</v>
      </c>
      <c r="I1241" s="36">
        <f t="shared" si="38"/>
        <v>-3.2873188103716977E-3</v>
      </c>
      <c r="J1241" s="36">
        <f t="shared" si="39"/>
        <v>-3.0947775628626717E-2</v>
      </c>
    </row>
    <row r="1242" spans="5:10">
      <c r="E1242" t="s">
        <v>322</v>
      </c>
      <c r="F1242" s="1">
        <v>1676.98</v>
      </c>
      <c r="G1242" s="2">
        <v>50200</v>
      </c>
      <c r="I1242" s="36">
        <f t="shared" si="38"/>
        <v>1.9836764934335616E-3</v>
      </c>
      <c r="J1242" s="36">
        <f t="shared" si="39"/>
        <v>1.9960079840319889E-3</v>
      </c>
    </row>
    <row r="1243" spans="5:10">
      <c r="E1243" t="s">
        <v>323</v>
      </c>
      <c r="F1243" s="1">
        <v>1704.31</v>
      </c>
      <c r="G1243" s="2">
        <v>49700</v>
      </c>
      <c r="I1243" s="36">
        <f t="shared" si="38"/>
        <v>1.6297153215899973E-2</v>
      </c>
      <c r="J1243" s="36">
        <f t="shared" si="39"/>
        <v>-9.960159362549792E-3</v>
      </c>
    </row>
    <row r="1244" spans="5:10">
      <c r="E1244" t="s">
        <v>324</v>
      </c>
      <c r="F1244" s="1">
        <v>1751.03</v>
      </c>
      <c r="G1244" s="2">
        <v>49600</v>
      </c>
      <c r="I1244" s="36">
        <f t="shared" si="38"/>
        <v>2.7412853295468498E-2</v>
      </c>
      <c r="J1244" s="36">
        <f t="shared" si="39"/>
        <v>-2.0120724346076591E-3</v>
      </c>
    </row>
    <row r="1245" spans="5:10">
      <c r="E1245" t="s">
        <v>325</v>
      </c>
      <c r="F1245" s="1">
        <v>1772.15</v>
      </c>
      <c r="G1245" s="2">
        <v>49500</v>
      </c>
      <c r="I1245" s="36">
        <f t="shared" si="38"/>
        <v>1.2061472390535899E-2</v>
      </c>
      <c r="J1245" s="36">
        <f t="shared" si="39"/>
        <v>-2.0161290322581182E-3</v>
      </c>
    </row>
    <row r="1246" spans="5:10">
      <c r="E1246" t="s">
        <v>326</v>
      </c>
      <c r="F1246" s="1">
        <v>1782.82</v>
      </c>
      <c r="G1246" s="2">
        <v>48800</v>
      </c>
      <c r="I1246" s="36">
        <f t="shared" si="38"/>
        <v>6.0209350224302849E-3</v>
      </c>
      <c r="J1246" s="36">
        <f t="shared" si="39"/>
        <v>-1.4141414141414121E-2</v>
      </c>
    </row>
    <row r="1247" spans="5:10">
      <c r="E1247" t="s">
        <v>327</v>
      </c>
      <c r="F1247" s="1">
        <v>1742.85</v>
      </c>
      <c r="G1247" s="2">
        <v>48200</v>
      </c>
      <c r="I1247" s="36">
        <f t="shared" si="38"/>
        <v>-2.2419537586520266E-2</v>
      </c>
      <c r="J1247" s="36">
        <f t="shared" si="39"/>
        <v>-1.2295081967213073E-2</v>
      </c>
    </row>
    <row r="1248" spans="5:10">
      <c r="E1248" t="s">
        <v>328</v>
      </c>
      <c r="F1248" s="1">
        <v>1729.8</v>
      </c>
      <c r="G1248" s="2">
        <v>48750</v>
      </c>
      <c r="I1248" s="36">
        <f t="shared" si="38"/>
        <v>-7.4877356054737776E-3</v>
      </c>
      <c r="J1248" s="36">
        <f t="shared" si="39"/>
        <v>1.1410788381742698E-2</v>
      </c>
    </row>
    <row r="1249" spans="5:10">
      <c r="E1249" t="s">
        <v>329</v>
      </c>
      <c r="F1249" s="1">
        <v>1754.84</v>
      </c>
      <c r="G1249" s="2">
        <v>48800</v>
      </c>
      <c r="I1249" s="36">
        <f t="shared" si="38"/>
        <v>1.4475661926234284E-2</v>
      </c>
      <c r="J1249" s="36">
        <f t="shared" si="39"/>
        <v>1.0256410256410664E-3</v>
      </c>
    </row>
    <row r="1250" spans="5:10">
      <c r="E1250" t="s">
        <v>330</v>
      </c>
      <c r="F1250" s="1">
        <v>1766.9</v>
      </c>
      <c r="G1250" s="2">
        <v>49600</v>
      </c>
      <c r="I1250" s="36">
        <f t="shared" si="38"/>
        <v>6.8724214173372378E-3</v>
      </c>
      <c r="J1250" s="36">
        <f t="shared" si="39"/>
        <v>1.6393442622950838E-2</v>
      </c>
    </row>
    <row r="1251" spans="5:10">
      <c r="E1251" t="s">
        <v>331</v>
      </c>
      <c r="F1251" s="1">
        <v>1784.49</v>
      </c>
      <c r="G1251" s="2">
        <v>49000</v>
      </c>
      <c r="I1251" s="36">
        <f t="shared" si="38"/>
        <v>9.9552889241043552E-3</v>
      </c>
      <c r="J1251" s="36">
        <f t="shared" si="39"/>
        <v>-1.2096774193548376E-2</v>
      </c>
    </row>
    <row r="1252" spans="5:10">
      <c r="E1252" s="34">
        <v>46143</v>
      </c>
      <c r="F1252" s="1">
        <v>1788.4</v>
      </c>
      <c r="G1252" s="2">
        <v>46135</v>
      </c>
      <c r="I1252" s="36">
        <f t="shared" si="38"/>
        <v>2.1911022196818841E-3</v>
      </c>
      <c r="J1252" s="36">
        <f t="shared" si="39"/>
        <v>-5.846938775510202E-2</v>
      </c>
    </row>
    <row r="1253" spans="5:10">
      <c r="E1253" s="34">
        <v>46174</v>
      </c>
      <c r="F1253" s="1">
        <v>1816.27</v>
      </c>
      <c r="G1253" s="2">
        <v>45607</v>
      </c>
      <c r="I1253" s="36">
        <f t="shared" si="38"/>
        <v>1.5583762021919023E-2</v>
      </c>
      <c r="J1253" s="36">
        <f t="shared" si="39"/>
        <v>-1.1444673241573611E-2</v>
      </c>
    </row>
    <row r="1254" spans="5:10">
      <c r="E1254" s="34">
        <v>46204</v>
      </c>
      <c r="F1254" s="1">
        <v>1861.58</v>
      </c>
      <c r="G1254" s="2">
        <v>46518</v>
      </c>
      <c r="I1254" s="36">
        <f t="shared" si="38"/>
        <v>2.4946731488159735E-2</v>
      </c>
      <c r="J1254" s="36">
        <f t="shared" si="39"/>
        <v>1.9975003837130245E-2</v>
      </c>
    </row>
    <row r="1255" spans="5:10">
      <c r="E1255" s="34">
        <v>46235</v>
      </c>
      <c r="F1255" s="1">
        <v>1855.56</v>
      </c>
      <c r="G1255" s="2">
        <v>46327</v>
      </c>
      <c r="I1255" s="36">
        <f t="shared" si="38"/>
        <v>-3.2338121380762752E-3</v>
      </c>
      <c r="J1255" s="36">
        <f t="shared" si="39"/>
        <v>-4.1059374865642928E-3</v>
      </c>
    </row>
    <row r="1256" spans="5:10">
      <c r="E1256" s="34">
        <v>46266</v>
      </c>
      <c r="F1256" s="1">
        <v>1867.9</v>
      </c>
      <c r="G1256" s="2">
        <v>46950</v>
      </c>
      <c r="I1256" s="36">
        <f t="shared" si="38"/>
        <v>6.6502834723749515E-3</v>
      </c>
      <c r="J1256" s="36">
        <f t="shared" si="39"/>
        <v>1.3447881365078684E-2</v>
      </c>
    </row>
    <row r="1257" spans="5:10">
      <c r="E1257" s="34">
        <v>46357</v>
      </c>
      <c r="F1257" s="1">
        <v>1877.33</v>
      </c>
      <c r="G1257" s="2">
        <v>47000</v>
      </c>
      <c r="I1257" s="36">
        <f t="shared" si="38"/>
        <v>5.0484501311631735E-3</v>
      </c>
      <c r="J1257" s="36">
        <f t="shared" si="39"/>
        <v>1.0649627263046302E-3</v>
      </c>
    </row>
    <row r="1258" spans="5:10">
      <c r="E1258" t="s">
        <v>332</v>
      </c>
      <c r="F1258" s="1">
        <v>1902.93</v>
      </c>
      <c r="G1258" s="2">
        <v>50200</v>
      </c>
      <c r="I1258" s="36">
        <f t="shared" si="38"/>
        <v>1.3636387848700027E-2</v>
      </c>
      <c r="J1258" s="36">
        <f t="shared" si="39"/>
        <v>6.8085106382978822E-2</v>
      </c>
    </row>
    <row r="1259" spans="5:10">
      <c r="E1259" t="s">
        <v>333</v>
      </c>
      <c r="F1259" s="1">
        <v>1894.44</v>
      </c>
      <c r="G1259" s="2">
        <v>53700</v>
      </c>
      <c r="I1259" s="36">
        <f t="shared" si="38"/>
        <v>-4.4615408869480566E-3</v>
      </c>
      <c r="J1259" s="36">
        <f t="shared" si="39"/>
        <v>6.9721115537848544E-2</v>
      </c>
    </row>
    <row r="1260" spans="5:10">
      <c r="E1260" t="s">
        <v>334</v>
      </c>
      <c r="F1260" s="1">
        <v>1864.8</v>
      </c>
      <c r="G1260" s="2">
        <v>52700</v>
      </c>
      <c r="I1260" s="36">
        <f t="shared" si="38"/>
        <v>-1.5645784506239324E-2</v>
      </c>
      <c r="J1260" s="36">
        <f t="shared" si="39"/>
        <v>-1.8621973929236479E-2</v>
      </c>
    </row>
    <row r="1261" spans="5:10">
      <c r="E1261" t="s">
        <v>335</v>
      </c>
      <c r="F1261" s="1">
        <v>1879.13</v>
      </c>
      <c r="G1261" s="2">
        <v>52500</v>
      </c>
      <c r="I1261" s="36">
        <f t="shared" si="38"/>
        <v>7.6844701844702712E-3</v>
      </c>
      <c r="J1261" s="36">
        <f t="shared" si="39"/>
        <v>-3.7950664136622292E-3</v>
      </c>
    </row>
    <row r="1262" spans="5:10">
      <c r="E1262" t="s">
        <v>336</v>
      </c>
      <c r="F1262" s="1">
        <v>1896.59</v>
      </c>
      <c r="G1262" s="2">
        <v>51100</v>
      </c>
      <c r="I1262" s="36">
        <f t="shared" si="38"/>
        <v>9.2915338481105447E-3</v>
      </c>
      <c r="J1262" s="36">
        <f t="shared" si="39"/>
        <v>-2.6666666666666616E-2</v>
      </c>
    </row>
    <row r="1263" spans="5:10">
      <c r="E1263" t="s">
        <v>337</v>
      </c>
      <c r="F1263" s="1">
        <v>1893.78</v>
      </c>
      <c r="G1263" s="2">
        <v>52300</v>
      </c>
      <c r="I1263" s="36">
        <f t="shared" si="38"/>
        <v>-1.4816064621241409E-3</v>
      </c>
      <c r="J1263" s="36">
        <f t="shared" si="39"/>
        <v>2.3483365949119372E-2</v>
      </c>
    </row>
    <row r="1264" spans="5:10">
      <c r="E1264" t="s">
        <v>338</v>
      </c>
      <c r="F1264" s="1">
        <v>1885.44</v>
      </c>
      <c r="G1264" s="2">
        <v>50600</v>
      </c>
      <c r="I1264" s="36">
        <f t="shared" si="38"/>
        <v>-4.4038906314355364E-3</v>
      </c>
      <c r="J1264" s="36">
        <f t="shared" si="39"/>
        <v>-3.2504780114722798E-2</v>
      </c>
    </row>
    <row r="1265" spans="4:10">
      <c r="E1265" t="s">
        <v>339</v>
      </c>
      <c r="F1265" s="1">
        <v>1882.73</v>
      </c>
      <c r="G1265" s="2">
        <v>50600</v>
      </c>
      <c r="I1265" s="36">
        <f t="shared" si="38"/>
        <v>-1.4373302783435848E-3</v>
      </c>
      <c r="J1265" s="36">
        <f t="shared" si="39"/>
        <v>0</v>
      </c>
    </row>
    <row r="1266" spans="4:10">
      <c r="E1266" t="s">
        <v>340</v>
      </c>
      <c r="F1266" s="1">
        <v>1870.79</v>
      </c>
      <c r="G1266" s="2">
        <v>49300</v>
      </c>
      <c r="I1266" s="36">
        <f t="shared" si="38"/>
        <v>-6.3418546472410187E-3</v>
      </c>
      <c r="J1266" s="36">
        <f t="shared" si="39"/>
        <v>-2.5691699604743046E-2</v>
      </c>
    </row>
    <row r="1267" spans="4:10">
      <c r="E1267" t="s">
        <v>341</v>
      </c>
      <c r="F1267" s="1">
        <v>1843.72</v>
      </c>
      <c r="G1267" s="2">
        <v>48500</v>
      </c>
      <c r="I1267" s="36">
        <f t="shared" si="38"/>
        <v>-1.4469822909038421E-2</v>
      </c>
      <c r="J1267" s="36">
        <f t="shared" si="39"/>
        <v>-1.6227180527383367E-2</v>
      </c>
    </row>
    <row r="1268" spans="4:10">
      <c r="E1268" t="s">
        <v>342</v>
      </c>
      <c r="F1268" s="1">
        <v>1830.5</v>
      </c>
      <c r="G1268" s="2">
        <v>49550</v>
      </c>
      <c r="I1268" s="36">
        <f t="shared" si="38"/>
        <v>-7.1702861605883461E-3</v>
      </c>
      <c r="J1268" s="36">
        <f t="shared" si="39"/>
        <v>2.1649484536082397E-2</v>
      </c>
    </row>
    <row r="1269" spans="4:10">
      <c r="E1269" t="s">
        <v>343</v>
      </c>
      <c r="F1269" s="1">
        <v>1802.91</v>
      </c>
      <c r="G1269" s="2">
        <v>48950</v>
      </c>
      <c r="I1269" s="36">
        <f t="shared" si="38"/>
        <v>-1.5072384594373101E-2</v>
      </c>
      <c r="J1269" s="36">
        <f t="shared" si="39"/>
        <v>-1.2108980827447047E-2</v>
      </c>
    </row>
    <row r="1270" spans="4:10">
      <c r="E1270" t="s">
        <v>344</v>
      </c>
      <c r="F1270" s="1">
        <v>1814.98</v>
      </c>
      <c r="G1270" s="2">
        <v>50300</v>
      </c>
      <c r="I1270" s="36">
        <f t="shared" si="38"/>
        <v>6.6947324048343138E-3</v>
      </c>
      <c r="J1270" s="36">
        <f t="shared" si="39"/>
        <v>2.7579162410623193E-2</v>
      </c>
    </row>
    <row r="1271" spans="4:10">
      <c r="E1271" t="s">
        <v>345</v>
      </c>
      <c r="F1271" s="1">
        <v>1829.04</v>
      </c>
      <c r="G1271" s="2">
        <v>49900</v>
      </c>
      <c r="I1271" s="36">
        <f t="shared" si="38"/>
        <v>7.7466418362737155E-3</v>
      </c>
      <c r="J1271" s="36">
        <f t="shared" si="39"/>
        <v>-7.9522862823061535E-3</v>
      </c>
    </row>
    <row r="1272" spans="4:10">
      <c r="E1272" s="34">
        <v>46055</v>
      </c>
      <c r="F1272" s="1">
        <v>1806.5</v>
      </c>
      <c r="G1272" s="2">
        <v>49900</v>
      </c>
      <c r="I1272" s="36">
        <f t="shared" si="38"/>
        <v>-1.2323404627564205E-2</v>
      </c>
      <c r="J1272" s="36">
        <f t="shared" si="39"/>
        <v>0</v>
      </c>
    </row>
    <row r="1273" spans="4:10">
      <c r="E1273" s="34">
        <v>46083</v>
      </c>
      <c r="F1273" s="1">
        <v>1813.4</v>
      </c>
      <c r="G1273" s="2">
        <v>52100</v>
      </c>
      <c r="I1273" s="36">
        <f t="shared" si="38"/>
        <v>3.8195405480210276E-3</v>
      </c>
      <c r="J1273" s="36">
        <f t="shared" si="39"/>
        <v>4.4088176352705455E-2</v>
      </c>
    </row>
    <row r="1274" spans="4:10">
      <c r="E1274" s="34">
        <v>46114</v>
      </c>
      <c r="F1274" s="1">
        <v>1791.43</v>
      </c>
      <c r="G1274" s="2">
        <v>51700</v>
      </c>
      <c r="I1274" s="36">
        <f t="shared" si="38"/>
        <v>-1.211536340575714E-2</v>
      </c>
      <c r="J1274" s="36">
        <f t="shared" si="39"/>
        <v>-7.6775431861804133E-3</v>
      </c>
    </row>
    <row r="1275" spans="4:10">
      <c r="D1275" s="1"/>
      <c r="E1275" s="34">
        <v>46144</v>
      </c>
      <c r="F1275" s="1">
        <v>1782.56</v>
      </c>
      <c r="G1275" s="2">
        <v>50100</v>
      </c>
      <c r="I1275" s="36">
        <f t="shared" si="38"/>
        <v>-4.9513517134357476E-3</v>
      </c>
      <c r="J1275" s="36">
        <f t="shared" si="39"/>
        <v>-3.0947775628626717E-2</v>
      </c>
    </row>
    <row r="1276" spans="4:10">
      <c r="D1276" s="1"/>
      <c r="E1276" s="34">
        <v>46175</v>
      </c>
      <c r="F1276" s="1">
        <v>1755.49</v>
      </c>
      <c r="G1276" s="2">
        <v>48750</v>
      </c>
      <c r="I1276" s="36">
        <f t="shared" si="38"/>
        <v>-1.5186024593842551E-2</v>
      </c>
      <c r="J1276" s="36">
        <f t="shared" si="39"/>
        <v>-2.6946107784431184E-2</v>
      </c>
    </row>
    <row r="1277" spans="4:10">
      <c r="D1277" s="1"/>
      <c r="E1277" s="34">
        <v>46267</v>
      </c>
      <c r="F1277" s="1">
        <v>1754.82</v>
      </c>
      <c r="G1277" s="2">
        <v>49450</v>
      </c>
      <c r="I1277" s="36">
        <f t="shared" si="38"/>
        <v>-3.8165982147442268E-4</v>
      </c>
      <c r="J1277" s="36">
        <f t="shared" si="39"/>
        <v>1.4358974358974264E-2</v>
      </c>
    </row>
    <row r="1278" spans="4:10">
      <c r="D1278" s="1"/>
      <c r="E1278" s="34">
        <v>46297</v>
      </c>
      <c r="F1278" s="1">
        <v>1754.03</v>
      </c>
      <c r="G1278" s="2">
        <v>48350</v>
      </c>
      <c r="I1278" s="36">
        <f t="shared" si="38"/>
        <v>-4.5018862333456866E-4</v>
      </c>
      <c r="J1278" s="36">
        <f t="shared" si="39"/>
        <v>-2.2244691607684497E-2</v>
      </c>
    </row>
    <row r="1279" spans="4:10">
      <c r="D1279" s="1"/>
      <c r="E1279" s="34">
        <v>46328</v>
      </c>
      <c r="F1279" s="1">
        <v>1796.85</v>
      </c>
      <c r="G1279" s="2">
        <v>48700</v>
      </c>
      <c r="I1279" s="36">
        <f t="shared" si="38"/>
        <v>2.4412353266477727E-2</v>
      </c>
      <c r="J1279" s="36">
        <f t="shared" si="39"/>
        <v>7.2388831437435464E-3</v>
      </c>
    </row>
    <row r="1280" spans="4:10">
      <c r="D1280" s="1"/>
      <c r="E1280" s="34">
        <v>46358</v>
      </c>
      <c r="F1280" s="1">
        <v>1814.09</v>
      </c>
      <c r="G1280" s="2">
        <v>48800</v>
      </c>
      <c r="I1280" s="36">
        <f t="shared" si="38"/>
        <v>9.5945682722542447E-3</v>
      </c>
      <c r="J1280" s="36">
        <f t="shared" si="39"/>
        <v>2.0533880903490509E-3</v>
      </c>
    </row>
    <row r="1281" spans="4:10">
      <c r="D1281" s="1"/>
      <c r="E1281" t="s">
        <v>346</v>
      </c>
      <c r="F1281" s="1">
        <v>1824.09</v>
      </c>
      <c r="G1281" s="2">
        <v>48500</v>
      </c>
      <c r="I1281" s="36">
        <f t="shared" si="38"/>
        <v>5.5124056689579426E-3</v>
      </c>
      <c r="J1281" s="36">
        <f t="shared" si="39"/>
        <v>-6.147540983606592E-3</v>
      </c>
    </row>
    <row r="1282" spans="4:10">
      <c r="D1282" s="1"/>
      <c r="E1282" t="s">
        <v>347</v>
      </c>
      <c r="F1282" s="1">
        <v>1860.14</v>
      </c>
      <c r="G1282" s="2">
        <v>48850</v>
      </c>
      <c r="I1282" s="36">
        <f t="shared" si="38"/>
        <v>1.9763279224161101E-2</v>
      </c>
      <c r="J1282" s="36">
        <f t="shared" si="39"/>
        <v>7.2164948453607991E-3</v>
      </c>
    </row>
    <row r="1283" spans="4:10">
      <c r="D1283" s="1"/>
      <c r="E1283" t="s">
        <v>348</v>
      </c>
      <c r="F1283" s="1">
        <v>1867.62</v>
      </c>
      <c r="G1283" s="2">
        <v>48800</v>
      </c>
      <c r="I1283" s="36">
        <f t="shared" si="38"/>
        <v>4.0212027051726995E-3</v>
      </c>
      <c r="J1283" s="36">
        <f t="shared" si="39"/>
        <v>-1.0235414534288667E-3</v>
      </c>
    </row>
    <row r="1284" spans="4:10">
      <c r="D1284" s="1"/>
      <c r="E1284" t="s">
        <v>349</v>
      </c>
      <c r="F1284" s="1">
        <v>1860.91</v>
      </c>
      <c r="G1284" s="2">
        <v>49200</v>
      </c>
      <c r="I1284" s="36">
        <f t="shared" si="38"/>
        <v>-3.5928079587923545E-3</v>
      </c>
      <c r="J1284" s="36">
        <f t="shared" si="39"/>
        <v>8.1967213114753079E-3</v>
      </c>
    </row>
    <row r="1285" spans="4:10">
      <c r="D1285" s="1"/>
      <c r="E1285" t="s">
        <v>350</v>
      </c>
      <c r="F1285" s="1">
        <v>1879.64</v>
      </c>
      <c r="G1285" s="2">
        <v>49100</v>
      </c>
      <c r="I1285" s="36">
        <f t="shared" si="38"/>
        <v>1.0064968214475778E-2</v>
      </c>
      <c r="J1285" s="36">
        <f t="shared" si="39"/>
        <v>-2.0325203252032908E-3</v>
      </c>
    </row>
    <row r="1286" spans="4:10">
      <c r="D1286" s="1"/>
      <c r="E1286" t="s">
        <v>351</v>
      </c>
      <c r="F1286" s="1">
        <v>1880.33</v>
      </c>
      <c r="G1286" s="2">
        <v>48400</v>
      </c>
      <c r="I1286" s="36">
        <f t="shared" si="38"/>
        <v>3.6709157072611909E-4</v>
      </c>
      <c r="J1286" s="36">
        <f t="shared" si="39"/>
        <v>-1.4256619144602856E-2</v>
      </c>
    </row>
    <row r="1287" spans="4:10">
      <c r="D1287" s="1"/>
      <c r="E1287" s="34">
        <v>46056</v>
      </c>
      <c r="F1287" s="1">
        <v>1846.1</v>
      </c>
      <c r="G1287" s="2">
        <v>47200</v>
      </c>
      <c r="I1287" s="36">
        <f t="shared" ref="I1287:I1304" si="40">F1287/F1286-1</f>
        <v>-1.8204251381406467E-2</v>
      </c>
      <c r="J1287" s="36">
        <f t="shared" ref="J1287:J1304" si="41">G1287/G1286-1</f>
        <v>-2.4793388429752095E-2</v>
      </c>
    </row>
    <row r="1288" spans="4:10">
      <c r="D1288" s="1"/>
      <c r="E1288" s="34">
        <v>46084</v>
      </c>
      <c r="F1288" s="1">
        <v>1813.14</v>
      </c>
      <c r="G1288" s="2">
        <v>46000</v>
      </c>
      <c r="I1288" s="36">
        <f t="shared" si="40"/>
        <v>-1.785385407074358E-2</v>
      </c>
      <c r="J1288" s="36">
        <f t="shared" si="41"/>
        <v>-2.5423728813559365E-2</v>
      </c>
    </row>
    <row r="1289" spans="4:10">
      <c r="D1289" s="1"/>
      <c r="E1289" s="34">
        <v>46115</v>
      </c>
      <c r="F1289" s="1">
        <v>1818.27</v>
      </c>
      <c r="G1289" s="2">
        <v>46000</v>
      </c>
      <c r="I1289" s="36">
        <f t="shared" si="40"/>
        <v>2.8293457758363783E-3</v>
      </c>
      <c r="J1289" s="36">
        <f t="shared" si="41"/>
        <v>0</v>
      </c>
    </row>
    <row r="1290" spans="4:10">
      <c r="D1290" s="1"/>
      <c r="E1290" s="34">
        <v>46145</v>
      </c>
      <c r="F1290" s="1">
        <v>1808.51</v>
      </c>
      <c r="G1290" s="2">
        <v>45650</v>
      </c>
      <c r="I1290" s="36">
        <f t="shared" si="40"/>
        <v>-5.3677396646262254E-3</v>
      </c>
      <c r="J1290" s="36">
        <f t="shared" si="41"/>
        <v>-7.6086956521739246E-3</v>
      </c>
    </row>
    <row r="1291" spans="4:10">
      <c r="D1291" s="1"/>
      <c r="E1291" s="34">
        <v>46176</v>
      </c>
      <c r="F1291" s="1">
        <v>1767.84</v>
      </c>
      <c r="G1291" s="2">
        <v>45600</v>
      </c>
      <c r="I1291" s="36">
        <f t="shared" si="40"/>
        <v>-2.2488125584044338E-2</v>
      </c>
      <c r="J1291" s="36">
        <f t="shared" si="41"/>
        <v>-1.0952902519167917E-3</v>
      </c>
    </row>
    <row r="1292" spans="4:10">
      <c r="D1292" s="1"/>
      <c r="E1292" s="34">
        <v>46268</v>
      </c>
      <c r="F1292" s="1">
        <v>1652.79</v>
      </c>
      <c r="G1292" s="2">
        <v>42450</v>
      </c>
      <c r="I1292" s="36">
        <f t="shared" si="40"/>
        <v>-6.5079418951941359E-2</v>
      </c>
      <c r="J1292" s="36">
        <f t="shared" si="41"/>
        <v>-6.9078947368421018E-2</v>
      </c>
    </row>
    <row r="1293" spans="4:10">
      <c r="D1293" s="1"/>
      <c r="E1293" s="34">
        <v>46298</v>
      </c>
      <c r="F1293" s="1">
        <v>1676.73</v>
      </c>
      <c r="G1293" s="2">
        <v>44750</v>
      </c>
      <c r="I1293" s="36">
        <f t="shared" si="40"/>
        <v>1.4484598769353596E-2</v>
      </c>
      <c r="J1293" s="36">
        <f t="shared" si="41"/>
        <v>5.4181389870435748E-2</v>
      </c>
    </row>
    <row r="1294" spans="4:10">
      <c r="D1294" s="1"/>
      <c r="E1294" s="34">
        <v>46329</v>
      </c>
      <c r="F1294" s="1">
        <v>1728.34</v>
      </c>
      <c r="G1294" s="2">
        <v>44800</v>
      </c>
      <c r="I1294" s="36">
        <f t="shared" si="40"/>
        <v>3.0780149457575012E-2</v>
      </c>
      <c r="J1294" s="36">
        <f t="shared" si="41"/>
        <v>1.1173184357542443E-3</v>
      </c>
    </row>
    <row r="1295" spans="4:10">
      <c r="D1295" s="1"/>
      <c r="E1295" s="34">
        <v>46359</v>
      </c>
      <c r="F1295" s="1">
        <v>1709.61</v>
      </c>
      <c r="G1295" s="2">
        <v>43750</v>
      </c>
      <c r="I1295" s="36">
        <f t="shared" si="40"/>
        <v>-1.0836988092620681E-2</v>
      </c>
      <c r="J1295" s="36">
        <f t="shared" si="41"/>
        <v>-2.34375E-2</v>
      </c>
    </row>
    <row r="1296" spans="4:10">
      <c r="D1296" s="1"/>
      <c r="E1296" t="s">
        <v>352</v>
      </c>
      <c r="F1296" s="1">
        <v>1696.24</v>
      </c>
      <c r="G1296" s="2">
        <v>44400</v>
      </c>
      <c r="I1296" s="36">
        <f t="shared" si="40"/>
        <v>-7.8204970724317091E-3</v>
      </c>
      <c r="J1296" s="36">
        <f t="shared" si="41"/>
        <v>1.4857142857142902E-2</v>
      </c>
    </row>
    <row r="1297" spans="4:10">
      <c r="D1297" s="1"/>
      <c r="E1297" t="s">
        <v>353</v>
      </c>
      <c r="F1297" s="1">
        <v>1693.21</v>
      </c>
      <c r="G1297" s="2">
        <v>44500</v>
      </c>
      <c r="I1297" s="36">
        <f t="shared" si="40"/>
        <v>-1.7863038249303909E-3</v>
      </c>
      <c r="J1297" s="36">
        <f t="shared" si="41"/>
        <v>2.2522522522523403E-3</v>
      </c>
    </row>
    <row r="1298" spans="4:10">
      <c r="D1298" s="1"/>
      <c r="E1298" t="s">
        <v>354</v>
      </c>
      <c r="F1298" s="1">
        <v>1710.29</v>
      </c>
      <c r="G1298" s="2">
        <v>44350</v>
      </c>
      <c r="I1298" s="36">
        <f t="shared" si="40"/>
        <v>1.0087348881709923E-2</v>
      </c>
      <c r="J1298" s="36">
        <f t="shared" si="41"/>
        <v>-3.370786516853963E-3</v>
      </c>
    </row>
    <row r="1299" spans="4:10">
      <c r="D1299" s="1"/>
      <c r="E1299" t="s">
        <v>355</v>
      </c>
      <c r="F1299" s="1">
        <v>1713.83</v>
      </c>
      <c r="G1299" s="2">
        <v>44450</v>
      </c>
      <c r="I1299" s="36">
        <f t="shared" si="40"/>
        <v>2.0698244157424384E-3</v>
      </c>
      <c r="J1299" s="36">
        <f t="shared" si="41"/>
        <v>2.2547914317925244E-3</v>
      </c>
    </row>
    <row r="1300" spans="4:10">
      <c r="D1300" s="1"/>
      <c r="E1300" t="s">
        <v>356</v>
      </c>
      <c r="F1300" s="1">
        <v>1699.13</v>
      </c>
      <c r="G1300" s="2">
        <v>44350</v>
      </c>
      <c r="I1300" s="36">
        <f t="shared" si="40"/>
        <v>-8.5772801269670129E-3</v>
      </c>
      <c r="J1300" s="36">
        <f t="shared" si="41"/>
        <v>-2.2497187851518996E-3</v>
      </c>
    </row>
    <row r="1301" spans="4:10">
      <c r="D1301" s="1"/>
      <c r="E1301" t="s">
        <v>357</v>
      </c>
      <c r="F1301" s="1">
        <v>1647.81</v>
      </c>
      <c r="G1301" s="2">
        <v>42600</v>
      </c>
      <c r="I1301" s="36">
        <f t="shared" si="40"/>
        <v>-3.0203692477915212E-2</v>
      </c>
      <c r="J1301" s="36">
        <f t="shared" si="41"/>
        <v>-3.9458850056369732E-2</v>
      </c>
    </row>
    <row r="1302" spans="4:10">
      <c r="D1302" s="1"/>
      <c r="E1302" t="s">
        <v>358</v>
      </c>
      <c r="F1302" s="1">
        <v>1591.17</v>
      </c>
      <c r="G1302" s="2">
        <v>42900</v>
      </c>
      <c r="I1302" s="36">
        <f t="shared" si="40"/>
        <v>-3.4372894933275E-2</v>
      </c>
      <c r="J1302" s="36">
        <f t="shared" si="41"/>
        <v>7.0422535211267512E-3</v>
      </c>
    </row>
    <row r="1303" spans="4:10">
      <c r="D1303" s="1"/>
      <c r="E1303" t="s">
        <v>359</v>
      </c>
      <c r="F1303" s="1">
        <v>1614.77</v>
      </c>
      <c r="G1303" s="2">
        <v>45100</v>
      </c>
      <c r="I1303" s="36">
        <f t="shared" si="40"/>
        <v>1.4831853290345975E-2</v>
      </c>
      <c r="J1303" s="36">
        <f t="shared" si="41"/>
        <v>5.1282051282051322E-2</v>
      </c>
    </row>
    <row r="1304" spans="4:10">
      <c r="D1304" s="1"/>
      <c r="E1304" t="s">
        <v>360</v>
      </c>
      <c r="F1304" s="1">
        <v>1654.39</v>
      </c>
      <c r="G1304" s="2">
        <v>44750</v>
      </c>
      <c r="I1304" s="36">
        <f t="shared" si="40"/>
        <v>2.453600203124906E-2</v>
      </c>
      <c r="J1304" s="36">
        <f t="shared" si="41"/>
        <v>-7.7605321507761005E-3</v>
      </c>
    </row>
    <row r="1305" spans="4:10">
      <c r="D1305" s="1"/>
    </row>
    <row r="1306" spans="4:10">
      <c r="D1306" s="1"/>
    </row>
    <row r="1307" spans="4:10">
      <c r="D1307" s="1"/>
    </row>
    <row r="1308" spans="4:10">
      <c r="D1308" s="1"/>
    </row>
    <row r="1309" spans="4:10">
      <c r="D1309" s="1"/>
    </row>
    <row r="1310" spans="4:10">
      <c r="D1310" s="1"/>
    </row>
    <row r="1311" spans="4:10">
      <c r="D1311" s="1"/>
    </row>
    <row r="1312" spans="4:10">
      <c r="D1312" s="1"/>
    </row>
    <row r="1313" spans="4:4">
      <c r="D1313" s="1"/>
    </row>
    <row r="1314" spans="4:4">
      <c r="D1314" s="1"/>
    </row>
    <row r="1315" spans="4:4">
      <c r="D1315" s="1"/>
    </row>
    <row r="1316" spans="4:4">
      <c r="D1316" s="1"/>
    </row>
    <row r="1317" spans="4:4">
      <c r="D1317" s="1"/>
    </row>
    <row r="1318" spans="4:4">
      <c r="D1318" s="1"/>
    </row>
    <row r="1319" spans="4:4">
      <c r="D1319" s="1"/>
    </row>
    <row r="1320" spans="4:4">
      <c r="D1320" s="1"/>
    </row>
    <row r="1321" spans="4:4">
      <c r="D1321" s="1"/>
    </row>
    <row r="1322" spans="4:4">
      <c r="D1322" s="1"/>
    </row>
    <row r="1323" spans="4:4">
      <c r="D1323" s="1"/>
    </row>
    <row r="1324" spans="4:4">
      <c r="D1324" s="1"/>
    </row>
    <row r="1325" spans="4:4">
      <c r="D1325" s="1"/>
    </row>
    <row r="1326" spans="4:4">
      <c r="D1326" s="1"/>
    </row>
    <row r="1327" spans="4:4">
      <c r="D1327" s="1"/>
    </row>
    <row r="1328" spans="4:4">
      <c r="D1328" s="1"/>
    </row>
    <row r="1329" spans="4:4">
      <c r="D1329" s="1"/>
    </row>
    <row r="1330" spans="4:4">
      <c r="D1330" s="1"/>
    </row>
    <row r="1331" spans="4:4">
      <c r="D1331" s="1"/>
    </row>
    <row r="1332" spans="4:4">
      <c r="D1332" s="1"/>
    </row>
    <row r="1333" spans="4:4">
      <c r="D1333" s="1"/>
    </row>
    <row r="1334" spans="4:4">
      <c r="D1334" s="1"/>
    </row>
    <row r="1335" spans="4:4">
      <c r="D1335" s="1"/>
    </row>
    <row r="1336" spans="4:4">
      <c r="D1336" s="1"/>
    </row>
    <row r="1337" spans="4:4">
      <c r="D1337" s="1"/>
    </row>
    <row r="1338" spans="4:4">
      <c r="D1338" s="1"/>
    </row>
    <row r="1339" spans="4:4">
      <c r="D1339" s="1"/>
    </row>
    <row r="1340" spans="4:4">
      <c r="D1340" s="1"/>
    </row>
    <row r="1341" spans="4:4">
      <c r="D1341" s="1"/>
    </row>
    <row r="1342" spans="4:4">
      <c r="D1342" s="1"/>
    </row>
    <row r="1343" spans="4:4">
      <c r="D1343" s="1"/>
    </row>
    <row r="1344" spans="4:4">
      <c r="D1344" s="1"/>
    </row>
    <row r="1345" spans="4:4">
      <c r="D1345" s="1"/>
    </row>
    <row r="1346" spans="4:4">
      <c r="D1346" s="1"/>
    </row>
    <row r="1347" spans="4:4">
      <c r="D1347" s="1"/>
    </row>
    <row r="1348" spans="4:4">
      <c r="D1348" s="1"/>
    </row>
    <row r="1349" spans="4:4">
      <c r="D1349" s="1"/>
    </row>
    <row r="1350" spans="4:4">
      <c r="D1350" s="1"/>
    </row>
    <row r="1351" spans="4:4">
      <c r="D1351" s="1"/>
    </row>
    <row r="1352" spans="4:4">
      <c r="D1352" s="1"/>
    </row>
    <row r="1353" spans="4:4">
      <c r="D1353" s="1"/>
    </row>
    <row r="1354" spans="4:4">
      <c r="D1354" s="1"/>
    </row>
    <row r="1355" spans="4:4">
      <c r="D1355" s="1"/>
    </row>
    <row r="1356" spans="4:4">
      <c r="D1356" s="1"/>
    </row>
    <row r="1357" spans="4:4">
      <c r="D1357" s="1"/>
    </row>
    <row r="1358" spans="4:4">
      <c r="D1358" s="1"/>
    </row>
    <row r="1359" spans="4:4">
      <c r="D1359" s="1"/>
    </row>
    <row r="1360" spans="4:4">
      <c r="D1360" s="1"/>
    </row>
    <row r="1361" spans="4:4">
      <c r="D1361" s="1"/>
    </row>
    <row r="1362" spans="4:4">
      <c r="D1362" s="1"/>
    </row>
    <row r="1363" spans="4:4">
      <c r="D1363" s="1"/>
    </row>
    <row r="1364" spans="4:4">
      <c r="D1364" s="1"/>
    </row>
    <row r="1365" spans="4:4">
      <c r="D1365" s="1"/>
    </row>
    <row r="1366" spans="4:4">
      <c r="D1366" s="1"/>
    </row>
    <row r="1367" spans="4:4">
      <c r="D1367" s="1"/>
    </row>
    <row r="1368" spans="4:4">
      <c r="D1368" s="1"/>
    </row>
    <row r="1369" spans="4:4">
      <c r="D1369" s="1"/>
    </row>
    <row r="1370" spans="4:4">
      <c r="D1370" s="1"/>
    </row>
    <row r="1371" spans="4:4">
      <c r="D1371" s="1"/>
    </row>
    <row r="1372" spans="4:4">
      <c r="D1372" s="1"/>
    </row>
    <row r="1373" spans="4:4">
      <c r="D1373" s="1"/>
    </row>
    <row r="1374" spans="4:4">
      <c r="D1374" s="1"/>
    </row>
    <row r="1375" spans="4:4">
      <c r="D1375" s="1"/>
    </row>
    <row r="1376" spans="4:4">
      <c r="D1376" s="1"/>
    </row>
    <row r="1377" spans="4:4">
      <c r="D1377" s="1"/>
    </row>
    <row r="1378" spans="4:4">
      <c r="D1378" s="1"/>
    </row>
    <row r="1379" spans="4:4">
      <c r="D1379" s="1"/>
    </row>
    <row r="1380" spans="4:4">
      <c r="D1380" s="1"/>
    </row>
    <row r="1381" spans="4:4">
      <c r="D1381" s="1"/>
    </row>
    <row r="1382" spans="4:4">
      <c r="D1382" s="1"/>
    </row>
    <row r="1383" spans="4:4">
      <c r="D1383" s="1"/>
    </row>
    <row r="1384" spans="4:4">
      <c r="D1384" s="1"/>
    </row>
    <row r="1385" spans="4:4">
      <c r="D1385" s="1"/>
    </row>
    <row r="1386" spans="4:4">
      <c r="D1386" s="1"/>
    </row>
    <row r="1387" spans="4:4">
      <c r="D1387" s="1"/>
    </row>
    <row r="1388" spans="4:4">
      <c r="D1388" s="1"/>
    </row>
    <row r="1389" spans="4:4">
      <c r="D1389" s="1"/>
    </row>
    <row r="1390" spans="4:4">
      <c r="D1390" s="1"/>
    </row>
    <row r="1391" spans="4:4">
      <c r="D1391" s="1"/>
    </row>
    <row r="1392" spans="4:4">
      <c r="D1392" s="1"/>
    </row>
    <row r="1393" spans="4:4">
      <c r="D1393" s="1"/>
    </row>
    <row r="1394" spans="4:4">
      <c r="D1394" s="1"/>
    </row>
    <row r="1395" spans="4:4">
      <c r="D1395" s="1"/>
    </row>
    <row r="1396" spans="4:4">
      <c r="D1396" s="1"/>
    </row>
    <row r="1397" spans="4:4">
      <c r="D1397" s="1"/>
    </row>
    <row r="1398" spans="4:4">
      <c r="D1398" s="1"/>
    </row>
    <row r="1399" spans="4:4">
      <c r="D1399" s="1"/>
    </row>
    <row r="1400" spans="4:4">
      <c r="D1400" s="1"/>
    </row>
    <row r="1401" spans="4:4">
      <c r="D1401" s="1"/>
    </row>
    <row r="1402" spans="4:4">
      <c r="D1402" s="1"/>
    </row>
    <row r="1403" spans="4:4">
      <c r="D1403" s="1"/>
    </row>
    <row r="1404" spans="4:4">
      <c r="D1404" s="1"/>
    </row>
    <row r="1405" spans="4:4">
      <c r="D1405" s="1"/>
    </row>
    <row r="1406" spans="4:4">
      <c r="D1406" s="1"/>
    </row>
    <row r="1407" spans="4:4">
      <c r="D1407" s="1"/>
    </row>
    <row r="1408" spans="4:4">
      <c r="D1408" s="1"/>
    </row>
    <row r="1409" spans="4:4">
      <c r="D1409" s="1"/>
    </row>
    <row r="1410" spans="4:4">
      <c r="D1410" s="1"/>
    </row>
    <row r="1411" spans="4:4">
      <c r="D1411" s="1"/>
    </row>
    <row r="1412" spans="4:4">
      <c r="D1412" s="1"/>
    </row>
    <row r="1413" spans="4:4">
      <c r="D1413" s="1"/>
    </row>
    <row r="1414" spans="4:4">
      <c r="D1414" s="1"/>
    </row>
    <row r="1415" spans="4:4">
      <c r="D1415" s="1"/>
    </row>
    <row r="1416" spans="4:4">
      <c r="D1416" s="1"/>
    </row>
    <row r="1417" spans="4:4">
      <c r="D1417" s="1"/>
    </row>
    <row r="1418" spans="4:4">
      <c r="D1418" s="1"/>
    </row>
    <row r="1419" spans="4:4">
      <c r="D1419" s="1"/>
    </row>
    <row r="1420" spans="4:4">
      <c r="D1420" s="1"/>
    </row>
    <row r="1421" spans="4:4">
      <c r="D1421" s="1"/>
    </row>
    <row r="1422" spans="4:4">
      <c r="D1422" s="1"/>
    </row>
    <row r="1423" spans="4:4">
      <c r="D1423" s="1"/>
    </row>
    <row r="1424" spans="4:4">
      <c r="D1424" s="1"/>
    </row>
    <row r="1425" spans="4:4">
      <c r="D1425" s="1"/>
    </row>
    <row r="1426" spans="4:4">
      <c r="D1426" s="1"/>
    </row>
    <row r="1427" spans="4:4">
      <c r="D1427" s="1"/>
    </row>
    <row r="1428" spans="4:4">
      <c r="D1428" s="1"/>
    </row>
    <row r="1429" spans="4:4">
      <c r="D1429" s="1"/>
    </row>
    <row r="1430" spans="4:4">
      <c r="D1430" s="1"/>
    </row>
    <row r="1431" spans="4:4">
      <c r="D1431" s="1"/>
    </row>
    <row r="1432" spans="4:4">
      <c r="D1432" s="1"/>
    </row>
    <row r="1433" spans="4:4">
      <c r="D1433" s="1"/>
    </row>
    <row r="1434" spans="4:4">
      <c r="D1434" s="1"/>
    </row>
    <row r="1435" spans="4:4">
      <c r="D1435" s="1"/>
    </row>
    <row r="1436" spans="4:4">
      <c r="D1436" s="1"/>
    </row>
    <row r="1437" spans="4:4">
      <c r="D1437" s="1"/>
    </row>
    <row r="1438" spans="4:4">
      <c r="D1438" s="1"/>
    </row>
    <row r="1439" spans="4:4">
      <c r="D1439" s="1"/>
    </row>
    <row r="1440" spans="4:4">
      <c r="D1440" s="1"/>
    </row>
    <row r="1441" spans="4:4">
      <c r="D1441" s="1"/>
    </row>
    <row r="1442" spans="4:4">
      <c r="D1442" s="1"/>
    </row>
    <row r="1443" spans="4:4">
      <c r="D1443" s="1"/>
    </row>
    <row r="1444" spans="4:4">
      <c r="D1444" s="1"/>
    </row>
    <row r="1445" spans="4:4">
      <c r="D1445" s="1"/>
    </row>
    <row r="1446" spans="4:4">
      <c r="D1446" s="1"/>
    </row>
    <row r="1447" spans="4:4">
      <c r="D1447" s="1"/>
    </row>
    <row r="1448" spans="4:4">
      <c r="D1448" s="1"/>
    </row>
    <row r="1449" spans="4:4">
      <c r="D1449" s="1"/>
    </row>
    <row r="1450" spans="4:4">
      <c r="D1450" s="1"/>
    </row>
    <row r="1451" spans="4:4">
      <c r="D1451" s="1"/>
    </row>
    <row r="1452" spans="4:4">
      <c r="D1452" s="1"/>
    </row>
    <row r="1453" spans="4:4">
      <c r="D1453" s="1"/>
    </row>
    <row r="1454" spans="4:4">
      <c r="D1454" s="1"/>
    </row>
    <row r="1455" spans="4:4">
      <c r="D1455" s="1"/>
    </row>
    <row r="1456" spans="4:4">
      <c r="D1456" s="1"/>
    </row>
    <row r="1457" spans="4:4">
      <c r="D1457" s="1"/>
    </row>
    <row r="1458" spans="4:4">
      <c r="D1458" s="1"/>
    </row>
    <row r="1459" spans="4:4">
      <c r="D1459" s="1"/>
    </row>
    <row r="1460" spans="4:4">
      <c r="D1460" s="1"/>
    </row>
    <row r="1461" spans="4:4">
      <c r="D1461" s="1"/>
    </row>
    <row r="1462" spans="4:4">
      <c r="D1462" s="1"/>
    </row>
    <row r="1463" spans="4:4">
      <c r="D1463" s="1"/>
    </row>
    <row r="1464" spans="4:4">
      <c r="D1464" s="1"/>
    </row>
    <row r="1465" spans="4:4">
      <c r="D1465" s="1"/>
    </row>
    <row r="1466" spans="4:4">
      <c r="D1466" s="1"/>
    </row>
    <row r="1467" spans="4:4">
      <c r="D1467" s="1"/>
    </row>
    <row r="1468" spans="4:4">
      <c r="D1468" s="1"/>
    </row>
    <row r="1469" spans="4:4">
      <c r="D1469" s="1"/>
    </row>
    <row r="1470" spans="4:4">
      <c r="D1470" s="1"/>
    </row>
    <row r="1471" spans="4:4">
      <c r="D1471" s="1"/>
    </row>
    <row r="1472" spans="4:4">
      <c r="D1472" s="1"/>
    </row>
    <row r="1473" spans="4:4">
      <c r="D1473" s="1"/>
    </row>
    <row r="1474" spans="4:4">
      <c r="D1474" s="1"/>
    </row>
    <row r="1475" spans="4:4">
      <c r="D1475" s="1"/>
    </row>
    <row r="1476" spans="4:4">
      <c r="D1476" s="1"/>
    </row>
    <row r="1477" spans="4:4">
      <c r="D1477" s="1"/>
    </row>
    <row r="1478" spans="4:4">
      <c r="D1478" s="1"/>
    </row>
    <row r="1479" spans="4:4">
      <c r="D1479" s="1"/>
    </row>
    <row r="1480" spans="4:4">
      <c r="D1480" s="1"/>
    </row>
    <row r="1481" spans="4:4">
      <c r="D1481" s="1"/>
    </row>
    <row r="1482" spans="4:4">
      <c r="D1482" s="1"/>
    </row>
    <row r="1483" spans="4:4">
      <c r="D1483" s="1"/>
    </row>
    <row r="1484" spans="4:4">
      <c r="D1484" s="1"/>
    </row>
    <row r="1485" spans="4:4">
      <c r="D1485" s="1"/>
    </row>
    <row r="1486" spans="4:4">
      <c r="D1486" s="1"/>
    </row>
    <row r="1487" spans="4:4">
      <c r="D1487" s="1"/>
    </row>
    <row r="1488" spans="4:4">
      <c r="D1488" s="1"/>
    </row>
    <row r="1489" spans="4:4">
      <c r="D1489" s="1"/>
    </row>
    <row r="1490" spans="4:4">
      <c r="D1490" s="1"/>
    </row>
    <row r="1491" spans="4:4">
      <c r="D1491" s="1"/>
    </row>
    <row r="1492" spans="4:4">
      <c r="D1492" s="1"/>
    </row>
    <row r="1493" spans="4:4">
      <c r="D1493" s="1"/>
    </row>
    <row r="1494" spans="4:4">
      <c r="D1494" s="1"/>
    </row>
    <row r="1495" spans="4:4">
      <c r="D1495" s="1"/>
    </row>
    <row r="1496" spans="4:4">
      <c r="D1496" s="1"/>
    </row>
    <row r="1497" spans="4:4">
      <c r="D1497" s="1"/>
    </row>
    <row r="1498" spans="4:4">
      <c r="D1498" s="1"/>
    </row>
    <row r="1499" spans="4:4">
      <c r="D1499" s="1"/>
    </row>
    <row r="1500" spans="4:4">
      <c r="D1500" s="1"/>
    </row>
    <row r="1501" spans="4:4">
      <c r="D1501" s="1"/>
    </row>
    <row r="1502" spans="4:4">
      <c r="D1502" s="1"/>
    </row>
    <row r="1503" spans="4:4">
      <c r="D1503" s="1"/>
    </row>
    <row r="1504" spans="4:4">
      <c r="D1504" s="1"/>
    </row>
    <row r="1505" spans="4:4">
      <c r="D1505" s="1"/>
    </row>
    <row r="1506" spans="4:4">
      <c r="D1506" s="1"/>
    </row>
    <row r="1507" spans="4:4">
      <c r="D1507" s="1"/>
    </row>
    <row r="1508" spans="4:4">
      <c r="D1508" s="1"/>
    </row>
    <row r="1509" spans="4:4">
      <c r="D1509" s="1"/>
    </row>
    <row r="1510" spans="4:4">
      <c r="D1510" s="1"/>
    </row>
    <row r="1511" spans="4:4">
      <c r="D1511" s="1"/>
    </row>
    <row r="1512" spans="4:4">
      <c r="D1512" s="1"/>
    </row>
    <row r="1513" spans="4:4">
      <c r="D1513" s="1"/>
    </row>
    <row r="1514" spans="4:4">
      <c r="D1514" s="1"/>
    </row>
    <row r="1515" spans="4:4">
      <c r="D1515" s="1"/>
    </row>
    <row r="1516" spans="4:4">
      <c r="D1516" s="1"/>
    </row>
    <row r="1517" spans="4:4">
      <c r="D1517" s="1"/>
    </row>
    <row r="1518" spans="4:4">
      <c r="D1518" s="1"/>
    </row>
    <row r="1519" spans="4:4">
      <c r="D1519" s="1"/>
    </row>
    <row r="1520" spans="4:4">
      <c r="D1520" s="1"/>
    </row>
    <row r="1521" spans="4:4">
      <c r="D1521" s="1"/>
    </row>
    <row r="1522" spans="4:4">
      <c r="D1522" s="1"/>
    </row>
    <row r="1523" spans="4:4">
      <c r="D1523" s="1"/>
    </row>
    <row r="1524" spans="4:4">
      <c r="D1524" s="1"/>
    </row>
    <row r="1525" spans="4:4">
      <c r="D1525" s="1"/>
    </row>
    <row r="1526" spans="4:4">
      <c r="D1526" s="1"/>
    </row>
    <row r="1527" spans="4:4">
      <c r="D1527" s="1"/>
    </row>
    <row r="1528" spans="4:4">
      <c r="D1528" s="1"/>
    </row>
    <row r="1529" spans="4:4">
      <c r="D1529" s="1"/>
    </row>
    <row r="1530" spans="4:4">
      <c r="D1530" s="1"/>
    </row>
    <row r="1531" spans="4:4">
      <c r="D1531" s="1"/>
    </row>
    <row r="1532" spans="4:4">
      <c r="D1532" s="1"/>
    </row>
    <row r="1533" spans="4:4">
      <c r="D1533" s="1"/>
    </row>
    <row r="1534" spans="4:4">
      <c r="D1534" s="1"/>
    </row>
    <row r="1535" spans="4:4">
      <c r="D1535" s="1"/>
    </row>
    <row r="1536" spans="4:4">
      <c r="D1536" s="1"/>
    </row>
    <row r="1537" spans="4:4">
      <c r="D1537" s="1"/>
    </row>
    <row r="1538" spans="4:4">
      <c r="D1538" s="1"/>
    </row>
    <row r="1539" spans="4:4">
      <c r="D1539" s="1"/>
    </row>
    <row r="1540" spans="4:4">
      <c r="D1540" s="1"/>
    </row>
    <row r="1541" spans="4:4">
      <c r="D1541" s="1"/>
    </row>
    <row r="1542" spans="4:4">
      <c r="D1542" s="1"/>
    </row>
    <row r="1543" spans="4:4">
      <c r="D1543" s="1"/>
    </row>
    <row r="1544" spans="4:4">
      <c r="D1544" s="1"/>
    </row>
    <row r="1545" spans="4:4">
      <c r="D1545" s="1"/>
    </row>
    <row r="1546" spans="4:4">
      <c r="D1546" s="1"/>
    </row>
    <row r="1547" spans="4:4">
      <c r="D1547" s="1"/>
    </row>
    <row r="1548" spans="4:4">
      <c r="D1548" s="1"/>
    </row>
    <row r="1549" spans="4:4">
      <c r="D1549" s="1"/>
    </row>
    <row r="1550" spans="4:4">
      <c r="D1550" s="1"/>
    </row>
    <row r="1551" spans="4:4">
      <c r="D1551" s="1"/>
    </row>
    <row r="1552" spans="4:4">
      <c r="D1552" s="1"/>
    </row>
    <row r="1553" spans="4:4">
      <c r="D1553" s="1"/>
    </row>
    <row r="1554" spans="4:4">
      <c r="D1554" s="1"/>
    </row>
    <row r="1555" spans="4:4">
      <c r="D1555" s="1"/>
    </row>
    <row r="1556" spans="4:4">
      <c r="D1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Valuation</vt:lpstr>
      <vt:lpstr>1BS</vt:lpstr>
      <vt:lpstr>1IS</vt:lpstr>
      <vt:lpstr>1CF</vt:lpstr>
      <vt:lpstr>Equity</vt:lpstr>
      <vt:lpstr>Report</vt:lpstr>
      <vt:lpstr>Rev</vt:lpstr>
      <vt:lpstr>WC</vt:lpstr>
      <vt:lpstr>FA</vt:lpstr>
      <vt:lpstr>Debt</vt:lpstr>
      <vt:lpstr>FI&amp;FE</vt:lpstr>
      <vt:lpstr>BS</vt:lpstr>
      <vt:lpstr>IS</vt:lpstr>
      <vt:lpstr>CF</vt:lpstr>
      <vt:lpstr>Beta</vt:lpstr>
      <vt:lpstr>o28\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Huyn</dc:creator>
  <cp:lastModifiedBy>Min Huyn</cp:lastModifiedBy>
  <dcterms:created xsi:type="dcterms:W3CDTF">2026-03-24T14:28:10Z</dcterms:created>
  <dcterms:modified xsi:type="dcterms:W3CDTF">2026-04-03T05:49:11Z</dcterms:modified>
</cp:coreProperties>
</file>