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8A097AC-EDB8-4F8E-BA00-BE50496D6C19}" xr6:coauthVersionLast="47" xr6:coauthVersionMax="47" xr10:uidLastSave="{00000000-0000-0000-0000-000000000000}"/>
  <bookViews>
    <workbookView xWindow="-110" yWindow="-110" windowWidth="19420" windowHeight="10420" activeTab="3" xr2:uid="{EFA66A5C-F688-4812-9A60-E33F7D3D808E}"/>
  </bookViews>
  <sheets>
    <sheet name="BL" sheetId="1" r:id="rId1"/>
    <sheet name="IS" sheetId="2" r:id="rId2"/>
    <sheet name="CF" sheetId="3" r:id="rId3"/>
    <sheet name="NWC" sheetId="4" r:id="rId4"/>
    <sheet name="Data" sheetId="5" r:id="rId5"/>
    <sheet name="Capex" sheetId="6" r:id="rId6"/>
    <sheet name="WACC" sheetId="7" r:id="rId7"/>
    <sheet name="FCFF" sheetId="8" r:id="rId8"/>
    <sheet name="FCFE" sheetId="9" r:id="rId9"/>
    <sheet name="PE" sheetId="10" r:id="rId10"/>
    <sheet name="PB" sheetId="11" r:id="rId11"/>
    <sheet name="EV.EBITDA" sheetId="12" r:id="rId12"/>
    <sheet name="Sheet1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6" i="5" l="1"/>
  <c r="M27" i="5"/>
  <c r="N27" i="5" s="1"/>
  <c r="M28" i="5"/>
  <c r="N28" i="5" s="1"/>
  <c r="M29" i="5"/>
  <c r="N29" i="5"/>
  <c r="M30" i="5"/>
  <c r="N30" i="5" s="1"/>
  <c r="M31" i="5"/>
  <c r="N31" i="5"/>
  <c r="M9" i="5"/>
  <c r="N9" i="5"/>
  <c r="M13" i="5"/>
  <c r="N13" i="5"/>
  <c r="M14" i="5"/>
  <c r="N14" i="5"/>
  <c r="M15" i="5"/>
  <c r="N16" i="5"/>
  <c r="N15" i="5" s="1"/>
  <c r="M17" i="5"/>
  <c r="N17" i="5"/>
  <c r="M18" i="5"/>
  <c r="N18" i="5"/>
  <c r="H31" i="5"/>
  <c r="H20" i="5"/>
  <c r="I20" i="5"/>
  <c r="H6" i="6"/>
  <c r="I6" i="6"/>
  <c r="J3" i="6" s="1"/>
  <c r="H3" i="6"/>
  <c r="I3" i="6"/>
  <c r="H11" i="5"/>
  <c r="I11" i="5"/>
  <c r="H9" i="5"/>
  <c r="H13" i="5" s="1"/>
  <c r="I9" i="5"/>
  <c r="I13" i="5" s="1"/>
  <c r="H6" i="5"/>
  <c r="I6" i="5"/>
  <c r="I29" i="5" s="1"/>
  <c r="H3" i="5"/>
  <c r="I3" i="5"/>
  <c r="H4" i="5"/>
  <c r="H28" i="5" s="1"/>
  <c r="I4" i="5"/>
  <c r="H7" i="4"/>
  <c r="I7" i="4"/>
  <c r="H8" i="4"/>
  <c r="I8" i="4"/>
  <c r="H9" i="4"/>
  <c r="I9" i="4"/>
  <c r="H10" i="4"/>
  <c r="I10" i="4"/>
  <c r="H11" i="4"/>
  <c r="I11" i="4"/>
  <c r="I6" i="4"/>
  <c r="H18" i="4"/>
  <c r="I18" i="4"/>
  <c r="H19" i="4"/>
  <c r="I19" i="4"/>
  <c r="H3" i="4"/>
  <c r="I3" i="4"/>
  <c r="H4" i="4"/>
  <c r="I4" i="4"/>
  <c r="H5" i="4"/>
  <c r="I5" i="4"/>
  <c r="H5" i="10"/>
  <c r="B7" i="10" s="1"/>
  <c r="B16" i="8"/>
  <c r="M3" i="5" l="1"/>
  <c r="M6" i="5" s="1"/>
  <c r="M7" i="5" s="1"/>
  <c r="I28" i="5"/>
  <c r="I31" i="5"/>
  <c r="J31" i="5" s="1"/>
  <c r="H29" i="5"/>
  <c r="H4" i="6"/>
  <c r="H12" i="6" s="1"/>
  <c r="H5" i="5"/>
  <c r="I27" i="5"/>
  <c r="I4" i="6"/>
  <c r="H5" i="6"/>
  <c r="B3" i="7"/>
  <c r="N3" i="5" l="1"/>
  <c r="M4" i="5"/>
  <c r="M5" i="5" s="1"/>
  <c r="M8" i="5" s="1"/>
  <c r="M10" i="5" s="1"/>
  <c r="M20" i="5"/>
  <c r="N4" i="5"/>
  <c r="N5" i="5" s="1"/>
  <c r="N6" i="5"/>
  <c r="N7" i="5" s="1"/>
  <c r="N20" i="5"/>
  <c r="I5" i="6"/>
  <c r="I13" i="6" s="1"/>
  <c r="I12" i="6"/>
  <c r="H14" i="5"/>
  <c r="G14" i="5"/>
  <c r="H13" i="6"/>
  <c r="G4" i="11"/>
  <c r="G5" i="11"/>
  <c r="G3" i="11"/>
  <c r="G5" i="10"/>
  <c r="F5" i="10"/>
  <c r="G4" i="10"/>
  <c r="G3" i="10"/>
  <c r="B8" i="7"/>
  <c r="M11" i="5" l="1"/>
  <c r="M12" i="5" s="1"/>
  <c r="M19" i="5" s="1"/>
  <c r="M21" i="5" s="1"/>
  <c r="N8" i="5"/>
  <c r="N10" i="5" s="1"/>
  <c r="G6" i="11"/>
  <c r="G7" i="11" s="1"/>
  <c r="B9" i="11" s="1"/>
  <c r="C5" i="13" s="1"/>
  <c r="B10" i="7"/>
  <c r="B9" i="7"/>
  <c r="C3" i="6"/>
  <c r="G3" i="6"/>
  <c r="G6" i="6"/>
  <c r="G3" i="5"/>
  <c r="G4" i="5"/>
  <c r="G6" i="5"/>
  <c r="G7" i="5" s="1"/>
  <c r="G9" i="5"/>
  <c r="G13" i="5" s="1"/>
  <c r="G11" i="5"/>
  <c r="G20" i="5"/>
  <c r="G31" i="5" s="1"/>
  <c r="G18" i="4"/>
  <c r="G19" i="4"/>
  <c r="G4" i="4"/>
  <c r="G5" i="4"/>
  <c r="G23" i="4" s="1"/>
  <c r="G7" i="4"/>
  <c r="G22" i="4" s="1"/>
  <c r="G8" i="4"/>
  <c r="G24" i="4" s="1"/>
  <c r="G9" i="4"/>
  <c r="G25" i="4" s="1"/>
  <c r="G10" i="4"/>
  <c r="G26" i="4" s="1"/>
  <c r="G11" i="4"/>
  <c r="G27" i="4" s="1"/>
  <c r="G3" i="4"/>
  <c r="G20" i="4" s="1"/>
  <c r="B6" i="12"/>
  <c r="C6" i="12"/>
  <c r="D6" i="12"/>
  <c r="E6" i="12"/>
  <c r="F6" i="12"/>
  <c r="B3" i="10"/>
  <c r="N11" i="5" l="1"/>
  <c r="N12" i="5" s="1"/>
  <c r="N19" i="5" s="1"/>
  <c r="N21" i="5" s="1"/>
  <c r="G28" i="5"/>
  <c r="G29" i="5"/>
  <c r="G5" i="5"/>
  <c r="G8" i="5" s="1"/>
  <c r="G10" i="5" s="1"/>
  <c r="H27" i="5"/>
  <c r="G4" i="6"/>
  <c r="G6" i="4"/>
  <c r="G17" i="5" s="1"/>
  <c r="G21" i="4"/>
  <c r="G12" i="4"/>
  <c r="G18" i="5" s="1"/>
  <c r="C9" i="12"/>
  <c r="D9" i="12"/>
  <c r="E9" i="12"/>
  <c r="F9" i="12"/>
  <c r="B9" i="12"/>
  <c r="C7" i="12"/>
  <c r="D7" i="12"/>
  <c r="E7" i="12"/>
  <c r="F7" i="12"/>
  <c r="B7" i="12"/>
  <c r="B3" i="12"/>
  <c r="E3" i="12" s="1"/>
  <c r="E5" i="12" s="1"/>
  <c r="C5" i="11"/>
  <c r="D5" i="11"/>
  <c r="E5" i="11"/>
  <c r="F5" i="11"/>
  <c r="B5" i="11"/>
  <c r="C4" i="11"/>
  <c r="D4" i="11"/>
  <c r="E4" i="11"/>
  <c r="F4" i="11"/>
  <c r="B4" i="11"/>
  <c r="B3" i="11"/>
  <c r="F3" i="11" s="1"/>
  <c r="C4" i="10"/>
  <c r="D4" i="10"/>
  <c r="E4" i="10"/>
  <c r="F4" i="10"/>
  <c r="B4" i="10"/>
  <c r="B5" i="10" s="1"/>
  <c r="D3" i="10"/>
  <c r="B16" i="9"/>
  <c r="B11" i="9"/>
  <c r="G5" i="6" l="1"/>
  <c r="G13" i="6" s="1"/>
  <c r="G12" i="6"/>
  <c r="G16" i="5"/>
  <c r="G12" i="5"/>
  <c r="G30" i="5"/>
  <c r="B6" i="11"/>
  <c r="B7" i="11" s="1"/>
  <c r="E6" i="11"/>
  <c r="E8" i="12"/>
  <c r="E10" i="12" s="1"/>
  <c r="F3" i="12"/>
  <c r="F5" i="12" s="1"/>
  <c r="F8" i="12" s="1"/>
  <c r="F10" i="12" s="1"/>
  <c r="G3" i="12"/>
  <c r="G5" i="12" s="1"/>
  <c r="C3" i="12"/>
  <c r="C5" i="12" s="1"/>
  <c r="C8" i="12" s="1"/>
  <c r="C10" i="12" s="1"/>
  <c r="B5" i="12"/>
  <c r="B8" i="12" s="1"/>
  <c r="B10" i="12" s="1"/>
  <c r="D3" i="12"/>
  <c r="D5" i="12" s="1"/>
  <c r="D8" i="12" s="1"/>
  <c r="D10" i="12" s="1"/>
  <c r="D6" i="11"/>
  <c r="F6" i="11"/>
  <c r="F7" i="11" s="1"/>
  <c r="C6" i="11"/>
  <c r="D3" i="11"/>
  <c r="C3" i="11"/>
  <c r="E3" i="11"/>
  <c r="D5" i="10"/>
  <c r="F3" i="10"/>
  <c r="E3" i="10"/>
  <c r="E5" i="10" s="1"/>
  <c r="C3" i="10"/>
  <c r="C5" i="10" s="1"/>
  <c r="E7" i="11" l="1"/>
  <c r="C4" i="13"/>
  <c r="C7" i="11"/>
  <c r="D7" i="11"/>
  <c r="B12" i="8" l="1"/>
  <c r="C20" i="5"/>
  <c r="D20" i="5"/>
  <c r="E20" i="5"/>
  <c r="F20" i="5"/>
  <c r="B20" i="5"/>
  <c r="B12" i="9" l="1"/>
  <c r="D3" i="6"/>
  <c r="E3" i="6"/>
  <c r="F3" i="6"/>
  <c r="C6" i="6"/>
  <c r="D6" i="6"/>
  <c r="E6" i="6"/>
  <c r="F6" i="6"/>
  <c r="B6" i="6"/>
  <c r="C11" i="5" l="1"/>
  <c r="D11" i="5"/>
  <c r="E11" i="5"/>
  <c r="F11" i="5"/>
  <c r="B11" i="5"/>
  <c r="B9" i="5"/>
  <c r="D9" i="5"/>
  <c r="E9" i="5"/>
  <c r="E13" i="5" s="1"/>
  <c r="F9" i="5"/>
  <c r="F4" i="6" s="1"/>
  <c r="C9" i="5"/>
  <c r="C13" i="5" s="1"/>
  <c r="C6" i="5"/>
  <c r="C7" i="5" s="1"/>
  <c r="D6" i="5"/>
  <c r="D7" i="5" s="1"/>
  <c r="E6" i="5"/>
  <c r="F6" i="5"/>
  <c r="F7" i="5" s="1"/>
  <c r="B6" i="5"/>
  <c r="B7" i="5" s="1"/>
  <c r="C4" i="5"/>
  <c r="D4" i="5"/>
  <c r="E4" i="5"/>
  <c r="F4" i="5"/>
  <c r="B4" i="5"/>
  <c r="C3" i="5"/>
  <c r="C31" i="5" s="1"/>
  <c r="D3" i="5"/>
  <c r="E3" i="5"/>
  <c r="F3" i="5"/>
  <c r="B3" i="5"/>
  <c r="C19" i="4"/>
  <c r="D19" i="4"/>
  <c r="E19" i="4"/>
  <c r="F19" i="4"/>
  <c r="C18" i="4"/>
  <c r="D18" i="4"/>
  <c r="E18" i="4"/>
  <c r="F18" i="4"/>
  <c r="B19" i="4"/>
  <c r="B18" i="4"/>
  <c r="C11" i="4"/>
  <c r="D11" i="4"/>
  <c r="E11" i="4"/>
  <c r="F11" i="4"/>
  <c r="B11" i="4"/>
  <c r="C10" i="4"/>
  <c r="D10" i="4"/>
  <c r="E10" i="4"/>
  <c r="F10" i="4"/>
  <c r="C9" i="4"/>
  <c r="D9" i="4"/>
  <c r="E9" i="4"/>
  <c r="F9" i="4"/>
  <c r="B10" i="4"/>
  <c r="G27" i="5" l="1"/>
  <c r="F31" i="5"/>
  <c r="B13" i="5"/>
  <c r="B4" i="6"/>
  <c r="F12" i="6"/>
  <c r="F13" i="5"/>
  <c r="D4" i="6"/>
  <c r="D12" i="6" s="1"/>
  <c r="D13" i="5"/>
  <c r="C28" i="5"/>
  <c r="B5" i="5"/>
  <c r="B8" i="5" s="1"/>
  <c r="B10" i="5" s="1"/>
  <c r="B12" i="5" s="1"/>
  <c r="D5" i="5"/>
  <c r="D8" i="5" s="1"/>
  <c r="D10" i="5" s="1"/>
  <c r="F28" i="5"/>
  <c r="B28" i="5"/>
  <c r="E25" i="4"/>
  <c r="C5" i="5"/>
  <c r="C8" i="5" s="1"/>
  <c r="C10" i="5" s="1"/>
  <c r="C30" i="5" s="1"/>
  <c r="E28" i="5"/>
  <c r="C4" i="6"/>
  <c r="E26" i="4"/>
  <c r="E4" i="6"/>
  <c r="B27" i="5"/>
  <c r="B31" i="5"/>
  <c r="F27" i="5"/>
  <c r="E27" i="5"/>
  <c r="E31" i="5"/>
  <c r="F29" i="5"/>
  <c r="E29" i="5"/>
  <c r="F27" i="4"/>
  <c r="E27" i="4"/>
  <c r="F26" i="4"/>
  <c r="F25" i="4"/>
  <c r="B29" i="5"/>
  <c r="D27" i="5"/>
  <c r="D31" i="5"/>
  <c r="D28" i="5"/>
  <c r="C29" i="5"/>
  <c r="D29" i="5"/>
  <c r="C27" i="5"/>
  <c r="J29" i="5" l="1"/>
  <c r="K29" i="5" s="1"/>
  <c r="L29" i="5" s="1"/>
  <c r="J28" i="5"/>
  <c r="K28" i="5" s="1"/>
  <c r="L28" i="5" s="1"/>
  <c r="J27" i="5"/>
  <c r="B30" i="5"/>
  <c r="B12" i="6"/>
  <c r="B5" i="6"/>
  <c r="D5" i="6"/>
  <c r="D14" i="5" s="1"/>
  <c r="F5" i="6"/>
  <c r="F14" i="5" s="1"/>
  <c r="E12" i="6"/>
  <c r="J12" i="6" s="1"/>
  <c r="J4" i="6" s="1"/>
  <c r="E5" i="6"/>
  <c r="E14" i="5" s="1"/>
  <c r="C12" i="5"/>
  <c r="C12" i="6"/>
  <c r="C5" i="6"/>
  <c r="C14" i="5" s="1"/>
  <c r="D30" i="5"/>
  <c r="D12" i="5"/>
  <c r="K12" i="6" l="1"/>
  <c r="L12" i="6" s="1"/>
  <c r="M12" i="6" s="1"/>
  <c r="N12" i="6" s="1"/>
  <c r="K27" i="5"/>
  <c r="L27" i="5" s="1"/>
  <c r="F13" i="6"/>
  <c r="B14" i="5"/>
  <c r="B13" i="6"/>
  <c r="D13" i="6"/>
  <c r="C13" i="6"/>
  <c r="E13" i="6"/>
  <c r="J13" i="6" s="1"/>
  <c r="J5" i="6" s="1"/>
  <c r="J14" i="5" s="1"/>
  <c r="H7" i="5"/>
  <c r="E7" i="5"/>
  <c r="E5" i="5"/>
  <c r="E8" i="5" s="1"/>
  <c r="E10" i="5" s="1"/>
  <c r="E30" i="5" s="1"/>
  <c r="J3" i="5" l="1"/>
  <c r="K3" i="5" s="1"/>
  <c r="L3" i="5" s="1"/>
  <c r="I7" i="5"/>
  <c r="F5" i="5"/>
  <c r="F8" i="5" s="1"/>
  <c r="I5" i="5" l="1"/>
  <c r="I8" i="5" s="1"/>
  <c r="J4" i="5"/>
  <c r="J19" i="4" s="1"/>
  <c r="J18" i="4"/>
  <c r="J6" i="5"/>
  <c r="J7" i="5" s="1"/>
  <c r="E12" i="5"/>
  <c r="F10" i="5"/>
  <c r="F30" i="5" s="1"/>
  <c r="J5" i="5" l="1"/>
  <c r="J8" i="5" s="1"/>
  <c r="K18" i="4"/>
  <c r="K4" i="5"/>
  <c r="K19" i="4" s="1"/>
  <c r="K6" i="5"/>
  <c r="K7" i="5" s="1"/>
  <c r="H8" i="5"/>
  <c r="H10" i="5" s="1"/>
  <c r="H30" i="5" s="1"/>
  <c r="F12" i="5"/>
  <c r="K5" i="5" l="1"/>
  <c r="K8" i="5" s="1"/>
  <c r="L4" i="5"/>
  <c r="L19" i="4" s="1"/>
  <c r="L18" i="4"/>
  <c r="L6" i="5"/>
  <c r="L7" i="5" s="1"/>
  <c r="B9" i="4"/>
  <c r="B25" i="4" s="1"/>
  <c r="C8" i="4"/>
  <c r="D8" i="4"/>
  <c r="D24" i="4" s="1"/>
  <c r="E8" i="4"/>
  <c r="E24" i="4" s="1"/>
  <c r="F8" i="4"/>
  <c r="F24" i="4" s="1"/>
  <c r="C7" i="4"/>
  <c r="D7" i="4"/>
  <c r="E7" i="4"/>
  <c r="E22" i="4" s="1"/>
  <c r="F7" i="4"/>
  <c r="B7" i="4"/>
  <c r="B8" i="4"/>
  <c r="B12" i="4" l="1"/>
  <c r="L5" i="5"/>
  <c r="L8" i="5" s="1"/>
  <c r="F12" i="4"/>
  <c r="F18" i="5" s="1"/>
  <c r="F22" i="4"/>
  <c r="H12" i="5"/>
  <c r="C22" i="4"/>
  <c r="C5" i="4"/>
  <c r="C23" i="4" s="1"/>
  <c r="D5" i="4"/>
  <c r="E5" i="4"/>
  <c r="E23" i="4" s="1"/>
  <c r="F5" i="4"/>
  <c r="F23" i="4" s="1"/>
  <c r="B5" i="4"/>
  <c r="B23" i="4" s="1"/>
  <c r="C4" i="4"/>
  <c r="C21" i="4" s="1"/>
  <c r="D4" i="4"/>
  <c r="E4" i="4"/>
  <c r="E21" i="4" s="1"/>
  <c r="F4" i="4"/>
  <c r="F21" i="4" s="1"/>
  <c r="C3" i="4"/>
  <c r="C20" i="4" s="1"/>
  <c r="D3" i="4"/>
  <c r="D20" i="4" s="1"/>
  <c r="E3" i="4"/>
  <c r="E20" i="4" s="1"/>
  <c r="F3" i="4"/>
  <c r="F20" i="4" s="1"/>
  <c r="B4" i="4"/>
  <c r="B3" i="4"/>
  <c r="D25" i="4"/>
  <c r="C27" i="4"/>
  <c r="B27" i="4"/>
  <c r="C26" i="4"/>
  <c r="B26" i="4"/>
  <c r="C25" i="4"/>
  <c r="C24" i="4"/>
  <c r="H25" i="4" l="1"/>
  <c r="I25" i="4" s="1"/>
  <c r="J9" i="5"/>
  <c r="J10" i="5" s="1"/>
  <c r="I10" i="5"/>
  <c r="B20" i="4"/>
  <c r="H20" i="4" s="1"/>
  <c r="I20" i="4" s="1"/>
  <c r="J20" i="4" s="1"/>
  <c r="B6" i="4"/>
  <c r="B17" i="5" s="1"/>
  <c r="E6" i="4"/>
  <c r="E17" i="5" s="1"/>
  <c r="D6" i="4"/>
  <c r="D17" i="5" s="1"/>
  <c r="C6" i="4"/>
  <c r="C17" i="5" s="1"/>
  <c r="F6" i="4"/>
  <c r="F17" i="5" s="1"/>
  <c r="F16" i="5" s="1"/>
  <c r="D26" i="4"/>
  <c r="H26" i="4" s="1"/>
  <c r="I26" i="4" s="1"/>
  <c r="B21" i="4"/>
  <c r="D23" i="4"/>
  <c r="H23" i="4" s="1"/>
  <c r="I23" i="4" s="1"/>
  <c r="D27" i="4"/>
  <c r="H27" i="4" s="1"/>
  <c r="I27" i="4" s="1"/>
  <c r="B18" i="5"/>
  <c r="B24" i="4"/>
  <c r="H24" i="4" s="1"/>
  <c r="I24" i="4" s="1"/>
  <c r="D22" i="4"/>
  <c r="D12" i="4"/>
  <c r="D18" i="5" s="1"/>
  <c r="C12" i="4"/>
  <c r="C18" i="5" s="1"/>
  <c r="D21" i="4"/>
  <c r="B22" i="4"/>
  <c r="K20" i="4" l="1"/>
  <c r="J3" i="4"/>
  <c r="I12" i="5"/>
  <c r="I30" i="5"/>
  <c r="J30" i="5" s="1"/>
  <c r="G15" i="5"/>
  <c r="H22" i="4"/>
  <c r="I22" i="4" s="1"/>
  <c r="H21" i="4"/>
  <c r="I21" i="4" s="1"/>
  <c r="J13" i="5"/>
  <c r="B16" i="5"/>
  <c r="B15" i="5" s="1"/>
  <c r="C16" i="5"/>
  <c r="D16" i="5"/>
  <c r="J11" i="5" l="1"/>
  <c r="J12" i="5" s="1"/>
  <c r="K30" i="5"/>
  <c r="C15" i="5"/>
  <c r="C19" i="5" s="1"/>
  <c r="C3" i="8" s="1"/>
  <c r="D15" i="5"/>
  <c r="D19" i="5" s="1"/>
  <c r="D21" i="5" s="1"/>
  <c r="D3" i="9" s="1"/>
  <c r="H6" i="4"/>
  <c r="H17" i="5" s="1"/>
  <c r="B19" i="5"/>
  <c r="J23" i="4"/>
  <c r="E12" i="4"/>
  <c r="E18" i="5" s="1"/>
  <c r="E16" i="5" s="1"/>
  <c r="L30" i="5" l="1"/>
  <c r="L11" i="5" s="1"/>
  <c r="K11" i="5"/>
  <c r="E15" i="5"/>
  <c r="E19" i="5" s="1"/>
  <c r="F15" i="5"/>
  <c r="F19" i="5"/>
  <c r="C21" i="5"/>
  <c r="C3" i="9" s="1"/>
  <c r="B21" i="5"/>
  <c r="B3" i="9" s="1"/>
  <c r="B3" i="8"/>
  <c r="D3" i="8"/>
  <c r="J21" i="4"/>
  <c r="K23" i="4"/>
  <c r="J5" i="4"/>
  <c r="F21" i="5" l="1"/>
  <c r="F3" i="9" s="1"/>
  <c r="F3" i="8"/>
  <c r="I17" i="5"/>
  <c r="E21" i="5"/>
  <c r="E3" i="9" s="1"/>
  <c r="E3" i="8"/>
  <c r="L23" i="4"/>
  <c r="L5" i="4" s="1"/>
  <c r="K5" i="4"/>
  <c r="K21" i="4"/>
  <c r="J4" i="4"/>
  <c r="J6" i="4" l="1"/>
  <c r="J17" i="5" s="1"/>
  <c r="L20" i="4"/>
  <c r="L3" i="4" s="1"/>
  <c r="K3" i="4"/>
  <c r="L21" i="4"/>
  <c r="L4" i="4" s="1"/>
  <c r="K4" i="4"/>
  <c r="K6" i="4" l="1"/>
  <c r="K17" i="5" s="1"/>
  <c r="L6" i="4"/>
  <c r="L17" i="5" s="1"/>
  <c r="J24" i="4"/>
  <c r="K25" i="4"/>
  <c r="L25" i="4" s="1"/>
  <c r="L9" i="4" s="1"/>
  <c r="J25" i="4"/>
  <c r="J9" i="4" s="1"/>
  <c r="J27" i="4"/>
  <c r="J11" i="4" s="1"/>
  <c r="J26" i="4"/>
  <c r="K26" i="4" s="1"/>
  <c r="K10" i="4" s="1"/>
  <c r="K24" i="4" l="1"/>
  <c r="L24" i="4" s="1"/>
  <c r="L8" i="4" s="1"/>
  <c r="J8" i="4"/>
  <c r="J10" i="4"/>
  <c r="K8" i="4"/>
  <c r="K27" i="4"/>
  <c r="K9" i="4"/>
  <c r="L26" i="4"/>
  <c r="L10" i="4" s="1"/>
  <c r="K11" i="4" l="1"/>
  <c r="L27" i="4"/>
  <c r="L11" i="4" s="1"/>
  <c r="H12" i="4"/>
  <c r="H18" i="5" s="1"/>
  <c r="H16" i="5" s="1"/>
  <c r="I12" i="4"/>
  <c r="I18" i="5" s="1"/>
  <c r="I16" i="5" s="1"/>
  <c r="J22" i="4"/>
  <c r="K22" i="4" s="1"/>
  <c r="H15" i="5" l="1"/>
  <c r="I15" i="5"/>
  <c r="K7" i="4"/>
  <c r="K12" i="4" s="1"/>
  <c r="K18" i="5" s="1"/>
  <c r="K16" i="5" s="1"/>
  <c r="L22" i="4"/>
  <c r="L7" i="4" s="1"/>
  <c r="L12" i="4" s="1"/>
  <c r="L18" i="5" s="1"/>
  <c r="L16" i="5" s="1"/>
  <c r="J7" i="4"/>
  <c r="J12" i="4" l="1"/>
  <c r="J18" i="5" s="1"/>
  <c r="J16" i="5" s="1"/>
  <c r="J15" i="5" s="1"/>
  <c r="L15" i="5"/>
  <c r="K15" i="5" l="1"/>
  <c r="I14" i="5"/>
  <c r="I19" i="5" s="1"/>
  <c r="I3" i="8" l="1"/>
  <c r="I5" i="8" s="1"/>
  <c r="G19" i="5"/>
  <c r="H19" i="5"/>
  <c r="K13" i="6" l="1"/>
  <c r="L13" i="6" s="1"/>
  <c r="M13" i="6" s="1"/>
  <c r="N13" i="6" s="1"/>
  <c r="H3" i="8"/>
  <c r="H5" i="8" s="1"/>
  <c r="J19" i="5"/>
  <c r="J6" i="6"/>
  <c r="K3" i="6" s="1"/>
  <c r="G3" i="8"/>
  <c r="G21" i="5"/>
  <c r="G3" i="9" s="1"/>
  <c r="K5" i="6" l="1"/>
  <c r="K14" i="5" s="1"/>
  <c r="K4" i="6"/>
  <c r="K9" i="5" s="1"/>
  <c r="J3" i="8"/>
  <c r="J5" i="8" s="1"/>
  <c r="K13" i="5" l="1"/>
  <c r="K10" i="5"/>
  <c r="K12" i="5" s="1"/>
  <c r="K6" i="6"/>
  <c r="L3" i="6" s="1"/>
  <c r="K19" i="5" l="1"/>
  <c r="L5" i="6"/>
  <c r="L14" i="5" s="1"/>
  <c r="L4" i="6"/>
  <c r="L9" i="5" s="1"/>
  <c r="K3" i="8" l="1"/>
  <c r="K5" i="8" s="1"/>
  <c r="L6" i="6"/>
  <c r="M3" i="6" s="1"/>
  <c r="L13" i="5"/>
  <c r="L10" i="5"/>
  <c r="L12" i="5" s="1"/>
  <c r="L19" i="5" s="1"/>
  <c r="M5" i="6" l="1"/>
  <c r="M4" i="6"/>
  <c r="L3" i="8"/>
  <c r="M6" i="6" l="1"/>
  <c r="N3" i="6" s="1"/>
  <c r="N5" i="6" s="1"/>
  <c r="L5" i="8"/>
  <c r="B10" i="8" s="1"/>
  <c r="B13" i="8"/>
  <c r="B14" i="8" s="1"/>
  <c r="N4" i="6" l="1"/>
  <c r="N6" i="6" s="1"/>
  <c r="B15" i="8"/>
  <c r="B18" i="8" s="1"/>
  <c r="C2" i="13" s="1"/>
  <c r="J20" i="5"/>
  <c r="J21" i="5" s="1"/>
  <c r="J3" i="9" s="1"/>
  <c r="J5" i="9" s="1"/>
  <c r="H21" i="5"/>
  <c r="H3" i="9" s="1"/>
  <c r="H5" i="9" s="1"/>
  <c r="K31" i="5" l="1"/>
  <c r="L31" i="5" s="1"/>
  <c r="L20" i="5" s="1"/>
  <c r="L21" i="5" s="1"/>
  <c r="L3" i="9" s="1"/>
  <c r="B13" i="9" s="1"/>
  <c r="B14" i="9" s="1"/>
  <c r="I21" i="5"/>
  <c r="I3" i="9" s="1"/>
  <c r="I5" i="9" s="1"/>
  <c r="L5" i="9" l="1"/>
  <c r="K20" i="5"/>
  <c r="K21" i="5" s="1"/>
  <c r="K3" i="9" s="1"/>
  <c r="K5" i="9" s="1"/>
  <c r="B10" i="9" l="1"/>
  <c r="B15" i="9" s="1"/>
  <c r="B17" i="9" s="1"/>
  <c r="C3" i="13" s="1"/>
  <c r="D6" i="13" s="1"/>
  <c r="E8" i="13" s="1"/>
</calcChain>
</file>

<file path=xl/sharedStrings.xml><?xml version="1.0" encoding="utf-8"?>
<sst xmlns="http://schemas.openxmlformats.org/spreadsheetml/2006/main" count="346" uniqueCount="309">
  <si>
    <t>DCM</t>
  </si>
  <si>
    <t>ASSETS</t>
  </si>
  <si>
    <t>   A. SHORT-TERM ASSETS</t>
  </si>
  <si>
    <t>    I. Cash and cash equivalents</t>
  </si>
  <si>
    <t>    1. Cash</t>
  </si>
  <si>
    <t>    2. Cash equivalents</t>
  </si>
  <si>
    <t>    II. Short-term financial investments</t>
  </si>
  <si>
    <t>    1. Available for sale securities</t>
  </si>
  <si>
    <t>    2. Provision for diminution in value of available for sale securities (*)</t>
  </si>
  <si>
    <t>    3. Held to maturity investments</t>
  </si>
  <si>
    <t>    III. Short-term receivables</t>
  </si>
  <si>
    <t>    1. Short-term trade accounts receivable</t>
  </si>
  <si>
    <t>    2. Short-term prepayments to suppliers</t>
  </si>
  <si>
    <t>    3. Short-term inter-company receivables</t>
  </si>
  <si>
    <t>    4. Construction contract progress receipts due from customers</t>
  </si>
  <si>
    <t>    5. Short-term loan receivables</t>
  </si>
  <si>
    <t>    6. Other short-term receivables</t>
  </si>
  <si>
    <t>    7. Provision for short-term doubtful debts (*)</t>
  </si>
  <si>
    <t>    8. Assets awaiting resolution</t>
  </si>
  <si>
    <t>    IV. Inventories</t>
  </si>
  <si>
    <t>    1. Inventories</t>
  </si>
  <si>
    <t>    2. Provision for decline in value of inventories</t>
  </si>
  <si>
    <t>    V. Other short-term assets</t>
  </si>
  <si>
    <t>    1. Short-term prepayments</t>
  </si>
  <si>
    <t>    2. Value added tax to be reclaimed</t>
  </si>
  <si>
    <t>    3. Taxes and other receivables from state authorities</t>
  </si>
  <si>
    <t>    4. Government bonds</t>
  </si>
  <si>
    <t>    5. Other short-term assets</t>
  </si>
  <si>
    <t>   B. LONG-TERM ASSETS</t>
  </si>
  <si>
    <t>    I. Long-term receivables</t>
  </si>
  <si>
    <t>    1. Long-term trade receivables</t>
  </si>
  <si>
    <t>    2. Long-term prepayments to suppliers</t>
  </si>
  <si>
    <t>    3. Capital at inter-company</t>
  </si>
  <si>
    <t>    4. Long-term inter-company receivables</t>
  </si>
  <si>
    <t>    5. Long-term loan receivables</t>
  </si>
  <si>
    <t>    6. Other long-term receivables</t>
  </si>
  <si>
    <t>    7. Provision for long-term doubtful debts</t>
  </si>
  <si>
    <t>    II. Fixed assets</t>
  </si>
  <si>
    <t>     1. Tangible fixed assets</t>
  </si>
  <si>
    <t>      - Cost</t>
  </si>
  <si>
    <t>      - Accumulated depreciation</t>
  </si>
  <si>
    <t>     2. Financial leased fixed assets</t>
  </si>
  <si>
    <t>     3. Intangible fixed assets</t>
  </si>
  <si>
    <t>    III. Investment properties</t>
  </si>
  <si>
    <t>     - Cost</t>
  </si>
  <si>
    <t>     - Accumulated depreciation</t>
  </si>
  <si>
    <t>    IV. Long-term assets in progress</t>
  </si>
  <si>
    <t>    1. Long-term production in progress</t>
  </si>
  <si>
    <t>    2. Construction in progress</t>
  </si>
  <si>
    <t>    V. Long-term financial investments</t>
  </si>
  <si>
    <t>    1. Investments in subsidiaries</t>
  </si>
  <si>
    <t>    2. Investments in associates, joint-ventures</t>
  </si>
  <si>
    <t>    3. Investments in other entities</t>
  </si>
  <si>
    <t>    4. Provision for diminution in value of long-term investments</t>
  </si>
  <si>
    <t>    5. Held to maturity investments</t>
  </si>
  <si>
    <t>    6. Other long-term investments</t>
  </si>
  <si>
    <t>    VI. Other long-term assets</t>
  </si>
  <si>
    <t>    1. Long-term prepayments</t>
  </si>
  <si>
    <t>    2. Deferred income tax assets</t>
  </si>
  <si>
    <t>    3. Long-term equipment, supplies, spare parts</t>
  </si>
  <si>
    <t>    4. Other long-term assets</t>
  </si>
  <si>
    <t>   VII. Goodwill</t>
  </si>
  <si>
    <t> TOTAL ASSETS</t>
  </si>
  <si>
    <t>OWNER'S EQUITY</t>
  </si>
  <si>
    <t>   A. LIABILITIES</t>
  </si>
  <si>
    <t>    I. Short -term liabilities</t>
  </si>
  <si>
    <t>    1. Short-term trade accounts payable</t>
  </si>
  <si>
    <t>    2. Short-term advances from customers</t>
  </si>
  <si>
    <t>    3. Taxes and other payables to state authorities</t>
  </si>
  <si>
    <t>    4. Payable to employees</t>
  </si>
  <si>
    <t>    5. Short-term acrrued expenses</t>
  </si>
  <si>
    <t>    6. Short-term inter-company payables</t>
  </si>
  <si>
    <t>    7. Construction contract progress payments due to suppliers</t>
  </si>
  <si>
    <t>    8. Short-term unearned revenue</t>
  </si>
  <si>
    <t>    9. Other short-term payables</t>
  </si>
  <si>
    <t>    10. Short-term borrowings and financial leases</t>
  </si>
  <si>
    <t>    11. Provision for short-term liabilities</t>
  </si>
  <si>
    <t>    12.. Bonus and welfare fund</t>
  </si>
  <si>
    <t>    13. Price stabilization fund</t>
  </si>
  <si>
    <t>    14. Government bonds</t>
  </si>
  <si>
    <t>    II. Long-term liabilities</t>
  </si>
  <si>
    <t>    1. Long-term trade payables</t>
  </si>
  <si>
    <t>    2. Long-term advances from customers</t>
  </si>
  <si>
    <t>    3. Long-term acrrued expenses</t>
  </si>
  <si>
    <t>    4. Inter-company payables on business capital</t>
  </si>
  <si>
    <t>    5. Long-term inter-company payables</t>
  </si>
  <si>
    <t>    6. Long-term unearned revenue</t>
  </si>
  <si>
    <t>    7. Other long-term liabilities</t>
  </si>
  <si>
    <t>    8. Long-term borrowings and financial leases</t>
  </si>
  <si>
    <t>    9. Convertible bonds</t>
  </si>
  <si>
    <t>    10. Preferred stock (Debts)</t>
  </si>
  <si>
    <t>    11. Deferred income tax liabilities</t>
  </si>
  <si>
    <t>    12. Provision for long-term liabilities</t>
  </si>
  <si>
    <t>    13. Fund for technology development</t>
  </si>
  <si>
    <t>    14. Provision for severance allowances</t>
  </si>
  <si>
    <t>   B. OWNER'S EQUITY</t>
  </si>
  <si>
    <t>    I. Owner's equity</t>
  </si>
  <si>
    <t>     1. Owner's capital</t>
  </si>
  <si>
    <t>     - Common stock with voting right</t>
  </si>
  <si>
    <t>     - Preferred stock</t>
  </si>
  <si>
    <t>    2. Share premium</t>
  </si>
  <si>
    <t>    3. Convertible bond option</t>
  </si>
  <si>
    <t>    4. Other capital of owners</t>
  </si>
  <si>
    <t>    5. Treasury shares</t>
  </si>
  <si>
    <t>    6. Assets revaluation differences</t>
  </si>
  <si>
    <t>    7. Foreign exchange differences</t>
  </si>
  <si>
    <t>    8. Investment and development fund</t>
  </si>
  <si>
    <t>    9. Fund to support corporate restructuring</t>
  </si>
  <si>
    <t>    10. Other funds from owner's equity</t>
  </si>
  <si>
    <t>     11. Undistributed earnings after tax</t>
  </si>
  <si>
    <t>     - Accumulated retained earning at the end of the previous period</t>
  </si>
  <si>
    <t>     - Undistributed earnings in this period</t>
  </si>
  <si>
    <t>    12. Reserves for investment in construction</t>
  </si>
  <si>
    <t>    13. Minority's interest</t>
  </si>
  <si>
    <t>    14. Financial reserves</t>
  </si>
  <si>
    <t>    II. Other resources and funds</t>
  </si>
  <si>
    <t>    1. Subsidized not-for-profit funds</t>
  </si>
  <si>
    <t>    2. Funds invested in fixed assets</t>
  </si>
  <si>
    <t>  C. MINORITY'S INTEREST</t>
  </si>
  <si>
    <t> TOTAL OWNER'S EQUITY AND LIABILITIES</t>
  </si>
  <si>
    <t>1. Revenue</t>
  </si>
  <si>
    <t>2. Deduction from revenue</t>
  </si>
  <si>
    <t>3. Net revenue</t>
  </si>
  <si>
    <t>4. Cost of goods sold</t>
  </si>
  <si>
    <t>5. Gross profit</t>
  </si>
  <si>
    <t>6. Financial income</t>
  </si>
  <si>
    <t>7. Financial expenses</t>
  </si>
  <si>
    <t>Of which: Interest expenses</t>
  </si>
  <si>
    <t>8. Share of associates and joint ventures' result</t>
  </si>
  <si>
    <t>9. Selling expenses</t>
  </si>
  <si>
    <t>10. General and administrative expenses</t>
  </si>
  <si>
    <t>11. Operating profit</t>
  </si>
  <si>
    <t>12. Other income</t>
  </si>
  <si>
    <t>13.Other expenses</t>
  </si>
  <si>
    <t>14. Other profit</t>
  </si>
  <si>
    <t>Share of associates and joint ventures' result</t>
  </si>
  <si>
    <t>15. Profit before tax</t>
  </si>
  <si>
    <t>16. Current corporate income tax expenses</t>
  </si>
  <si>
    <t>17. Deferred income tax expenses (*)</t>
  </si>
  <si>
    <t>18. Net profit after tax</t>
  </si>
  <si>
    <t>Minority's interest</t>
  </si>
  <si>
    <t>Profit after tax for shareholders of parent company</t>
  </si>
  <si>
    <t>19. Earnings per share</t>
  </si>
  <si>
    <t>20. Diluted earnings per share</t>
  </si>
  <si>
    <t>CASHFLOW INDIRECT</t>
  </si>
  <si>
    <t>Cash and cash equivalents at end of the period</t>
  </si>
  <si>
    <t>I. CASH FLOWS FROM OPERATING ACTIVITIES</t>
  </si>
  <si>
    <t>1. Profit before tax</t>
  </si>
  <si>
    <t>2. Adjustments for:</t>
  </si>
  <si>
    <t>Depreciation of fixed assets and properties investment</t>
  </si>
  <si>
    <t>(Reversal of provisions)/provisions</t>
  </si>
  <si>
    <t>Foreign exchange (gain)/loss from revaluation of monetary items denominated in foreign currencies</t>
  </si>
  <si>
    <t>Loss/(profit) from investment activities</t>
  </si>
  <si>
    <t>Interest expense</t>
  </si>
  <si>
    <t>Loss/(profits) from disposal of fixed asset</t>
  </si>
  <si>
    <t>Interest income and dividends</t>
  </si>
  <si>
    <t>Allocation of goodwill</t>
  </si>
  <si>
    <t>Adjustments for</t>
  </si>
  <si>
    <t>3. Operating profit before changes in working capital</t>
  </si>
  <si>
    <t>(Increase)/decrease in receivables</t>
  </si>
  <si>
    <t>(Increase)/decrease in inventories</t>
  </si>
  <si>
    <t>Increase/(decrease) in payables (other than interest, corporate income tax)</t>
  </si>
  <si>
    <t>(Increase)/decrease in prepaid expenses</t>
  </si>
  <si>
    <t>Changes in available for sale securities</t>
  </si>
  <si>
    <t>Interest paid</t>
  </si>
  <si>
    <t>Corporate income tax paid</t>
  </si>
  <si>
    <t>Other receipts from operating activities</t>
  </si>
  <si>
    <t>Other payments for operating activities</t>
  </si>
  <si>
    <t>Net cash flows from operating activities</t>
  </si>
  <si>
    <t>II. CASH FLOWS FROM INVESTING ACTIVITIES</t>
  </si>
  <si>
    <t>1. Payment for fixed assets, constructions and other long-term assets</t>
  </si>
  <si>
    <t>2. Receipts from disposal of fixed assets and other long-term assets</t>
  </si>
  <si>
    <t>3. Loans, purchases of other entities' debt instruments</t>
  </si>
  <si>
    <t>4. Receipts from loan repayments, sale of other entities' debt instruments</t>
  </si>
  <si>
    <t>5. Payments for investment in other entities</t>
  </si>
  <si>
    <t>6. Collections on investment in other entities</t>
  </si>
  <si>
    <t>7. Dividends, interest and profit received</t>
  </si>
  <si>
    <t>8. Increase/(Decrease) in term deposit</t>
  </si>
  <si>
    <t>9. Purchases of minority shares of subsidiaries</t>
  </si>
  <si>
    <t>10. Other receipts from investing activities</t>
  </si>
  <si>
    <t>11. Other payments for investing activities</t>
  </si>
  <si>
    <t>Net cash flows from investing activities</t>
  </si>
  <si>
    <t>III. CASH FLOWS FROM FINANCING ACTIVITIES</t>
  </si>
  <si>
    <t>1. Receipts from equity issue and owner's capital contribution</t>
  </si>
  <si>
    <t>2. Payment for share repurchases</t>
  </si>
  <si>
    <t>3. Proceeds from borrowings</t>
  </si>
  <si>
    <t>4. Principal repayments</t>
  </si>
  <si>
    <t>5. Repayment of financial leases</t>
  </si>
  <si>
    <t>6. Dividends paid, profits distributed to owners</t>
  </si>
  <si>
    <t>7. Other receipts from financing activities</t>
  </si>
  <si>
    <t>8. Other payments for financing activities</t>
  </si>
  <si>
    <t>Net cash flows from financing activities</t>
  </si>
  <si>
    <t>Net cash flows during the period</t>
  </si>
  <si>
    <t>Cash and cash equivalents at beginning of the period</t>
  </si>
  <si>
    <t>Exchange difference due to re-valuation of ending balances</t>
  </si>
  <si>
    <t>NET WORKING CAPITAL</t>
  </si>
  <si>
    <t>Year</t>
  </si>
  <si>
    <t>Accounts receivable - short term</t>
  </si>
  <si>
    <t>Inventories</t>
  </si>
  <si>
    <t>Other current assets</t>
  </si>
  <si>
    <t>Current assets</t>
  </si>
  <si>
    <t>Accounts payable to suppliers</t>
  </si>
  <si>
    <t>Payments to employees</t>
  </si>
  <si>
    <t>Bonus and welfare fund</t>
  </si>
  <si>
    <t>Advances from customers</t>
  </si>
  <si>
    <t>Other payables - short term</t>
  </si>
  <si>
    <t>Current liabilities</t>
  </si>
  <si>
    <t>ASSUMPTIONS</t>
  </si>
  <si>
    <t>Net revenue</t>
  </si>
  <si>
    <t>Cost of goods sold</t>
  </si>
  <si>
    <t>Days sale outstanding</t>
  </si>
  <si>
    <t>Days inventory outstanding</t>
  </si>
  <si>
    <t>Days payable outstanding</t>
  </si>
  <si>
    <t>(Other current assets/net revenue)%</t>
  </si>
  <si>
    <t>(Payments to employees/net revenue)%</t>
  </si>
  <si>
    <t>(Bonus and welfare fund/net revenue)%</t>
  </si>
  <si>
    <t>(Advances from customers/net revenue)%</t>
  </si>
  <si>
    <t>(Other payables - short term/net revenue)%</t>
  </si>
  <si>
    <t>FCF(mm)</t>
  </si>
  <si>
    <t>COGS</t>
  </si>
  <si>
    <t>Gross profit</t>
  </si>
  <si>
    <t>Selling, general and administrative expenses</t>
  </si>
  <si>
    <t>Total operating expenses</t>
  </si>
  <si>
    <t>EBITDA</t>
  </si>
  <si>
    <t>Depreciation &amp; amortization</t>
  </si>
  <si>
    <t>Operating profit (EBIT)</t>
  </si>
  <si>
    <t>Operating taxes</t>
  </si>
  <si>
    <t>Net operating profit after taxes</t>
  </si>
  <si>
    <t>(+) Depreciation &amp; amortization</t>
  </si>
  <si>
    <t>(-) Capital expenditures</t>
  </si>
  <si>
    <t>(-) Change in NWC</t>
  </si>
  <si>
    <t>NWC</t>
  </si>
  <si>
    <t>Current asset</t>
  </si>
  <si>
    <t>FCFF</t>
  </si>
  <si>
    <t>Interest expenses</t>
  </si>
  <si>
    <t>FCFE</t>
  </si>
  <si>
    <t>Net revenue growth</t>
  </si>
  <si>
    <t>COGS % of net revenue</t>
  </si>
  <si>
    <t>SG&amp;A % of net revenue</t>
  </si>
  <si>
    <t>Taxes % of EBIT</t>
  </si>
  <si>
    <t>Interest expenses % of net revenue</t>
  </si>
  <si>
    <t>FIXED ASSETS</t>
  </si>
  <si>
    <t>Beginning PP&amp;E</t>
  </si>
  <si>
    <t>D&amp;A</t>
  </si>
  <si>
    <t>Capital expenditures</t>
  </si>
  <si>
    <t>Ending PP&amp;E</t>
  </si>
  <si>
    <t>D&amp;A as % of beginning PP&amp;E</t>
  </si>
  <si>
    <t>CapEx as % of beginning PP&amp;E</t>
  </si>
  <si>
    <t>Debt</t>
  </si>
  <si>
    <t>Rd</t>
  </si>
  <si>
    <t>Tax</t>
  </si>
  <si>
    <t>Kd</t>
  </si>
  <si>
    <t>Wd</t>
  </si>
  <si>
    <t>Rf</t>
  </si>
  <si>
    <t>Beta</t>
  </si>
  <si>
    <t>Ke</t>
  </si>
  <si>
    <t>We</t>
  </si>
  <si>
    <t>WACC</t>
  </si>
  <si>
    <t>Rm- Rf</t>
  </si>
  <si>
    <t>Project years</t>
  </si>
  <si>
    <t>PV(FCFF)</t>
  </si>
  <si>
    <t>CALCULATION</t>
  </si>
  <si>
    <t>Sum PV of FCFF</t>
  </si>
  <si>
    <t>Terminal value (Pt)</t>
  </si>
  <si>
    <t>PV(Terminal value)</t>
  </si>
  <si>
    <t>Firm value</t>
  </si>
  <si>
    <t>Number of share outstanding</t>
  </si>
  <si>
    <t>P0</t>
  </si>
  <si>
    <t>PV(FCFE)</t>
  </si>
  <si>
    <t>Sum PV of FCFE</t>
  </si>
  <si>
    <t>Market value of E</t>
  </si>
  <si>
    <t>EPS</t>
  </si>
  <si>
    <t>P/E ngành</t>
  </si>
  <si>
    <t>Net profit after tax</t>
  </si>
  <si>
    <t>Price</t>
  </si>
  <si>
    <t>TB</t>
  </si>
  <si>
    <t>P/E</t>
  </si>
  <si>
    <t>P/B</t>
  </si>
  <si>
    <t>Book value of asset</t>
  </si>
  <si>
    <t>Book value of debt</t>
  </si>
  <si>
    <t>Book value of equity</t>
  </si>
  <si>
    <t>EV/EBITDA</t>
  </si>
  <si>
    <t>Market capitalization</t>
  </si>
  <si>
    <t>Price on 1/12</t>
  </si>
  <si>
    <t>Cash and cash equivalents</t>
  </si>
  <si>
    <t>Loan debt</t>
  </si>
  <si>
    <t>EV</t>
  </si>
  <si>
    <t>TB Ngành</t>
  </si>
  <si>
    <t>Terminal growth rate</t>
  </si>
  <si>
    <t>PE</t>
  </si>
  <si>
    <t>PB</t>
  </si>
  <si>
    <t>DCM đang net cash position, ko có nợ</t>
  </si>
  <si>
    <t xml:space="preserve">Net debts = tổng nợ vay ngân hàng  - tiền </t>
  </si>
  <si>
    <t>FCFF = NI + depre. - Capex - change WC</t>
  </si>
  <si>
    <t>DCM đang net cash position, đi vay với mục đích bổ sung vốn lưu động, dư nợ vay rất ít, chi phí lãi vay ko đáng kể.</t>
  </si>
  <si>
    <t>BPS</t>
  </si>
  <si>
    <t>P/B ngành (giả định)</t>
  </si>
  <si>
    <t>Mục này bao gồm tiền và tiền gửi ngân hàng</t>
  </si>
  <si>
    <t>537.97</t>
  </si>
  <si>
    <t>181.64</t>
  </si>
  <si>
    <t>7.04</t>
  </si>
  <si>
    <t>2.95</t>
  </si>
  <si>
    <t>-233.41</t>
  </si>
  <si>
    <t>-118.2</t>
  </si>
  <si>
    <t>-791.15</t>
  </si>
  <si>
    <t>326.87</t>
  </si>
  <si>
    <t>141.11</t>
  </si>
  <si>
    <t>-17.67</t>
  </si>
  <si>
    <t>24.95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</si>
</sst>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-* #,##0_-;\-* #,##0_-;_-* &quot;-&quot;??_-;_-@_-"/>
    <numFmt numFmtId="167" formatCode="0.0%"/>
    <numFmt numFmtId="168" formatCode="_(* #,##0_);_(* \(#,##0\);_(* &quot;-&quot;??_);_(@_)"/>
    <numFmt numFmtId="169" formatCode="0.000%"/>
  </numFmts>
  <fonts count="2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rgb="FF015096"/>
      <name val="Arial"/>
      <family val="2"/>
    </font>
    <font>
      <b/>
      <sz val="11"/>
      <color rgb="FF005288"/>
      <name val="Arial"/>
      <family val="2"/>
    </font>
    <font>
      <b/>
      <sz val="11"/>
      <color rgb="FF333333"/>
      <name val="Arial"/>
      <family val="2"/>
    </font>
    <font>
      <sz val="11"/>
      <color rgb="FF333333"/>
      <name val="Arial"/>
      <family val="2"/>
    </font>
    <font>
      <sz val="11"/>
      <color theme="1"/>
      <name val="Arial"/>
      <family val="2"/>
    </font>
    <font>
      <b/>
      <sz val="8"/>
      <color theme="1"/>
      <name val="Cambria"/>
      <family val="1"/>
      <charset val="163"/>
    </font>
    <font>
      <sz val="8"/>
      <color theme="1"/>
      <name val="Cambria"/>
      <family val="1"/>
      <charset val="163"/>
    </font>
    <font>
      <sz val="11"/>
      <color theme="1"/>
      <name val="Arial"/>
      <family val="2"/>
      <charset val="163"/>
      <scheme val="minor"/>
    </font>
    <font>
      <b/>
      <sz val="8"/>
      <color theme="1"/>
      <name val="Cambria"/>
      <family val="1"/>
    </font>
    <font>
      <sz val="10"/>
      <name val="Verdana"/>
      <family val="2"/>
      <charset val="163"/>
    </font>
    <font>
      <sz val="8"/>
      <color theme="1"/>
      <name val="Cambria"/>
      <family val="1"/>
    </font>
    <font>
      <sz val="11"/>
      <color theme="1"/>
      <name val="Cambria"/>
      <family val="1"/>
    </font>
    <font>
      <sz val="8"/>
      <color rgb="FF333333"/>
      <name val="Cambria"/>
      <family val="1"/>
    </font>
    <font>
      <sz val="8"/>
      <color rgb="FFFF0000"/>
      <name val="Cambria"/>
      <family val="1"/>
      <charset val="163"/>
    </font>
    <font>
      <sz val="8"/>
      <color rgb="FFFF0000"/>
      <name val="Cambria"/>
      <family val="1"/>
    </font>
    <font>
      <b/>
      <sz val="8"/>
      <color rgb="FFFF0000"/>
      <name val="Cambria"/>
      <family val="1"/>
    </font>
    <font>
      <sz val="11"/>
      <color rgb="FFFF0000"/>
      <name val="Arial"/>
      <family val="2"/>
      <scheme val="minor"/>
    </font>
    <font>
      <sz val="11"/>
      <color rgb="FF015096"/>
      <name val="FontAwesome"/>
    </font>
    <font>
      <sz val="8"/>
      <name val="Cambria"/>
      <family val="1"/>
      <charset val="163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medium">
        <color rgb="FFDDDDDD"/>
      </bottom>
      <diagonal/>
    </border>
    <border>
      <left/>
      <right/>
      <top style="medium">
        <color rgb="FFDDDDDD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9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</cellStyleXfs>
  <cellXfs count="224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right" vertical="top" wrapText="1"/>
    </xf>
    <xf numFmtId="3" fontId="3" fillId="0" borderId="2" xfId="0" applyNumberFormat="1" applyFont="1" applyBorder="1" applyAlignment="1">
      <alignment horizontal="right" vertical="top" wrapText="1"/>
    </xf>
    <xf numFmtId="0" fontId="4" fillId="0" borderId="2" xfId="0" applyFont="1" applyBorder="1" applyAlignment="1">
      <alignment vertical="center"/>
    </xf>
    <xf numFmtId="3" fontId="4" fillId="0" borderId="2" xfId="0" applyNumberFormat="1" applyFont="1" applyBorder="1" applyAlignment="1">
      <alignment horizontal="right" vertical="top" wrapText="1"/>
    </xf>
    <xf numFmtId="0" fontId="5" fillId="0" borderId="2" xfId="0" applyFont="1" applyBorder="1" applyAlignment="1">
      <alignment vertical="center"/>
    </xf>
    <xf numFmtId="3" fontId="5" fillId="0" borderId="2" xfId="0" applyNumberFormat="1" applyFont="1" applyBorder="1" applyAlignment="1">
      <alignment horizontal="right" vertical="top" wrapText="1"/>
    </xf>
    <xf numFmtId="0" fontId="5" fillId="0" borderId="2" xfId="0" applyFont="1" applyBorder="1" applyAlignment="1">
      <alignment horizontal="right" vertical="top" wrapText="1"/>
    </xf>
    <xf numFmtId="0" fontId="4" fillId="0" borderId="2" xfId="0" applyFont="1" applyBorder="1" applyAlignment="1">
      <alignment horizontal="right" vertical="top" wrapText="1"/>
    </xf>
    <xf numFmtId="0" fontId="6" fillId="0" borderId="0" xfId="0" applyFont="1"/>
    <xf numFmtId="0" fontId="8" fillId="0" borderId="0" xfId="0" applyFont="1"/>
    <xf numFmtId="0" fontId="7" fillId="0" borderId="5" xfId="0" applyFont="1" applyBorder="1"/>
    <xf numFmtId="0" fontId="8" fillId="0" borderId="5" xfId="0" applyFont="1" applyBorder="1"/>
    <xf numFmtId="166" fontId="8" fillId="0" borderId="7" xfId="1" applyNumberFormat="1" applyFont="1" applyBorder="1"/>
    <xf numFmtId="166" fontId="8" fillId="0" borderId="8" xfId="1" applyNumberFormat="1" applyFont="1" applyBorder="1"/>
    <xf numFmtId="166" fontId="7" fillId="0" borderId="7" xfId="1" applyNumberFormat="1" applyFont="1" applyBorder="1"/>
    <xf numFmtId="166" fontId="7" fillId="0" borderId="8" xfId="1" applyNumberFormat="1" applyFont="1" applyBorder="1"/>
    <xf numFmtId="0" fontId="7" fillId="0" borderId="10" xfId="0" applyFont="1" applyBorder="1"/>
    <xf numFmtId="166" fontId="7" fillId="0" borderId="12" xfId="1" applyNumberFormat="1" applyFont="1" applyBorder="1"/>
    <xf numFmtId="0" fontId="7" fillId="0" borderId="14" xfId="0" applyFont="1" applyBorder="1"/>
    <xf numFmtId="167" fontId="8" fillId="0" borderId="7" xfId="2" applyNumberFormat="1" applyFont="1" applyBorder="1"/>
    <xf numFmtId="167" fontId="8" fillId="0" borderId="8" xfId="2" applyNumberFormat="1" applyFont="1" applyBorder="1"/>
    <xf numFmtId="0" fontId="8" fillId="0" borderId="10" xfId="0" applyFont="1" applyBorder="1"/>
    <xf numFmtId="167" fontId="8" fillId="0" borderId="11" xfId="2" applyNumberFormat="1" applyFont="1" applyBorder="1"/>
    <xf numFmtId="167" fontId="8" fillId="0" borderId="12" xfId="2" applyNumberFormat="1" applyFont="1" applyBorder="1"/>
    <xf numFmtId="0" fontId="7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0" xfId="0" applyFont="1"/>
    <xf numFmtId="0" fontId="7" fillId="0" borderId="10" xfId="0" applyFont="1" applyBorder="1" applyAlignment="1">
      <alignment vertical="center"/>
    </xf>
    <xf numFmtId="0" fontId="7" fillId="0" borderId="15" xfId="0" applyFont="1" applyBorder="1" applyAlignment="1">
      <alignment horizontal="center" vertical="center"/>
    </xf>
    <xf numFmtId="0" fontId="8" fillId="0" borderId="15" xfId="0" applyFont="1" applyBorder="1"/>
    <xf numFmtId="167" fontId="8" fillId="0" borderId="6" xfId="2" applyNumberFormat="1" applyFont="1" applyBorder="1"/>
    <xf numFmtId="167" fontId="8" fillId="0" borderId="16" xfId="2" applyNumberFormat="1" applyFont="1" applyBorder="1"/>
    <xf numFmtId="0" fontId="8" fillId="0" borderId="17" xfId="0" applyFont="1" applyBorder="1"/>
    <xf numFmtId="167" fontId="8" fillId="0" borderId="18" xfId="2" applyNumberFormat="1" applyFont="1" applyBorder="1"/>
    <xf numFmtId="0" fontId="9" fillId="0" borderId="0" xfId="3"/>
    <xf numFmtId="166" fontId="7" fillId="0" borderId="11" xfId="4" applyNumberFormat="1" applyFont="1" applyBorder="1"/>
    <xf numFmtId="0" fontId="8" fillId="0" borderId="5" xfId="3" applyFont="1" applyBorder="1"/>
    <xf numFmtId="0" fontId="7" fillId="0" borderId="10" xfId="3" applyFont="1" applyBorder="1"/>
    <xf numFmtId="0" fontId="7" fillId="0" borderId="0" xfId="3" applyFont="1"/>
    <xf numFmtId="166" fontId="8" fillId="0" borderId="7" xfId="4" applyNumberFormat="1" applyFont="1" applyBorder="1"/>
    <xf numFmtId="0" fontId="8" fillId="0" borderId="10" xfId="3" applyFont="1" applyBorder="1"/>
    <xf numFmtId="0" fontId="7" fillId="0" borderId="14" xfId="3" applyFont="1" applyBorder="1"/>
    <xf numFmtId="167" fontId="8" fillId="0" borderId="11" xfId="5" applyNumberFormat="1" applyFont="1" applyBorder="1"/>
    <xf numFmtId="0" fontId="7" fillId="0" borderId="13" xfId="3" applyFont="1" applyBorder="1"/>
    <xf numFmtId="0" fontId="7" fillId="0" borderId="20" xfId="3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66" fontId="10" fillId="0" borderId="8" xfId="1" applyNumberFormat="1" applyFont="1" applyBorder="1"/>
    <xf numFmtId="166" fontId="8" fillId="0" borderId="8" xfId="4" applyNumberFormat="1" applyFont="1" applyBorder="1"/>
    <xf numFmtId="166" fontId="7" fillId="0" borderId="12" xfId="4" applyNumberFormat="1" applyFont="1" applyBorder="1"/>
    <xf numFmtId="166" fontId="8" fillId="0" borderId="22" xfId="0" applyNumberFormat="1" applyFont="1" applyBorder="1"/>
    <xf numFmtId="167" fontId="8" fillId="0" borderId="23" xfId="5" applyNumberFormat="1" applyFont="1" applyBorder="1"/>
    <xf numFmtId="166" fontId="8" fillId="0" borderId="23" xfId="4" applyNumberFormat="1" applyFont="1" applyBorder="1"/>
    <xf numFmtId="166" fontId="7" fillId="0" borderId="23" xfId="0" applyNumberFormat="1" applyFont="1" applyBorder="1"/>
    <xf numFmtId="166" fontId="8" fillId="0" borderId="23" xfId="4" applyNumberFormat="1" applyFont="1" applyBorder="1" applyAlignment="1">
      <alignment horizontal="right"/>
    </xf>
    <xf numFmtId="166" fontId="7" fillId="0" borderId="24" xfId="4" applyNumberFormat="1" applyFont="1" applyBorder="1"/>
    <xf numFmtId="165" fontId="8" fillId="0" borderId="0" xfId="0" applyNumberFormat="1" applyFont="1"/>
    <xf numFmtId="10" fontId="8" fillId="0" borderId="23" xfId="5" applyNumberFormat="1" applyFont="1" applyBorder="1"/>
    <xf numFmtId="0" fontId="8" fillId="0" borderId="14" xfId="0" applyFont="1" applyBorder="1"/>
    <xf numFmtId="166" fontId="8" fillId="0" borderId="28" xfId="4" applyNumberFormat="1" applyFont="1" applyBorder="1"/>
    <xf numFmtId="167" fontId="8" fillId="0" borderId="29" xfId="5" applyNumberFormat="1" applyFont="1" applyBorder="1"/>
    <xf numFmtId="166" fontId="8" fillId="0" borderId="29" xfId="4" applyNumberFormat="1" applyFont="1" applyBorder="1"/>
    <xf numFmtId="166" fontId="8" fillId="0" borderId="29" xfId="0" applyNumberFormat="1" applyFont="1" applyBorder="1"/>
    <xf numFmtId="168" fontId="7" fillId="0" borderId="30" xfId="1" applyNumberFormat="1" applyFont="1" applyBorder="1"/>
    <xf numFmtId="166" fontId="8" fillId="0" borderId="32" xfId="4" applyNumberFormat="1" applyFont="1" applyBorder="1"/>
    <xf numFmtId="166" fontId="8" fillId="0" borderId="33" xfId="4" applyNumberFormat="1" applyFont="1" applyBorder="1"/>
    <xf numFmtId="166" fontId="8" fillId="0" borderId="34" xfId="4" applyNumberFormat="1" applyFont="1" applyBorder="1"/>
    <xf numFmtId="166" fontId="8" fillId="0" borderId="16" xfId="4" applyNumberFormat="1" applyFont="1" applyBorder="1"/>
    <xf numFmtId="166" fontId="8" fillId="0" borderId="9" xfId="4" applyNumberFormat="1" applyFont="1" applyBorder="1"/>
    <xf numFmtId="166" fontId="7" fillId="0" borderId="18" xfId="4" applyNumberFormat="1" applyFont="1" applyBorder="1"/>
    <xf numFmtId="166" fontId="8" fillId="0" borderId="12" xfId="4" applyNumberFormat="1" applyFont="1" applyBorder="1"/>
    <xf numFmtId="166" fontId="8" fillId="0" borderId="27" xfId="4" applyNumberFormat="1" applyFont="1" applyBorder="1"/>
    <xf numFmtId="166" fontId="8" fillId="0" borderId="18" xfId="4" applyNumberFormat="1" applyFont="1" applyBorder="1"/>
    <xf numFmtId="166" fontId="8" fillId="0" borderId="11" xfId="4" applyNumberFormat="1" applyFont="1" applyBorder="1"/>
    <xf numFmtId="166" fontId="10" fillId="0" borderId="11" xfId="4" applyNumberFormat="1" applyFont="1" applyBorder="1"/>
    <xf numFmtId="166" fontId="10" fillId="0" borderId="30" xfId="4" applyNumberFormat="1" applyFont="1" applyBorder="1"/>
    <xf numFmtId="166" fontId="7" fillId="0" borderId="36" xfId="4" applyNumberFormat="1" applyFont="1" applyBorder="1"/>
    <xf numFmtId="166" fontId="8" fillId="0" borderId="37" xfId="4" applyNumberFormat="1" applyFont="1" applyBorder="1"/>
    <xf numFmtId="166" fontId="8" fillId="0" borderId="38" xfId="4" applyNumberFormat="1" applyFont="1" applyBorder="1"/>
    <xf numFmtId="166" fontId="8" fillId="0" borderId="39" xfId="4" applyNumberFormat="1" applyFont="1" applyBorder="1"/>
    <xf numFmtId="166" fontId="7" fillId="0" borderId="30" xfId="4" applyNumberFormat="1" applyFont="1" applyBorder="1"/>
    <xf numFmtId="167" fontId="8" fillId="0" borderId="32" xfId="5" applyNumberFormat="1" applyFont="1" applyBorder="1"/>
    <xf numFmtId="167" fontId="8" fillId="0" borderId="33" xfId="5" applyNumberFormat="1" applyFont="1" applyBorder="1"/>
    <xf numFmtId="167" fontId="8" fillId="0" borderId="34" xfId="5" applyNumberFormat="1" applyFont="1" applyBorder="1"/>
    <xf numFmtId="167" fontId="8" fillId="0" borderId="18" xfId="5" applyNumberFormat="1" applyFont="1" applyBorder="1"/>
    <xf numFmtId="167" fontId="8" fillId="0" borderId="30" xfId="5" applyNumberFormat="1" applyFont="1" applyBorder="1"/>
    <xf numFmtId="166" fontId="8" fillId="0" borderId="32" xfId="1" applyNumberFormat="1" applyFont="1" applyBorder="1"/>
    <xf numFmtId="166" fontId="8" fillId="0" borderId="33" xfId="1" applyNumberFormat="1" applyFont="1" applyBorder="1"/>
    <xf numFmtId="166" fontId="8" fillId="0" borderId="34" xfId="1" applyNumberFormat="1" applyFont="1" applyBorder="1"/>
    <xf numFmtId="166" fontId="8" fillId="0" borderId="16" xfId="1" applyNumberFormat="1" applyFont="1" applyBorder="1"/>
    <xf numFmtId="166" fontId="8" fillId="0" borderId="29" xfId="1" applyNumberFormat="1" applyFont="1" applyBorder="1"/>
    <xf numFmtId="166" fontId="7" fillId="0" borderId="16" xfId="1" applyNumberFormat="1" applyFont="1" applyBorder="1"/>
    <xf numFmtId="166" fontId="10" fillId="0" borderId="9" xfId="1" applyNumberFormat="1" applyFont="1" applyBorder="1"/>
    <xf numFmtId="166" fontId="7" fillId="0" borderId="9" xfId="1" applyNumberFormat="1" applyFont="1" applyBorder="1"/>
    <xf numFmtId="166" fontId="8" fillId="0" borderId="9" xfId="1" applyNumberFormat="1" applyFont="1" applyBorder="1"/>
    <xf numFmtId="166" fontId="7" fillId="0" borderId="18" xfId="1" applyNumberFormat="1" applyFont="1" applyBorder="1"/>
    <xf numFmtId="166" fontId="7" fillId="0" borderId="27" xfId="1" applyNumberFormat="1" applyFont="1" applyBorder="1"/>
    <xf numFmtId="167" fontId="8" fillId="0" borderId="32" xfId="2" applyNumberFormat="1" applyFont="1" applyBorder="1"/>
    <xf numFmtId="167" fontId="8" fillId="0" borderId="38" xfId="2" applyNumberFormat="1" applyFont="1" applyBorder="1"/>
    <xf numFmtId="167" fontId="8" fillId="0" borderId="39" xfId="2" applyNumberFormat="1" applyFont="1" applyBorder="1"/>
    <xf numFmtId="167" fontId="8" fillId="0" borderId="26" xfId="2" applyNumberFormat="1" applyFont="1" applyBorder="1"/>
    <xf numFmtId="167" fontId="8" fillId="0" borderId="40" xfId="2" applyNumberFormat="1" applyFont="1" applyBorder="1"/>
    <xf numFmtId="167" fontId="8" fillId="0" borderId="29" xfId="2" applyNumberFormat="1" applyFont="1" applyBorder="1"/>
    <xf numFmtId="167" fontId="8" fillId="0" borderId="30" xfId="2" applyNumberFormat="1" applyFont="1" applyBorder="1"/>
    <xf numFmtId="166" fontId="7" fillId="0" borderId="29" xfId="1" applyNumberFormat="1" applyFont="1" applyBorder="1"/>
    <xf numFmtId="0" fontId="13" fillId="0" borderId="0" xfId="0" applyFont="1"/>
    <xf numFmtId="168" fontId="8" fillId="0" borderId="29" xfId="1" applyNumberFormat="1" applyFont="1" applyBorder="1"/>
    <xf numFmtId="0" fontId="12" fillId="0" borderId="0" xfId="0" applyFont="1"/>
    <xf numFmtId="0" fontId="10" fillId="0" borderId="10" xfId="0" applyFont="1" applyBorder="1" applyAlignment="1">
      <alignment horizontal="center"/>
    </xf>
    <xf numFmtId="0" fontId="12" fillId="0" borderId="22" xfId="0" applyFont="1" applyBorder="1"/>
    <xf numFmtId="168" fontId="12" fillId="0" borderId="32" xfId="1" applyNumberFormat="1" applyFont="1" applyBorder="1"/>
    <xf numFmtId="168" fontId="12" fillId="0" borderId="38" xfId="1" applyNumberFormat="1" applyFont="1" applyBorder="1"/>
    <xf numFmtId="0" fontId="12" fillId="0" borderId="39" xfId="0" applyFont="1" applyBorder="1"/>
    <xf numFmtId="0" fontId="14" fillId="0" borderId="23" xfId="0" applyFont="1" applyBorder="1" applyAlignment="1">
      <alignment vertical="center"/>
    </xf>
    <xf numFmtId="3" fontId="12" fillId="0" borderId="16" xfId="0" applyNumberFormat="1" applyFont="1" applyBorder="1"/>
    <xf numFmtId="3" fontId="12" fillId="0" borderId="8" xfId="0" applyNumberFormat="1" applyFont="1" applyBorder="1"/>
    <xf numFmtId="0" fontId="12" fillId="0" borderId="26" xfId="0" applyFont="1" applyBorder="1"/>
    <xf numFmtId="0" fontId="12" fillId="0" borderId="23" xfId="0" applyFont="1" applyBorder="1"/>
    <xf numFmtId="168" fontId="12" fillId="0" borderId="16" xfId="1" applyNumberFormat="1" applyFont="1" applyBorder="1"/>
    <xf numFmtId="168" fontId="12" fillId="0" borderId="8" xfId="1" applyNumberFormat="1" applyFont="1" applyBorder="1"/>
    <xf numFmtId="0" fontId="12" fillId="0" borderId="16" xfId="0" applyFont="1" applyBorder="1"/>
    <xf numFmtId="0" fontId="12" fillId="0" borderId="8" xfId="0" applyFont="1" applyBorder="1"/>
    <xf numFmtId="0" fontId="10" fillId="0" borderId="10" xfId="0" applyFont="1" applyBorder="1"/>
    <xf numFmtId="0" fontId="12" fillId="0" borderId="12" xfId="0" applyFont="1" applyBorder="1"/>
    <xf numFmtId="0" fontId="12" fillId="0" borderId="42" xfId="0" applyFont="1" applyBorder="1"/>
    <xf numFmtId="0" fontId="10" fillId="0" borderId="0" xfId="0" applyFont="1"/>
    <xf numFmtId="168" fontId="12" fillId="0" borderId="35" xfId="0" applyNumberFormat="1" applyFont="1" applyBorder="1"/>
    <xf numFmtId="168" fontId="12" fillId="0" borderId="31" xfId="0" applyNumberFormat="1" applyFont="1" applyBorder="1"/>
    <xf numFmtId="168" fontId="12" fillId="0" borderId="31" xfId="1" applyNumberFormat="1" applyFont="1" applyBorder="1"/>
    <xf numFmtId="0" fontId="12" fillId="0" borderId="0" xfId="0" applyFont="1" applyAlignment="1">
      <alignment vertical="center"/>
    </xf>
    <xf numFmtId="0" fontId="10" fillId="0" borderId="10" xfId="0" applyFont="1" applyBorder="1" applyAlignment="1">
      <alignment horizontal="center" vertical="center"/>
    </xf>
    <xf numFmtId="0" fontId="12" fillId="0" borderId="22" xfId="0" applyFont="1" applyBorder="1" applyAlignment="1">
      <alignment vertical="center"/>
    </xf>
    <xf numFmtId="168" fontId="12" fillId="0" borderId="32" xfId="1" applyNumberFormat="1" applyFont="1" applyBorder="1" applyAlignment="1">
      <alignment vertical="center"/>
    </xf>
    <xf numFmtId="168" fontId="12" fillId="0" borderId="38" xfId="1" applyNumberFormat="1" applyFont="1" applyBorder="1" applyAlignment="1">
      <alignment vertical="center"/>
    </xf>
    <xf numFmtId="168" fontId="12" fillId="0" borderId="34" xfId="1" applyNumberFormat="1" applyFont="1" applyBorder="1" applyAlignment="1">
      <alignment vertical="center"/>
    </xf>
    <xf numFmtId="2" fontId="12" fillId="0" borderId="16" xfId="0" applyNumberFormat="1" applyFont="1" applyBorder="1" applyAlignment="1">
      <alignment vertical="center"/>
    </xf>
    <xf numFmtId="2" fontId="12" fillId="0" borderId="8" xfId="0" applyNumberFormat="1" applyFont="1" applyBorder="1" applyAlignment="1">
      <alignment vertical="center"/>
    </xf>
    <xf numFmtId="2" fontId="12" fillId="0" borderId="9" xfId="0" applyNumberFormat="1" applyFont="1" applyBorder="1" applyAlignment="1">
      <alignment vertical="center"/>
    </xf>
    <xf numFmtId="0" fontId="12" fillId="0" borderId="23" xfId="0" applyFont="1" applyBorder="1" applyAlignment="1">
      <alignment vertical="center"/>
    </xf>
    <xf numFmtId="168" fontId="12" fillId="0" borderId="16" xfId="1" applyNumberFormat="1" applyFont="1" applyBorder="1" applyAlignment="1">
      <alignment vertical="center"/>
    </xf>
    <xf numFmtId="168" fontId="12" fillId="0" borderId="31" xfId="1" applyNumberFormat="1" applyFont="1" applyBorder="1" applyAlignment="1">
      <alignment vertical="center"/>
    </xf>
    <xf numFmtId="168" fontId="12" fillId="0" borderId="16" xfId="0" applyNumberFormat="1" applyFont="1" applyBorder="1" applyAlignment="1">
      <alignment vertical="center"/>
    </xf>
    <xf numFmtId="168" fontId="12" fillId="0" borderId="31" xfId="0" applyNumberFormat="1" applyFont="1" applyBorder="1" applyAlignment="1">
      <alignment vertical="center"/>
    </xf>
    <xf numFmtId="168" fontId="12" fillId="0" borderId="8" xfId="0" applyNumberFormat="1" applyFont="1" applyBorder="1" applyAlignment="1">
      <alignment vertical="center"/>
    </xf>
    <xf numFmtId="168" fontId="12" fillId="0" borderId="45" xfId="0" applyNumberFormat="1" applyFont="1" applyBorder="1" applyAlignment="1">
      <alignment vertical="center"/>
    </xf>
    <xf numFmtId="0" fontId="12" fillId="0" borderId="5" xfId="0" applyFont="1" applyBorder="1" applyAlignment="1">
      <alignment vertical="center"/>
    </xf>
    <xf numFmtId="168" fontId="12" fillId="0" borderId="47" xfId="0" applyNumberFormat="1" applyFont="1" applyBorder="1" applyAlignment="1">
      <alignment vertical="center"/>
    </xf>
    <xf numFmtId="0" fontId="10" fillId="0" borderId="24" xfId="0" applyFont="1" applyBorder="1" applyAlignment="1">
      <alignment vertical="center"/>
    </xf>
    <xf numFmtId="165" fontId="10" fillId="3" borderId="36" xfId="1" applyFont="1" applyFill="1" applyBorder="1" applyAlignment="1">
      <alignment vertical="center"/>
    </xf>
    <xf numFmtId="165" fontId="10" fillId="3" borderId="46" xfId="1" applyFont="1" applyFill="1" applyBorder="1" applyAlignment="1">
      <alignment vertical="center"/>
    </xf>
    <xf numFmtId="2" fontId="12" fillId="0" borderId="29" xfId="0" applyNumberFormat="1" applyFont="1" applyBorder="1" applyAlignment="1">
      <alignment vertical="center"/>
    </xf>
    <xf numFmtId="168" fontId="12" fillId="0" borderId="29" xfId="0" applyNumberFormat="1" applyFont="1" applyBorder="1" applyAlignment="1">
      <alignment vertical="center"/>
    </xf>
    <xf numFmtId="168" fontId="12" fillId="0" borderId="39" xfId="1" applyNumberFormat="1" applyFont="1" applyBorder="1" applyAlignment="1">
      <alignment vertical="center"/>
    </xf>
    <xf numFmtId="168" fontId="12" fillId="0" borderId="9" xfId="1" applyNumberFormat="1" applyFont="1" applyBorder="1" applyAlignment="1">
      <alignment vertical="center"/>
    </xf>
    <xf numFmtId="168" fontId="12" fillId="0" borderId="44" xfId="0" applyNumberFormat="1" applyFont="1" applyBorder="1" applyAlignment="1">
      <alignment vertical="center"/>
    </xf>
    <xf numFmtId="165" fontId="10" fillId="3" borderId="27" xfId="1" applyFont="1" applyFill="1" applyBorder="1" applyAlignment="1">
      <alignment vertical="center"/>
    </xf>
    <xf numFmtId="2" fontId="12" fillId="0" borderId="0" xfId="0" applyNumberFormat="1" applyFont="1" applyAlignment="1">
      <alignment vertical="center"/>
    </xf>
    <xf numFmtId="0" fontId="12" fillId="0" borderId="48" xfId="0" applyFont="1" applyBorder="1"/>
    <xf numFmtId="0" fontId="10" fillId="3" borderId="30" xfId="0" applyFont="1" applyFill="1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10" fillId="4" borderId="0" xfId="0" applyFont="1" applyFill="1"/>
    <xf numFmtId="9" fontId="0" fillId="0" borderId="0" xfId="0" applyNumberFormat="1"/>
    <xf numFmtId="0" fontId="15" fillId="0" borderId="5" xfId="0" applyFont="1" applyBorder="1" applyAlignment="1">
      <alignment vertical="center"/>
    </xf>
    <xf numFmtId="166" fontId="15" fillId="0" borderId="7" xfId="1" applyNumberFormat="1" applyFont="1" applyBorder="1"/>
    <xf numFmtId="166" fontId="15" fillId="0" borderId="8" xfId="1" applyNumberFormat="1" applyFont="1" applyBorder="1"/>
    <xf numFmtId="167" fontId="15" fillId="0" borderId="40" xfId="2" applyNumberFormat="1" applyFont="1" applyBorder="1"/>
    <xf numFmtId="167" fontId="15" fillId="0" borderId="41" xfId="2" applyNumberFormat="1" applyFont="1" applyBorder="1"/>
    <xf numFmtId="0" fontId="16" fillId="0" borderId="8" xfId="0" applyFont="1" applyBorder="1"/>
    <xf numFmtId="168" fontId="16" fillId="0" borderId="43" xfId="0" applyNumberFormat="1" applyFont="1" applyBorder="1"/>
    <xf numFmtId="0" fontId="17" fillId="0" borderId="10" xfId="0" applyFont="1" applyBorder="1"/>
    <xf numFmtId="168" fontId="17" fillId="3" borderId="18" xfId="1" applyNumberFormat="1" applyFont="1" applyFill="1" applyBorder="1"/>
    <xf numFmtId="0" fontId="16" fillId="0" borderId="12" xfId="0" applyFont="1" applyBorder="1"/>
    <xf numFmtId="0" fontId="16" fillId="0" borderId="23" xfId="0" applyFont="1" applyBorder="1"/>
    <xf numFmtId="168" fontId="16" fillId="0" borderId="21" xfId="0" applyNumberFormat="1" applyFont="1" applyBorder="1"/>
    <xf numFmtId="0" fontId="15" fillId="0" borderId="0" xfId="0" applyFont="1"/>
    <xf numFmtId="168" fontId="16" fillId="0" borderId="9" xfId="0" applyNumberFormat="1" applyFont="1" applyBorder="1" applyAlignment="1">
      <alignment vertical="center"/>
    </xf>
    <xf numFmtId="0" fontId="16" fillId="0" borderId="23" xfId="0" applyFont="1" applyBorder="1" applyAlignment="1">
      <alignment vertical="center"/>
    </xf>
    <xf numFmtId="0" fontId="16" fillId="0" borderId="0" xfId="0" applyFont="1"/>
    <xf numFmtId="0" fontId="18" fillId="2" borderId="0" xfId="0" applyFont="1" applyFill="1"/>
    <xf numFmtId="168" fontId="10" fillId="0" borderId="18" xfId="1" applyNumberFormat="1" applyFont="1" applyFill="1" applyBorder="1"/>
    <xf numFmtId="168" fontId="12" fillId="0" borderId="26" xfId="0" applyNumberFormat="1" applyFont="1" applyBorder="1"/>
    <xf numFmtId="165" fontId="16" fillId="0" borderId="43" xfId="0" applyNumberFormat="1" applyFont="1" applyBorder="1"/>
    <xf numFmtId="0" fontId="19" fillId="0" borderId="2" xfId="0" applyFont="1" applyBorder="1" applyAlignment="1">
      <alignment horizontal="center" vertical="top" wrapText="1"/>
    </xf>
    <xf numFmtId="168" fontId="12" fillId="0" borderId="37" xfId="1" applyNumberFormat="1" applyFont="1" applyBorder="1"/>
    <xf numFmtId="0" fontId="12" fillId="0" borderId="49" xfId="0" applyFont="1" applyBorder="1"/>
    <xf numFmtId="0" fontId="12" fillId="0" borderId="19" xfId="0" applyFont="1" applyBorder="1"/>
    <xf numFmtId="1" fontId="12" fillId="0" borderId="39" xfId="1" applyNumberFormat="1" applyFont="1" applyBorder="1"/>
    <xf numFmtId="168" fontId="16" fillId="0" borderId="45" xfId="0" applyNumberFormat="1" applyFont="1" applyBorder="1"/>
    <xf numFmtId="0" fontId="16" fillId="0" borderId="46" xfId="0" applyFont="1" applyBorder="1"/>
    <xf numFmtId="168" fontId="12" fillId="0" borderId="8" xfId="0" applyNumberFormat="1" applyFont="1" applyBorder="1"/>
    <xf numFmtId="168" fontId="16" fillId="0" borderId="8" xfId="0" applyNumberFormat="1" applyFont="1" applyBorder="1"/>
    <xf numFmtId="168" fontId="12" fillId="0" borderId="6" xfId="1" applyNumberFormat="1" applyFont="1" applyBorder="1"/>
    <xf numFmtId="0" fontId="13" fillId="0" borderId="9" xfId="0" applyFont="1" applyBorder="1"/>
    <xf numFmtId="0" fontId="13" fillId="0" borderId="27" xfId="0" applyFont="1" applyBorder="1"/>
    <xf numFmtId="167" fontId="8" fillId="0" borderId="0" xfId="0" applyNumberFormat="1" applyFont="1"/>
    <xf numFmtId="0" fontId="8" fillId="0" borderId="8" xfId="3" applyFont="1" applyBorder="1"/>
    <xf numFmtId="10" fontId="8" fillId="0" borderId="8" xfId="2" applyNumberFormat="1" applyFont="1" applyBorder="1"/>
    <xf numFmtId="2" fontId="8" fillId="0" borderId="8" xfId="2" applyNumberFormat="1" applyFont="1" applyBorder="1"/>
    <xf numFmtId="169" fontId="0" fillId="0" borderId="0" xfId="2" applyNumberFormat="1" applyFont="1"/>
    <xf numFmtId="0" fontId="8" fillId="5" borderId="8" xfId="3" applyFont="1" applyFill="1" applyBorder="1"/>
    <xf numFmtId="10" fontId="8" fillId="5" borderId="8" xfId="2" applyNumberFormat="1" applyFont="1" applyFill="1" applyBorder="1"/>
    <xf numFmtId="0" fontId="10" fillId="5" borderId="10" xfId="0" applyFont="1" applyFill="1" applyBorder="1" applyAlignment="1">
      <alignment horizontal="center"/>
    </xf>
    <xf numFmtId="166" fontId="8" fillId="0" borderId="50" xfId="4" applyNumberFormat="1" applyFont="1" applyBorder="1"/>
    <xf numFmtId="0" fontId="8" fillId="0" borderId="51" xfId="0" applyFont="1" applyBorder="1"/>
    <xf numFmtId="0" fontId="7" fillId="5" borderId="20" xfId="0" applyFont="1" applyFill="1" applyBorder="1" applyAlignment="1">
      <alignment horizontal="center" vertical="center"/>
    </xf>
    <xf numFmtId="0" fontId="10" fillId="5" borderId="20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 vertical="center"/>
    </xf>
    <xf numFmtId="0" fontId="7" fillId="5" borderId="25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20" xfId="3" applyFont="1" applyFill="1" applyBorder="1" applyAlignment="1">
      <alignment horizontal="center" vertical="center"/>
    </xf>
    <xf numFmtId="0" fontId="7" fillId="5" borderId="17" xfId="0" applyFont="1" applyFill="1" applyBorder="1" applyAlignment="1">
      <alignment horizontal="center" vertical="center"/>
    </xf>
    <xf numFmtId="0" fontId="7" fillId="5" borderId="19" xfId="0" applyFont="1" applyFill="1" applyBorder="1" applyAlignment="1">
      <alignment horizontal="center" vertical="center"/>
    </xf>
    <xf numFmtId="0" fontId="10" fillId="5" borderId="15" xfId="0" applyFont="1" applyFill="1" applyBorder="1" applyAlignment="1">
      <alignment horizontal="center"/>
    </xf>
    <xf numFmtId="0" fontId="10" fillId="5" borderId="0" xfId="0" applyFont="1" applyFill="1" applyAlignment="1">
      <alignment horizontal="center"/>
    </xf>
    <xf numFmtId="0" fontId="10" fillId="2" borderId="3" xfId="0" applyFont="1" applyFill="1" applyBorder="1" applyAlignment="1">
      <alignment horizontal="center" vertical="center"/>
    </xf>
    <xf numFmtId="0" fontId="10" fillId="2" borderId="2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167" fontId="20" fillId="0" borderId="40" xfId="2" applyNumberFormat="1" applyFont="1" applyBorder="1"/>
    <xf numFmtId="0" fontId="7" fillId="5" borderId="0" xfId="0" applyFont="1" applyFill="1" applyBorder="1" applyAlignment="1">
      <alignment horizontal="center" vertical="center"/>
    </xf>
    <xf numFmtId="0" fontId="10" fillId="5" borderId="0" xfId="0" applyFont="1" applyFill="1" applyBorder="1" applyAlignment="1">
      <alignment horizontal="center"/>
    </xf>
  </cellXfs>
  <cellStyles count="9">
    <cellStyle name="Comma" xfId="1" builtinId="3"/>
    <cellStyle name="Comma [0] 2" xfId="8" xr:uid="{EE81F678-22D3-4F27-B173-6CDF816BEF7A}"/>
    <cellStyle name="Comma 2" xfId="4" xr:uid="{9D15FBAE-6487-41E3-A467-96098C304BF2}"/>
    <cellStyle name="Normal" xfId="0" builtinId="0"/>
    <cellStyle name="Normal 2" xfId="3" xr:uid="{8E332F88-D084-4627-B416-023540A71D9C}"/>
    <cellStyle name="Normal 2 3 2" xfId="6" xr:uid="{3B5E5C1B-7C2F-411E-9586-4CEDF7220137}"/>
    <cellStyle name="Percent" xfId="2" builtinId="5"/>
    <cellStyle name="Percent 2" xfId="5" xr:uid="{5C908B0D-D4B4-4825-8741-658830B038B9}"/>
    <cellStyle name="Percent 2 45" xfId="7" xr:uid="{F32F7A5F-D53E-4E9B-A0A1-29EB09B08C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321E2-C4DB-4592-A181-B6A57B025A90}">
  <dimension ref="A1:I124"/>
  <sheetViews>
    <sheetView zoomScale="70" zoomScaleNormal="70" workbookViewId="0">
      <selection activeCell="J7" sqref="J7:K9"/>
    </sheetView>
  </sheetViews>
  <sheetFormatPr defaultRowHeight="14"/>
  <cols>
    <col min="1" max="1" width="64.25" customWidth="1"/>
    <col min="2" max="9" width="13.1640625" customWidth="1"/>
  </cols>
  <sheetData>
    <row r="1" spans="1:9" ht="14.5" thickBot="1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</row>
    <row r="2" spans="1:9" ht="14.5" thickBot="1">
      <c r="A2" s="3" t="s">
        <v>1</v>
      </c>
      <c r="B2" s="4"/>
      <c r="C2" s="4"/>
      <c r="D2" s="4"/>
      <c r="E2" s="4"/>
      <c r="F2" s="4"/>
      <c r="G2" s="186"/>
    </row>
    <row r="3" spans="1:9" ht="14.5" thickBot="1">
      <c r="A3" s="3" t="s">
        <v>2</v>
      </c>
      <c r="B3" s="5">
        <v>4318349</v>
      </c>
      <c r="C3" s="5">
        <v>4250037</v>
      </c>
      <c r="D3" s="5">
        <v>3978192</v>
      </c>
      <c r="E3" s="5">
        <v>7276292</v>
      </c>
      <c r="F3" s="5">
        <v>11624187</v>
      </c>
      <c r="G3" s="5">
        <v>13504495</v>
      </c>
      <c r="H3" s="5">
        <v>12920863</v>
      </c>
      <c r="I3" s="5">
        <v>14447095</v>
      </c>
    </row>
    <row r="4" spans="1:9" ht="14.5" thickBot="1">
      <c r="A4" s="6" t="s">
        <v>3</v>
      </c>
      <c r="B4" s="7">
        <v>285772</v>
      </c>
      <c r="C4" s="7">
        <v>471173</v>
      </c>
      <c r="D4" s="7">
        <v>509995</v>
      </c>
      <c r="E4" s="7">
        <v>427653</v>
      </c>
      <c r="F4" s="7">
        <v>2125625</v>
      </c>
      <c r="G4" s="7">
        <v>2284400</v>
      </c>
      <c r="H4" s="7">
        <v>1903248</v>
      </c>
      <c r="I4" s="7">
        <v>3590268</v>
      </c>
    </row>
    <row r="5" spans="1:9" ht="14.5" thickBot="1">
      <c r="A5" s="8" t="s">
        <v>4</v>
      </c>
      <c r="B5" s="9">
        <v>165772</v>
      </c>
      <c r="C5" s="9">
        <v>371173</v>
      </c>
      <c r="D5" s="9">
        <v>289995</v>
      </c>
      <c r="E5" s="9">
        <v>427653</v>
      </c>
      <c r="F5" s="9">
        <v>2125625</v>
      </c>
      <c r="G5" s="9">
        <v>2274400</v>
      </c>
      <c r="H5" s="9">
        <v>1903248</v>
      </c>
      <c r="I5" s="9">
        <v>3375268</v>
      </c>
    </row>
    <row r="6" spans="1:9" ht="14.5" thickBot="1">
      <c r="A6" s="8" t="s">
        <v>5</v>
      </c>
      <c r="B6" s="9">
        <v>120000</v>
      </c>
      <c r="C6" s="9">
        <v>100000</v>
      </c>
      <c r="D6" s="9">
        <v>220000</v>
      </c>
      <c r="E6" s="10"/>
      <c r="F6" s="10"/>
      <c r="G6" s="9">
        <v>10000</v>
      </c>
      <c r="H6" s="9"/>
      <c r="I6" s="9">
        <v>215</v>
      </c>
    </row>
    <row r="7" spans="1:9" ht="14.5" thickBot="1">
      <c r="A7" s="6" t="s">
        <v>6</v>
      </c>
      <c r="B7" s="7">
        <v>2502000</v>
      </c>
      <c r="C7" s="7">
        <v>2002000</v>
      </c>
      <c r="D7" s="7">
        <v>2302000</v>
      </c>
      <c r="E7" s="7">
        <v>4362000</v>
      </c>
      <c r="F7" s="7">
        <v>6812000</v>
      </c>
      <c r="G7" s="7">
        <v>8242000</v>
      </c>
      <c r="H7" s="7">
        <v>7039051</v>
      </c>
      <c r="I7" s="7">
        <v>4082000</v>
      </c>
    </row>
    <row r="8" spans="1:9" ht="14.5" thickBot="1">
      <c r="A8" s="8" t="s">
        <v>7</v>
      </c>
      <c r="B8" s="10"/>
      <c r="C8" s="10"/>
      <c r="D8" s="10"/>
      <c r="E8" s="10"/>
      <c r="F8" s="10"/>
      <c r="G8" s="10"/>
      <c r="H8" s="10"/>
      <c r="I8" s="10"/>
    </row>
    <row r="9" spans="1:9" ht="14.5" thickBot="1">
      <c r="A9" s="8" t="s">
        <v>8</v>
      </c>
      <c r="B9" s="10"/>
      <c r="C9" s="10"/>
      <c r="D9" s="10"/>
      <c r="E9" s="10"/>
      <c r="F9" s="10"/>
      <c r="G9" s="10"/>
      <c r="H9" s="10"/>
      <c r="I9" s="10"/>
    </row>
    <row r="10" spans="1:9" ht="14.5" thickBot="1">
      <c r="A10" s="8" t="s">
        <v>9</v>
      </c>
      <c r="B10" s="9">
        <v>2502000</v>
      </c>
      <c r="C10" s="9">
        <v>2002000</v>
      </c>
      <c r="D10" s="9">
        <v>2302000</v>
      </c>
      <c r="E10" s="9">
        <v>4362000</v>
      </c>
      <c r="F10" s="9">
        <v>6812000</v>
      </c>
      <c r="G10" s="9">
        <v>8242000</v>
      </c>
      <c r="H10" s="9">
        <v>7039051</v>
      </c>
      <c r="I10" s="9">
        <v>4082000</v>
      </c>
    </row>
    <row r="11" spans="1:9" ht="14.5" thickBot="1">
      <c r="A11" s="6" t="s">
        <v>10</v>
      </c>
      <c r="B11" s="7">
        <v>452950</v>
      </c>
      <c r="C11" s="7">
        <v>401910</v>
      </c>
      <c r="D11" s="7">
        <v>217396</v>
      </c>
      <c r="E11" s="7">
        <v>187458</v>
      </c>
      <c r="F11" s="7">
        <v>188150</v>
      </c>
      <c r="G11" s="7">
        <v>365838</v>
      </c>
      <c r="H11" s="7">
        <v>528623</v>
      </c>
      <c r="I11" s="7">
        <v>1258875</v>
      </c>
    </row>
    <row r="12" spans="1:9" ht="14.5" thickBot="1">
      <c r="A12" s="8" t="s">
        <v>11</v>
      </c>
      <c r="B12" s="9">
        <v>17544</v>
      </c>
      <c r="C12" s="9">
        <v>2926</v>
      </c>
      <c r="D12" s="9">
        <v>44754</v>
      </c>
      <c r="E12" s="9">
        <v>44654</v>
      </c>
      <c r="F12" s="9">
        <v>1405</v>
      </c>
      <c r="G12" s="9">
        <v>198512</v>
      </c>
      <c r="H12" s="9">
        <v>298905</v>
      </c>
      <c r="I12" s="9">
        <v>678419</v>
      </c>
    </row>
    <row r="13" spans="1:9" ht="14.5" thickBot="1">
      <c r="A13" s="8" t="s">
        <v>12</v>
      </c>
      <c r="B13" s="9">
        <v>86368</v>
      </c>
      <c r="C13" s="9">
        <v>55315</v>
      </c>
      <c r="D13" s="9">
        <v>15506</v>
      </c>
      <c r="E13" s="9">
        <v>86007</v>
      </c>
      <c r="F13" s="9">
        <v>86290</v>
      </c>
      <c r="G13" s="9">
        <v>54781</v>
      </c>
      <c r="H13" s="9">
        <v>225764</v>
      </c>
      <c r="I13" s="9">
        <v>432264</v>
      </c>
    </row>
    <row r="14" spans="1:9" ht="14.5" thickBot="1">
      <c r="A14" s="8" t="s">
        <v>13</v>
      </c>
      <c r="B14" s="10"/>
      <c r="C14" s="10"/>
      <c r="D14" s="10"/>
      <c r="E14" s="10"/>
      <c r="F14" s="10"/>
      <c r="G14" s="10"/>
      <c r="H14" s="10"/>
      <c r="I14" s="10"/>
    </row>
    <row r="15" spans="1:9" ht="14.5" thickBot="1">
      <c r="A15" s="8" t="s">
        <v>14</v>
      </c>
      <c r="B15" s="10"/>
      <c r="C15" s="10"/>
      <c r="D15" s="10"/>
      <c r="E15" s="10"/>
      <c r="F15" s="10"/>
      <c r="G15" s="10"/>
      <c r="H15" s="10"/>
      <c r="I15" s="10"/>
    </row>
    <row r="16" spans="1:9" ht="14.5" thickBot="1">
      <c r="A16" s="8" t="s">
        <v>15</v>
      </c>
      <c r="B16" s="10"/>
      <c r="C16" s="10"/>
      <c r="D16" s="10"/>
      <c r="E16" s="10"/>
      <c r="F16" s="10"/>
      <c r="G16" s="10"/>
      <c r="H16" s="10"/>
      <c r="I16" s="10"/>
    </row>
    <row r="17" spans="1:9" ht="14.5" thickBot="1">
      <c r="A17" s="8" t="s">
        <v>16</v>
      </c>
      <c r="B17" s="9">
        <v>349039</v>
      </c>
      <c r="C17" s="9">
        <v>343753</v>
      </c>
      <c r="D17" s="9">
        <v>157278</v>
      </c>
      <c r="E17" s="9">
        <v>94288</v>
      </c>
      <c r="F17" s="9">
        <v>141989</v>
      </c>
      <c r="G17" s="9">
        <v>155143</v>
      </c>
      <c r="H17" s="9">
        <v>115443</v>
      </c>
      <c r="I17" s="9">
        <v>258724</v>
      </c>
    </row>
    <row r="18" spans="1:9" ht="14.5" thickBot="1">
      <c r="A18" s="8" t="s">
        <v>17</v>
      </c>
      <c r="B18" s="10"/>
      <c r="C18" s="10">
        <v>-85</v>
      </c>
      <c r="D18" s="10">
        <v>-141</v>
      </c>
      <c r="E18" s="9">
        <v>-37490</v>
      </c>
      <c r="F18" s="9">
        <v>-41534</v>
      </c>
      <c r="G18" s="9">
        <v>-42598</v>
      </c>
      <c r="H18" s="9">
        <v>-111488</v>
      </c>
      <c r="I18" s="9">
        <v>-110532</v>
      </c>
    </row>
    <row r="19" spans="1:9" ht="14.5" thickBot="1">
      <c r="A19" s="8" t="s">
        <v>18</v>
      </c>
      <c r="B19" s="10"/>
      <c r="C19" s="10"/>
      <c r="D19" s="10"/>
      <c r="E19" s="10"/>
      <c r="F19" s="10"/>
      <c r="G19" s="10"/>
      <c r="H19" s="10"/>
      <c r="I19" s="10"/>
    </row>
    <row r="20" spans="1:9" ht="14.5" thickBot="1">
      <c r="A20" s="6" t="s">
        <v>19</v>
      </c>
      <c r="B20" s="7">
        <v>982641</v>
      </c>
      <c r="C20" s="7">
        <v>1301123</v>
      </c>
      <c r="D20" s="7">
        <v>834135</v>
      </c>
      <c r="E20" s="7">
        <v>2204078</v>
      </c>
      <c r="F20" s="7">
        <v>2282528</v>
      </c>
      <c r="G20" s="7">
        <v>2160588</v>
      </c>
      <c r="H20" s="7">
        <v>2950301</v>
      </c>
      <c r="I20" s="7">
        <v>4808860</v>
      </c>
    </row>
    <row r="21" spans="1:9" ht="14.5" thickBot="1">
      <c r="A21" s="8" t="s">
        <v>20</v>
      </c>
      <c r="B21" s="9">
        <v>982641</v>
      </c>
      <c r="C21" s="9">
        <v>1309837</v>
      </c>
      <c r="D21" s="9">
        <v>834430</v>
      </c>
      <c r="E21" s="9">
        <v>2204078</v>
      </c>
      <c r="F21" s="9">
        <v>2421843</v>
      </c>
      <c r="G21" s="9">
        <v>2192195</v>
      </c>
      <c r="H21" s="9">
        <v>2992365</v>
      </c>
      <c r="I21" s="9">
        <v>4891141</v>
      </c>
    </row>
    <row r="22" spans="1:9" ht="14.5" thickBot="1">
      <c r="A22" s="8" t="s">
        <v>21</v>
      </c>
      <c r="B22" s="10"/>
      <c r="C22" s="9">
        <v>-8714</v>
      </c>
      <c r="D22" s="10">
        <v>-296</v>
      </c>
      <c r="E22" s="10"/>
      <c r="F22" s="9">
        <v>-139315</v>
      </c>
      <c r="G22" s="9">
        <v>-31607</v>
      </c>
      <c r="H22" s="9">
        <v>-42064</v>
      </c>
      <c r="I22" s="9">
        <v>-82281</v>
      </c>
    </row>
    <row r="23" spans="1:9" ht="14.5" thickBot="1">
      <c r="A23" s="6" t="s">
        <v>22</v>
      </c>
      <c r="B23" s="7">
        <v>94985</v>
      </c>
      <c r="C23" s="7">
        <v>73831</v>
      </c>
      <c r="D23" s="7">
        <v>114666</v>
      </c>
      <c r="E23" s="7">
        <v>95103</v>
      </c>
      <c r="F23" s="7">
        <v>215884</v>
      </c>
      <c r="G23" s="7">
        <v>451669</v>
      </c>
      <c r="H23" s="7">
        <v>499639</v>
      </c>
      <c r="I23" s="7">
        <v>707092</v>
      </c>
    </row>
    <row r="24" spans="1:9" ht="14.5" thickBot="1">
      <c r="A24" s="8" t="s">
        <v>23</v>
      </c>
      <c r="B24" s="9">
        <v>58791</v>
      </c>
      <c r="C24" s="9">
        <v>48533</v>
      </c>
      <c r="D24" s="9">
        <v>39703</v>
      </c>
      <c r="E24" s="9">
        <v>41799</v>
      </c>
      <c r="F24" s="9">
        <v>63632</v>
      </c>
      <c r="G24" s="9">
        <v>324690</v>
      </c>
      <c r="H24" s="9">
        <v>348206</v>
      </c>
      <c r="I24" s="9">
        <v>185701</v>
      </c>
    </row>
    <row r="25" spans="1:9" ht="14.5" thickBot="1">
      <c r="A25" s="8" t="s">
        <v>24</v>
      </c>
      <c r="B25" s="9">
        <v>35648</v>
      </c>
      <c r="C25" s="9">
        <v>24729</v>
      </c>
      <c r="D25" s="9">
        <v>74461</v>
      </c>
      <c r="E25" s="9">
        <v>52802</v>
      </c>
      <c r="F25" s="9">
        <v>151749</v>
      </c>
      <c r="G25" s="9">
        <v>126477</v>
      </c>
      <c r="H25" s="9">
        <v>150931</v>
      </c>
      <c r="I25" s="9">
        <v>520889</v>
      </c>
    </row>
    <row r="26" spans="1:9" ht="14.5" thickBot="1">
      <c r="A26" s="8" t="s">
        <v>25</v>
      </c>
      <c r="B26" s="10">
        <v>546</v>
      </c>
      <c r="C26" s="10">
        <v>569</v>
      </c>
      <c r="D26" s="10">
        <v>502</v>
      </c>
      <c r="E26" s="10">
        <v>502</v>
      </c>
      <c r="F26" s="10">
        <v>502</v>
      </c>
      <c r="G26" s="10">
        <v>502</v>
      </c>
      <c r="H26" s="10">
        <v>502</v>
      </c>
      <c r="I26" s="10">
        <v>502</v>
      </c>
    </row>
    <row r="27" spans="1:9" ht="14.5" thickBot="1">
      <c r="A27" s="8" t="s">
        <v>26</v>
      </c>
      <c r="B27" s="10"/>
      <c r="C27" s="10"/>
      <c r="D27" s="10"/>
      <c r="E27" s="10"/>
      <c r="F27" s="10"/>
      <c r="G27" s="10"/>
      <c r="H27" s="10"/>
      <c r="I27" s="10"/>
    </row>
    <row r="28" spans="1:9" ht="14.5" thickBot="1">
      <c r="A28" s="8" t="s">
        <v>27</v>
      </c>
      <c r="B28" s="10"/>
      <c r="C28" s="10"/>
      <c r="D28" s="10"/>
      <c r="E28" s="10"/>
      <c r="F28" s="10"/>
      <c r="G28" s="10"/>
      <c r="H28" s="10"/>
      <c r="I28" s="10"/>
    </row>
    <row r="29" spans="1:9" ht="14.5" thickBot="1">
      <c r="A29" s="3" t="s">
        <v>28</v>
      </c>
      <c r="B29" s="5">
        <v>6712237</v>
      </c>
      <c r="C29" s="5">
        <v>5922558</v>
      </c>
      <c r="D29" s="5">
        <v>4739289</v>
      </c>
      <c r="E29" s="5">
        <v>3795830</v>
      </c>
      <c r="F29" s="5">
        <v>2542674</v>
      </c>
      <c r="G29" s="5">
        <v>1733471</v>
      </c>
      <c r="H29" s="5">
        <v>2807985</v>
      </c>
      <c r="I29" s="5">
        <v>3196544</v>
      </c>
    </row>
    <row r="30" spans="1:9" ht="14.5" thickBot="1">
      <c r="A30" s="6" t="s">
        <v>29</v>
      </c>
      <c r="B30" s="11">
        <v>3</v>
      </c>
      <c r="C30" s="11">
        <v>3</v>
      </c>
      <c r="D30" s="11">
        <v>3</v>
      </c>
      <c r="E30" s="11">
        <v>3</v>
      </c>
      <c r="F30" s="11"/>
      <c r="G30" s="11"/>
      <c r="H30" s="11">
        <v>512</v>
      </c>
      <c r="I30" s="11">
        <v>512</v>
      </c>
    </row>
    <row r="31" spans="1:9" ht="14.5" thickBot="1">
      <c r="A31" s="8" t="s">
        <v>30</v>
      </c>
      <c r="B31" s="10"/>
      <c r="C31" s="10"/>
      <c r="D31" s="10"/>
      <c r="E31" s="10"/>
      <c r="F31" s="10"/>
      <c r="G31" s="10"/>
      <c r="H31" s="10"/>
      <c r="I31" s="10"/>
    </row>
    <row r="32" spans="1:9" ht="14.5" thickBot="1">
      <c r="A32" s="8" t="s">
        <v>31</v>
      </c>
      <c r="B32" s="10"/>
      <c r="C32" s="10"/>
      <c r="D32" s="10"/>
      <c r="E32" s="10"/>
      <c r="F32" s="10"/>
      <c r="G32" s="10"/>
      <c r="H32" s="10"/>
      <c r="I32" s="10"/>
    </row>
    <row r="33" spans="1:9" ht="14.5" thickBot="1">
      <c r="A33" s="8" t="s">
        <v>32</v>
      </c>
      <c r="B33" s="10"/>
      <c r="C33" s="10"/>
      <c r="D33" s="10"/>
      <c r="E33" s="10"/>
      <c r="F33" s="10"/>
      <c r="G33" s="10"/>
      <c r="H33" s="10"/>
      <c r="I33" s="10"/>
    </row>
    <row r="34" spans="1:9" ht="14.5" thickBot="1">
      <c r="A34" s="8" t="s">
        <v>33</v>
      </c>
      <c r="B34" s="10"/>
      <c r="C34" s="10"/>
      <c r="D34" s="10"/>
      <c r="E34" s="10"/>
      <c r="F34" s="10"/>
      <c r="G34" s="10"/>
      <c r="H34" s="10"/>
      <c r="I34" s="10"/>
    </row>
    <row r="35" spans="1:9" ht="14.5" thickBot="1">
      <c r="A35" s="8" t="s">
        <v>34</v>
      </c>
      <c r="B35" s="10"/>
      <c r="C35" s="10"/>
      <c r="D35" s="10"/>
      <c r="E35" s="10"/>
      <c r="F35" s="10"/>
      <c r="G35" s="10"/>
      <c r="H35" s="10"/>
      <c r="I35" s="10"/>
    </row>
    <row r="36" spans="1:9" ht="14.5" thickBot="1">
      <c r="A36" s="8" t="s">
        <v>35</v>
      </c>
      <c r="B36" s="10">
        <v>3</v>
      </c>
      <c r="C36" s="10">
        <v>3</v>
      </c>
      <c r="D36" s="10">
        <v>3</v>
      </c>
      <c r="E36" s="10">
        <v>3</v>
      </c>
      <c r="F36" s="10"/>
      <c r="G36" s="10"/>
      <c r="H36" s="10">
        <v>512</v>
      </c>
      <c r="I36" s="10">
        <v>512</v>
      </c>
    </row>
    <row r="37" spans="1:9" ht="14.5" thickBot="1">
      <c r="A37" s="8" t="s">
        <v>36</v>
      </c>
      <c r="B37" s="10"/>
      <c r="C37" s="10"/>
      <c r="D37" s="10"/>
      <c r="E37" s="10"/>
      <c r="F37" s="10"/>
      <c r="G37" s="10"/>
      <c r="H37" s="10"/>
      <c r="I37" s="10"/>
    </row>
    <row r="38" spans="1:9" ht="14.5" thickBot="1">
      <c r="A38" s="6" t="s">
        <v>37</v>
      </c>
      <c r="B38" s="7">
        <v>6336415</v>
      </c>
      <c r="C38" s="7">
        <v>5187636</v>
      </c>
      <c r="D38" s="7">
        <v>3955429</v>
      </c>
      <c r="E38" s="7">
        <v>3405623</v>
      </c>
      <c r="F38" s="7">
        <v>2206853</v>
      </c>
      <c r="G38" s="7">
        <v>1600175</v>
      </c>
      <c r="H38" s="7">
        <v>1946194</v>
      </c>
      <c r="I38" s="7">
        <v>2175474</v>
      </c>
    </row>
    <row r="39" spans="1:9" ht="14.5" thickBot="1">
      <c r="A39" s="8" t="s">
        <v>38</v>
      </c>
      <c r="B39" s="9">
        <v>6297636</v>
      </c>
      <c r="C39" s="9">
        <v>5134488</v>
      </c>
      <c r="D39" s="9">
        <v>3899631</v>
      </c>
      <c r="E39" s="9">
        <v>3366688</v>
      </c>
      <c r="F39" s="9">
        <v>2159645</v>
      </c>
      <c r="G39" s="9">
        <v>1249768</v>
      </c>
      <c r="H39" s="9">
        <v>1571196</v>
      </c>
      <c r="I39" s="9">
        <v>1738283</v>
      </c>
    </row>
    <row r="40" spans="1:9" ht="14.5" thickBot="1">
      <c r="A40" s="8" t="s">
        <v>39</v>
      </c>
      <c r="B40" s="9">
        <v>14052806</v>
      </c>
      <c r="C40" s="9">
        <v>14202688</v>
      </c>
      <c r="D40" s="9">
        <v>14272461</v>
      </c>
      <c r="E40" s="9">
        <v>15104051</v>
      </c>
      <c r="F40" s="9">
        <v>15270938</v>
      </c>
      <c r="G40" s="9">
        <v>15430177</v>
      </c>
      <c r="H40" s="9">
        <v>16486332</v>
      </c>
      <c r="I40" s="9">
        <v>16958838</v>
      </c>
    </row>
    <row r="41" spans="1:9" ht="14.5" thickBot="1">
      <c r="A41" s="8" t="s">
        <v>40</v>
      </c>
      <c r="B41" s="9">
        <v>-7755170</v>
      </c>
      <c r="C41" s="9">
        <v>-9068200</v>
      </c>
      <c r="D41" s="9">
        <v>-10372830</v>
      </c>
      <c r="E41" s="9">
        <v>-11737363</v>
      </c>
      <c r="F41" s="9">
        <v>-13111293</v>
      </c>
      <c r="G41" s="9">
        <v>-14180409</v>
      </c>
      <c r="H41" s="9">
        <v>-14915135</v>
      </c>
      <c r="I41" s="9">
        <v>-15220555</v>
      </c>
    </row>
    <row r="42" spans="1:9" ht="14.5" thickBot="1">
      <c r="A42" s="8" t="s">
        <v>41</v>
      </c>
      <c r="B42" s="10"/>
      <c r="C42" s="10"/>
      <c r="D42" s="10"/>
      <c r="E42" s="10"/>
      <c r="F42" s="10"/>
      <c r="G42" s="10"/>
      <c r="H42" s="10">
        <v>11212</v>
      </c>
      <c r="I42" s="10">
        <v>10884</v>
      </c>
    </row>
    <row r="43" spans="1:9" ht="14.5" thickBot="1">
      <c r="A43" s="8" t="s">
        <v>39</v>
      </c>
      <c r="B43" s="10"/>
      <c r="C43" s="10"/>
      <c r="D43" s="10"/>
      <c r="E43" s="10"/>
      <c r="F43" s="10"/>
      <c r="G43" s="10"/>
      <c r="H43" s="10">
        <v>11983</v>
      </c>
      <c r="I43" s="10">
        <v>14122</v>
      </c>
    </row>
    <row r="44" spans="1:9" ht="14.5" thickBot="1">
      <c r="A44" s="8" t="s">
        <v>40</v>
      </c>
      <c r="B44" s="10"/>
      <c r="C44" s="10"/>
      <c r="D44" s="10"/>
      <c r="E44" s="10"/>
      <c r="F44" s="10"/>
      <c r="G44" s="10"/>
      <c r="H44" s="10">
        <v>-771</v>
      </c>
      <c r="I44" s="10">
        <v>-3238</v>
      </c>
    </row>
    <row r="45" spans="1:9" ht="14.5" thickBot="1">
      <c r="A45" s="8" t="s">
        <v>42</v>
      </c>
      <c r="B45" s="9">
        <v>38779</v>
      </c>
      <c r="C45" s="9">
        <v>53149</v>
      </c>
      <c r="D45" s="9">
        <v>55798</v>
      </c>
      <c r="E45" s="9">
        <v>38935</v>
      </c>
      <c r="F45" s="9">
        <v>47208</v>
      </c>
      <c r="G45" s="9">
        <v>350408</v>
      </c>
      <c r="H45" s="9">
        <v>363786</v>
      </c>
      <c r="I45" s="9">
        <v>426307</v>
      </c>
    </row>
    <row r="46" spans="1:9" ht="14.5" thickBot="1">
      <c r="A46" s="8" t="s">
        <v>39</v>
      </c>
      <c r="B46" s="9">
        <v>105890</v>
      </c>
      <c r="C46" s="9">
        <v>129456</v>
      </c>
      <c r="D46" s="9">
        <v>146711</v>
      </c>
      <c r="E46" s="9">
        <v>153101</v>
      </c>
      <c r="F46" s="9">
        <v>178466</v>
      </c>
      <c r="G46" s="9">
        <v>500318</v>
      </c>
      <c r="H46" s="9" t="s">
        <v>298</v>
      </c>
      <c r="I46" s="9">
        <v>637248</v>
      </c>
    </row>
    <row r="47" spans="1:9" ht="14.5" thickBot="1">
      <c r="A47" s="8" t="s">
        <v>40</v>
      </c>
      <c r="B47" s="9">
        <v>-67111</v>
      </c>
      <c r="C47" s="9">
        <v>-76307</v>
      </c>
      <c r="D47" s="9">
        <v>-90914</v>
      </c>
      <c r="E47" s="9">
        <v>-114166</v>
      </c>
      <c r="F47" s="9">
        <v>-131258</v>
      </c>
      <c r="G47" s="9">
        <v>-149910</v>
      </c>
      <c r="H47" s="9">
        <v>-174184</v>
      </c>
      <c r="I47" s="9">
        <v>-210941</v>
      </c>
    </row>
    <row r="48" spans="1:9" ht="14.5" thickBot="1">
      <c r="A48" s="6" t="s">
        <v>43</v>
      </c>
      <c r="B48" s="11"/>
      <c r="C48" s="11"/>
      <c r="D48" s="11"/>
      <c r="E48" s="11"/>
      <c r="F48" s="11"/>
      <c r="G48" s="11"/>
      <c r="H48" s="11"/>
      <c r="I48" s="11"/>
    </row>
    <row r="49" spans="1:9" ht="14.5" thickBot="1">
      <c r="A49" s="8" t="s">
        <v>44</v>
      </c>
      <c r="B49" s="10"/>
      <c r="C49" s="10"/>
      <c r="D49" s="10"/>
      <c r="E49" s="10"/>
      <c r="F49" s="10"/>
      <c r="G49" s="10"/>
      <c r="H49" s="10"/>
      <c r="I49" s="10"/>
    </row>
    <row r="50" spans="1:9" ht="14.5" thickBot="1">
      <c r="A50" s="8" t="s">
        <v>45</v>
      </c>
      <c r="B50" s="10"/>
      <c r="C50" s="10"/>
      <c r="D50" s="10"/>
      <c r="E50" s="10"/>
      <c r="F50" s="10"/>
      <c r="G50" s="10"/>
      <c r="H50" s="10"/>
      <c r="I50" s="10"/>
    </row>
    <row r="51" spans="1:9" ht="14.5" thickBot="1">
      <c r="A51" s="6" t="s">
        <v>46</v>
      </c>
      <c r="B51" s="7">
        <v>346374</v>
      </c>
      <c r="C51" s="7">
        <v>698506</v>
      </c>
      <c r="D51" s="7">
        <v>760955</v>
      </c>
      <c r="E51" s="7">
        <v>66118</v>
      </c>
      <c r="F51" s="7">
        <v>33176</v>
      </c>
      <c r="G51" s="7">
        <v>88190</v>
      </c>
      <c r="H51" s="7">
        <v>601166</v>
      </c>
      <c r="I51" s="7">
        <v>678242</v>
      </c>
    </row>
    <row r="52" spans="1:9" ht="14.5" thickBot="1">
      <c r="A52" s="8" t="s">
        <v>47</v>
      </c>
      <c r="B52" s="10"/>
      <c r="C52" s="10"/>
      <c r="D52" s="10"/>
      <c r="E52" s="10"/>
      <c r="F52" s="10"/>
      <c r="G52" s="10"/>
      <c r="H52" s="10"/>
      <c r="I52" s="10"/>
    </row>
    <row r="53" spans="1:9" ht="14.5" thickBot="1">
      <c r="A53" s="8" t="s">
        <v>48</v>
      </c>
      <c r="B53" s="9">
        <v>346374</v>
      </c>
      <c r="C53" s="9">
        <v>698506</v>
      </c>
      <c r="D53" s="9">
        <v>760955</v>
      </c>
      <c r="E53" s="9">
        <v>66118</v>
      </c>
      <c r="F53" s="9">
        <v>33176</v>
      </c>
      <c r="G53" s="9">
        <v>88190</v>
      </c>
      <c r="H53" s="9">
        <v>601166</v>
      </c>
      <c r="I53" s="9">
        <v>678242</v>
      </c>
    </row>
    <row r="54" spans="1:9" ht="14.5" thickBot="1">
      <c r="A54" s="6" t="s">
        <v>49</v>
      </c>
      <c r="B54" s="11"/>
      <c r="C54" s="11"/>
      <c r="D54" s="11"/>
      <c r="E54" s="11"/>
      <c r="F54" s="11"/>
      <c r="G54" s="11"/>
      <c r="H54" s="11"/>
      <c r="I54" s="11"/>
    </row>
    <row r="55" spans="1:9" ht="14.5" thickBot="1">
      <c r="A55" s="8" t="s">
        <v>50</v>
      </c>
      <c r="B55" s="10"/>
      <c r="C55" s="10"/>
      <c r="D55" s="10"/>
      <c r="E55" s="10"/>
      <c r="F55" s="10"/>
      <c r="G55" s="10"/>
      <c r="H55" s="10"/>
      <c r="I55" s="10"/>
    </row>
    <row r="56" spans="1:9" ht="14.5" thickBot="1">
      <c r="A56" s="8" t="s">
        <v>51</v>
      </c>
      <c r="B56" s="10"/>
      <c r="C56" s="10"/>
      <c r="D56" s="10"/>
      <c r="E56" s="10"/>
      <c r="F56" s="10"/>
      <c r="G56" s="10"/>
      <c r="H56" s="10"/>
      <c r="I56" s="10"/>
    </row>
    <row r="57" spans="1:9" ht="14.5" thickBot="1">
      <c r="A57" s="8" t="s">
        <v>52</v>
      </c>
      <c r="B57" s="10"/>
      <c r="C57" s="10"/>
      <c r="D57" s="10"/>
      <c r="E57" s="10"/>
      <c r="F57" s="10"/>
      <c r="G57" s="10"/>
      <c r="H57" s="10"/>
      <c r="I57" s="10"/>
    </row>
    <row r="58" spans="1:9" ht="14.5" thickBot="1">
      <c r="A58" s="8" t="s">
        <v>53</v>
      </c>
      <c r="B58" s="10"/>
      <c r="C58" s="10"/>
      <c r="D58" s="10"/>
      <c r="E58" s="10"/>
      <c r="F58" s="10"/>
      <c r="G58" s="10"/>
      <c r="H58" s="10"/>
      <c r="I58" s="10"/>
    </row>
    <row r="59" spans="1:9" ht="14.5" thickBot="1">
      <c r="A59" s="8" t="s">
        <v>54</v>
      </c>
      <c r="B59" s="10"/>
      <c r="C59" s="10"/>
      <c r="D59" s="10"/>
      <c r="E59" s="10"/>
      <c r="F59" s="10"/>
      <c r="G59" s="10"/>
      <c r="H59" s="10"/>
      <c r="I59" s="10"/>
    </row>
    <row r="60" spans="1:9" ht="14.5" thickBot="1">
      <c r="A60" s="8" t="s">
        <v>55</v>
      </c>
      <c r="B60" s="10"/>
      <c r="C60" s="10"/>
      <c r="D60" s="10"/>
      <c r="E60" s="10"/>
      <c r="F60" s="10"/>
      <c r="G60" s="10"/>
      <c r="H60" s="10"/>
      <c r="I60" s="10"/>
    </row>
    <row r="61" spans="1:9" ht="14.5" thickBot="1">
      <c r="A61" s="6" t="s">
        <v>56</v>
      </c>
      <c r="B61" s="7">
        <v>29445</v>
      </c>
      <c r="C61" s="7">
        <v>36412</v>
      </c>
      <c r="D61" s="7">
        <v>22902</v>
      </c>
      <c r="E61" s="7">
        <v>324085</v>
      </c>
      <c r="F61" s="7">
        <v>302645</v>
      </c>
      <c r="G61" s="7">
        <v>45106</v>
      </c>
      <c r="H61" s="7">
        <v>260113</v>
      </c>
      <c r="I61" s="7">
        <v>342316</v>
      </c>
    </row>
    <row r="62" spans="1:9" ht="14.5" thickBot="1">
      <c r="A62" s="8" t="s">
        <v>57</v>
      </c>
      <c r="B62" s="9">
        <v>27929</v>
      </c>
      <c r="C62" s="9">
        <v>29244</v>
      </c>
      <c r="D62" s="9">
        <v>17259</v>
      </c>
      <c r="E62" s="9">
        <v>310559</v>
      </c>
      <c r="F62" s="9">
        <v>294351</v>
      </c>
      <c r="G62" s="9">
        <v>35010</v>
      </c>
      <c r="H62" s="9" t="s">
        <v>299</v>
      </c>
      <c r="I62" s="9">
        <v>249055</v>
      </c>
    </row>
    <row r="63" spans="1:9" ht="14.5" thickBot="1">
      <c r="A63" s="8" t="s">
        <v>58</v>
      </c>
      <c r="B63" s="9">
        <v>1516</v>
      </c>
      <c r="C63" s="9">
        <v>7169</v>
      </c>
      <c r="D63" s="9">
        <v>5643</v>
      </c>
      <c r="E63" s="9">
        <v>13527</v>
      </c>
      <c r="F63" s="9">
        <v>8294</v>
      </c>
      <c r="G63" s="9">
        <v>10096</v>
      </c>
      <c r="H63" s="9">
        <v>78473</v>
      </c>
      <c r="I63" s="9">
        <v>93261</v>
      </c>
    </row>
    <row r="64" spans="1:9" ht="14.5" thickBot="1">
      <c r="A64" s="8" t="s">
        <v>59</v>
      </c>
      <c r="B64" s="10"/>
      <c r="C64" s="10"/>
      <c r="D64" s="10"/>
      <c r="E64" s="10"/>
      <c r="F64" s="10"/>
      <c r="G64" s="10"/>
      <c r="H64" s="10"/>
      <c r="I64" s="10"/>
    </row>
    <row r="65" spans="1:9" ht="14.5" thickBot="1">
      <c r="A65" s="8" t="s">
        <v>60</v>
      </c>
      <c r="B65" s="10"/>
      <c r="C65" s="10"/>
      <c r="D65" s="10"/>
      <c r="E65" s="10"/>
      <c r="F65" s="10"/>
      <c r="G65" s="10"/>
      <c r="H65" s="10"/>
      <c r="I65" s="10"/>
    </row>
    <row r="66" spans="1:9" ht="14.5" thickBot="1">
      <c r="A66" s="6" t="s">
        <v>61</v>
      </c>
      <c r="B66" s="11"/>
      <c r="C66" s="11"/>
      <c r="D66" s="11"/>
      <c r="E66" s="11"/>
      <c r="F66" s="11"/>
      <c r="G66" s="11"/>
      <c r="H66" s="11"/>
      <c r="I66" s="11"/>
    </row>
    <row r="67" spans="1:9" ht="14.5" thickBot="1">
      <c r="A67" s="3" t="s">
        <v>62</v>
      </c>
      <c r="B67" s="5">
        <v>11030586</v>
      </c>
      <c r="C67" s="5">
        <v>10172595</v>
      </c>
      <c r="D67" s="5">
        <v>8717481</v>
      </c>
      <c r="E67" s="5">
        <v>11072121</v>
      </c>
      <c r="F67" s="5">
        <v>14166861</v>
      </c>
      <c r="G67" s="5">
        <v>15237966</v>
      </c>
      <c r="H67" s="5">
        <v>15728847</v>
      </c>
      <c r="I67" s="5">
        <v>17643638</v>
      </c>
    </row>
    <row r="68" spans="1:9" ht="14.5" thickBot="1">
      <c r="A68" s="3" t="s">
        <v>63</v>
      </c>
      <c r="B68" s="4"/>
      <c r="C68" s="4"/>
      <c r="D68" s="4"/>
      <c r="E68" s="4"/>
      <c r="F68" s="4"/>
      <c r="G68" s="4"/>
      <c r="H68" s="4"/>
      <c r="I68" s="4"/>
    </row>
    <row r="69" spans="1:9" ht="14.5" thickBot="1">
      <c r="A69" s="3" t="s">
        <v>64</v>
      </c>
      <c r="B69" s="5">
        <v>4761714</v>
      </c>
      <c r="C69" s="5">
        <v>4066268</v>
      </c>
      <c r="D69" s="5">
        <v>2391033</v>
      </c>
      <c r="E69" s="5">
        <v>3594024</v>
      </c>
      <c r="F69" s="5">
        <v>3561412</v>
      </c>
      <c r="G69" s="5">
        <v>5274583</v>
      </c>
      <c r="H69" s="5">
        <v>5551671</v>
      </c>
      <c r="I69" s="5">
        <v>6849276</v>
      </c>
    </row>
    <row r="70" spans="1:9" ht="14.5" thickBot="1">
      <c r="A70" s="6" t="s">
        <v>65</v>
      </c>
      <c r="B70" s="7">
        <v>3096936</v>
      </c>
      <c r="C70" s="7">
        <v>3299998</v>
      </c>
      <c r="D70" s="7">
        <v>2050152</v>
      </c>
      <c r="E70" s="7">
        <v>3186611</v>
      </c>
      <c r="F70" s="7">
        <v>2874436</v>
      </c>
      <c r="G70" s="7">
        <v>4517258</v>
      </c>
      <c r="H70" s="7">
        <v>4680730</v>
      </c>
      <c r="I70" s="7">
        <v>5935262</v>
      </c>
    </row>
    <row r="71" spans="1:9" ht="14.5" thickBot="1">
      <c r="A71" s="8" t="s">
        <v>66</v>
      </c>
      <c r="B71" s="9">
        <v>760187</v>
      </c>
      <c r="C71" s="9">
        <v>879302</v>
      </c>
      <c r="D71" s="9">
        <v>709127</v>
      </c>
      <c r="E71" s="9">
        <v>794797</v>
      </c>
      <c r="F71" s="9">
        <v>1028476</v>
      </c>
      <c r="G71" s="9">
        <v>1989283</v>
      </c>
      <c r="H71" s="9">
        <v>1611511</v>
      </c>
      <c r="I71" s="9">
        <v>1765886</v>
      </c>
    </row>
    <row r="72" spans="1:9" ht="14.5" thickBot="1">
      <c r="A72" s="8" t="s">
        <v>67</v>
      </c>
      <c r="B72" s="9">
        <v>139371</v>
      </c>
      <c r="C72" s="9">
        <v>45098</v>
      </c>
      <c r="D72" s="9">
        <v>118183</v>
      </c>
      <c r="E72" s="9">
        <v>285547</v>
      </c>
      <c r="F72" s="9">
        <v>106451</v>
      </c>
      <c r="G72" s="9">
        <v>23308</v>
      </c>
      <c r="H72" s="9">
        <v>233212</v>
      </c>
      <c r="I72" s="9">
        <v>697167</v>
      </c>
    </row>
    <row r="73" spans="1:9" ht="14.5" thickBot="1">
      <c r="A73" s="8" t="s">
        <v>68</v>
      </c>
      <c r="B73" s="9">
        <v>34084</v>
      </c>
      <c r="C73" s="9">
        <v>22412</v>
      </c>
      <c r="D73" s="9">
        <v>31067</v>
      </c>
      <c r="E73" s="9">
        <v>94738</v>
      </c>
      <c r="F73" s="9">
        <v>71484</v>
      </c>
      <c r="G73" s="9">
        <v>74088</v>
      </c>
      <c r="H73" s="9">
        <v>50532</v>
      </c>
      <c r="I73" s="9">
        <v>80751</v>
      </c>
    </row>
    <row r="74" spans="1:9" ht="14.5" thickBot="1">
      <c r="A74" s="8" t="s">
        <v>69</v>
      </c>
      <c r="B74" s="9">
        <v>24338</v>
      </c>
      <c r="C74" s="9">
        <v>94837</v>
      </c>
      <c r="D74" s="9">
        <v>98041</v>
      </c>
      <c r="E74" s="9">
        <v>187589</v>
      </c>
      <c r="F74" s="9">
        <v>136581</v>
      </c>
      <c r="G74" s="9">
        <v>150052</v>
      </c>
      <c r="H74" s="9">
        <v>168883</v>
      </c>
      <c r="I74" s="9">
        <v>329644</v>
      </c>
    </row>
    <row r="75" spans="1:9" ht="14.5" thickBot="1">
      <c r="A75" s="8" t="s">
        <v>70</v>
      </c>
      <c r="B75" s="9">
        <v>669747</v>
      </c>
      <c r="C75" s="9">
        <v>794188</v>
      </c>
      <c r="D75" s="9">
        <v>126023</v>
      </c>
      <c r="E75" s="9">
        <v>553157</v>
      </c>
      <c r="F75" s="9">
        <v>238922</v>
      </c>
      <c r="G75" s="9">
        <v>444104</v>
      </c>
      <c r="H75" s="9">
        <v>466158</v>
      </c>
      <c r="I75" s="9">
        <v>443237</v>
      </c>
    </row>
    <row r="76" spans="1:9" ht="14.5" thickBot="1">
      <c r="A76" s="8" t="s">
        <v>71</v>
      </c>
      <c r="B76" s="10"/>
      <c r="C76" s="10"/>
      <c r="D76" s="10"/>
      <c r="E76" s="10"/>
      <c r="F76" s="10"/>
      <c r="G76" s="10"/>
      <c r="H76" s="10"/>
      <c r="I76" s="10"/>
    </row>
    <row r="77" spans="1:9" ht="14.5" thickBot="1">
      <c r="A77" s="8" t="s">
        <v>72</v>
      </c>
      <c r="B77" s="10"/>
      <c r="C77" s="10"/>
      <c r="D77" s="10"/>
      <c r="E77" s="10"/>
      <c r="F77" s="10"/>
      <c r="G77" s="10"/>
      <c r="H77" s="10"/>
      <c r="I77" s="10"/>
    </row>
    <row r="78" spans="1:9" ht="14.5" thickBot="1">
      <c r="A78" s="8" t="s">
        <v>73</v>
      </c>
      <c r="B78" s="10"/>
      <c r="C78" s="10"/>
      <c r="D78" s="10"/>
      <c r="E78" s="10"/>
      <c r="F78" s="10"/>
      <c r="G78" s="10"/>
      <c r="H78" s="10"/>
      <c r="I78" s="10"/>
    </row>
    <row r="79" spans="1:9" ht="14.5" thickBot="1">
      <c r="A79" s="8" t="s">
        <v>74</v>
      </c>
      <c r="B79" s="9">
        <v>231678</v>
      </c>
      <c r="C79" s="9">
        <v>203311</v>
      </c>
      <c r="D79" s="9">
        <v>127382</v>
      </c>
      <c r="E79" s="9">
        <v>386498</v>
      </c>
      <c r="F79" s="9">
        <v>304137</v>
      </c>
      <c r="G79" s="9">
        <v>65902</v>
      </c>
      <c r="H79" s="9">
        <v>64017</v>
      </c>
      <c r="I79" s="9">
        <v>102443</v>
      </c>
    </row>
    <row r="80" spans="1:9" ht="14.5" thickBot="1">
      <c r="A80" s="8" t="s">
        <v>75</v>
      </c>
      <c r="B80" s="9">
        <v>1195945</v>
      </c>
      <c r="C80" s="9">
        <v>1156372</v>
      </c>
      <c r="D80" s="9">
        <v>685407</v>
      </c>
      <c r="E80" s="9">
        <v>689163</v>
      </c>
      <c r="F80" s="9">
        <v>2559</v>
      </c>
      <c r="G80" s="9">
        <v>845806</v>
      </c>
      <c r="H80" s="9">
        <v>1229228</v>
      </c>
      <c r="I80" s="9">
        <v>2225616</v>
      </c>
    </row>
    <row r="81" spans="1:9" ht="14.5" thickBot="1">
      <c r="A81" s="8" t="s">
        <v>76</v>
      </c>
      <c r="B81" s="10"/>
      <c r="C81" s="10">
        <v>119</v>
      </c>
      <c r="D81" s="10"/>
      <c r="E81" s="10"/>
      <c r="F81" s="9">
        <v>679261</v>
      </c>
      <c r="G81" s="9">
        <v>588969</v>
      </c>
      <c r="H81" s="9">
        <v>616681</v>
      </c>
      <c r="I81" s="9">
        <v>535</v>
      </c>
    </row>
    <row r="82" spans="1:9" ht="14.5" thickBot="1">
      <c r="A82" s="8" t="s">
        <v>77</v>
      </c>
      <c r="B82" s="9">
        <v>41586</v>
      </c>
      <c r="C82" s="9">
        <v>104358</v>
      </c>
      <c r="D82" s="9">
        <v>154922</v>
      </c>
      <c r="E82" s="9">
        <v>195121</v>
      </c>
      <c r="F82" s="9">
        <v>306565</v>
      </c>
      <c r="G82" s="9">
        <v>335746</v>
      </c>
      <c r="H82" s="9">
        <v>240509</v>
      </c>
      <c r="I82" s="9">
        <v>289984</v>
      </c>
    </row>
    <row r="83" spans="1:9" ht="14.5" thickBot="1">
      <c r="A83" s="8" t="s">
        <v>78</v>
      </c>
      <c r="B83" s="10"/>
      <c r="C83" s="10"/>
      <c r="D83" s="10"/>
      <c r="E83" s="10"/>
      <c r="F83" s="10"/>
      <c r="G83" s="10"/>
      <c r="H83" s="10"/>
      <c r="I83" s="10"/>
    </row>
    <row r="84" spans="1:9" ht="14.5" thickBot="1">
      <c r="A84" s="8" t="s">
        <v>79</v>
      </c>
      <c r="B84" s="10"/>
      <c r="C84" s="10"/>
      <c r="D84" s="10"/>
      <c r="E84" s="10"/>
      <c r="F84" s="10"/>
      <c r="G84" s="10"/>
      <c r="H84" s="10"/>
      <c r="I84" s="10"/>
    </row>
    <row r="85" spans="1:9" ht="14.5" thickBot="1">
      <c r="A85" s="6" t="s">
        <v>80</v>
      </c>
      <c r="B85" s="7">
        <v>1664778</v>
      </c>
      <c r="C85" s="7">
        <v>766270</v>
      </c>
      <c r="D85" s="7">
        <v>340881</v>
      </c>
      <c r="E85" s="7">
        <v>407414</v>
      </c>
      <c r="F85" s="7">
        <v>686976</v>
      </c>
      <c r="G85" s="7">
        <v>757325</v>
      </c>
      <c r="H85" s="7">
        <v>870941</v>
      </c>
      <c r="I85" s="7">
        <v>914014</v>
      </c>
    </row>
    <row r="86" spans="1:9" ht="14.5" thickBot="1">
      <c r="A86" s="8" t="s">
        <v>81</v>
      </c>
      <c r="B86" s="10"/>
      <c r="C86" s="10"/>
      <c r="D86" s="10"/>
      <c r="E86" s="10"/>
      <c r="F86" s="10"/>
      <c r="G86" s="10"/>
      <c r="H86" s="10"/>
      <c r="I86" s="10"/>
    </row>
    <row r="87" spans="1:9" ht="14.5" thickBot="1">
      <c r="A87" s="8" t="s">
        <v>82</v>
      </c>
      <c r="B87" s="10"/>
      <c r="C87" s="10"/>
      <c r="D87" s="10"/>
      <c r="E87" s="10"/>
      <c r="F87" s="10"/>
      <c r="G87" s="10"/>
      <c r="H87" s="10"/>
      <c r="I87" s="10"/>
    </row>
    <row r="88" spans="1:9" ht="14.5" thickBot="1">
      <c r="A88" s="8" t="s">
        <v>83</v>
      </c>
      <c r="B88" s="10"/>
      <c r="C88" s="10"/>
      <c r="D88" s="10"/>
      <c r="E88" s="10"/>
      <c r="F88" s="10"/>
      <c r="G88" s="10"/>
      <c r="H88" s="10"/>
      <c r="I88" s="10"/>
    </row>
    <row r="89" spans="1:9" ht="14.5" thickBot="1">
      <c r="A89" s="8" t="s">
        <v>84</v>
      </c>
      <c r="B89" s="10"/>
      <c r="C89" s="10"/>
      <c r="D89" s="10"/>
      <c r="E89" s="10"/>
      <c r="F89" s="10"/>
      <c r="G89" s="10"/>
      <c r="H89" s="10"/>
      <c r="I89" s="10"/>
    </row>
    <row r="90" spans="1:9" ht="14.5" thickBot="1">
      <c r="A90" s="8" t="s">
        <v>85</v>
      </c>
      <c r="B90" s="10"/>
      <c r="C90" s="10"/>
      <c r="D90" s="10"/>
      <c r="E90" s="10"/>
      <c r="F90" s="10"/>
      <c r="G90" s="10"/>
      <c r="H90" s="10"/>
      <c r="I90" s="10"/>
    </row>
    <row r="91" spans="1:9" ht="14.5" thickBot="1">
      <c r="A91" s="8" t="s">
        <v>86</v>
      </c>
      <c r="B91" s="10"/>
      <c r="C91" s="10"/>
      <c r="D91" s="10"/>
      <c r="E91" s="10"/>
      <c r="F91" s="10"/>
      <c r="G91" s="10"/>
      <c r="H91" s="10"/>
      <c r="I91" s="10"/>
    </row>
    <row r="92" spans="1:9" ht="14.5" thickBot="1">
      <c r="A92" s="8" t="s">
        <v>87</v>
      </c>
      <c r="B92" s="10"/>
      <c r="C92" s="10"/>
      <c r="D92" s="10"/>
      <c r="E92" s="10"/>
      <c r="F92" s="10"/>
      <c r="G92" s="10"/>
      <c r="H92" s="10"/>
      <c r="I92" s="10"/>
    </row>
    <row r="93" spans="1:9" ht="14.5" thickBot="1">
      <c r="A93" s="8" t="s">
        <v>88</v>
      </c>
      <c r="B93" s="9">
        <v>1508270</v>
      </c>
      <c r="C93" s="9">
        <v>628472</v>
      </c>
      <c r="D93" s="9">
        <v>137062</v>
      </c>
      <c r="E93" s="9">
        <v>2676</v>
      </c>
      <c r="F93" s="9">
        <v>1048</v>
      </c>
      <c r="G93" s="9">
        <v>2964</v>
      </c>
      <c r="H93" s="9">
        <v>119527</v>
      </c>
      <c r="I93" s="9">
        <v>56801</v>
      </c>
    </row>
    <row r="94" spans="1:9" ht="14.5" thickBot="1">
      <c r="A94" s="8" t="s">
        <v>89</v>
      </c>
      <c r="B94" s="10"/>
      <c r="C94" s="10"/>
      <c r="D94" s="10"/>
      <c r="E94" s="10"/>
      <c r="F94" s="10"/>
      <c r="G94" s="10"/>
      <c r="H94" s="10"/>
      <c r="I94" s="10"/>
    </row>
    <row r="95" spans="1:9" ht="14.5" thickBot="1">
      <c r="A95" s="8" t="s">
        <v>90</v>
      </c>
      <c r="B95" s="10"/>
      <c r="C95" s="10"/>
      <c r="D95" s="10"/>
      <c r="E95" s="10"/>
      <c r="F95" s="10"/>
      <c r="G95" s="10"/>
      <c r="H95" s="10"/>
      <c r="I95" s="10"/>
    </row>
    <row r="96" spans="1:9" ht="14.5" thickBot="1">
      <c r="A96" s="8" t="s">
        <v>91</v>
      </c>
      <c r="B96" s="10"/>
      <c r="C96" s="10"/>
      <c r="D96" s="10"/>
      <c r="E96" s="10"/>
      <c r="F96" s="10"/>
      <c r="G96" s="10"/>
      <c r="H96" s="10"/>
      <c r="I96" s="10"/>
    </row>
    <row r="97" spans="1:9" ht="14.5" thickBot="1">
      <c r="A97" s="8" t="s">
        <v>92</v>
      </c>
      <c r="B97" s="10"/>
      <c r="C97" s="10"/>
      <c r="D97" s="10"/>
      <c r="E97" s="10"/>
      <c r="F97" s="10"/>
      <c r="G97" s="10"/>
      <c r="H97" s="10"/>
      <c r="I97" s="10"/>
    </row>
    <row r="98" spans="1:9" ht="14.5" thickBot="1">
      <c r="A98" s="8" t="s">
        <v>93</v>
      </c>
      <c r="B98" s="9">
        <v>156508</v>
      </c>
      <c r="C98" s="9">
        <v>137797</v>
      </c>
      <c r="D98" s="9">
        <v>203819</v>
      </c>
      <c r="E98" s="9">
        <v>404737</v>
      </c>
      <c r="F98" s="9">
        <v>685927</v>
      </c>
      <c r="G98" s="9">
        <v>754361</v>
      </c>
      <c r="H98" s="9">
        <v>751413</v>
      </c>
      <c r="I98" s="9">
        <v>857213</v>
      </c>
    </row>
    <row r="99" spans="1:9" ht="14.5" thickBot="1">
      <c r="A99" s="8" t="s">
        <v>94</v>
      </c>
      <c r="B99" s="10"/>
      <c r="C99" s="10"/>
      <c r="D99" s="10"/>
      <c r="E99" s="10"/>
      <c r="F99" s="10"/>
      <c r="G99" s="10"/>
      <c r="H99" s="10"/>
      <c r="I99" s="10"/>
    </row>
    <row r="100" spans="1:9" ht="14.5" thickBot="1">
      <c r="A100" s="3" t="s">
        <v>95</v>
      </c>
      <c r="B100" s="5">
        <v>6268872</v>
      </c>
      <c r="C100" s="5">
        <v>6106327</v>
      </c>
      <c r="D100" s="5">
        <v>6326448</v>
      </c>
      <c r="E100" s="5">
        <v>7478097</v>
      </c>
      <c r="F100" s="5">
        <v>10605449</v>
      </c>
      <c r="G100" s="5">
        <v>9963383</v>
      </c>
      <c r="H100" s="5">
        <v>10177177</v>
      </c>
      <c r="I100" s="5">
        <v>10794362</v>
      </c>
    </row>
    <row r="101" spans="1:9" ht="14.5" thickBot="1">
      <c r="A101" s="6" t="s">
        <v>96</v>
      </c>
      <c r="B101" s="7">
        <v>6268872</v>
      </c>
      <c r="C101" s="7">
        <v>6106327</v>
      </c>
      <c r="D101" s="7">
        <v>6326448</v>
      </c>
      <c r="E101" s="7">
        <v>7478097</v>
      </c>
      <c r="F101" s="7">
        <v>10605449</v>
      </c>
      <c r="G101" s="7">
        <v>9963383</v>
      </c>
      <c r="H101" s="7">
        <v>10177177</v>
      </c>
      <c r="I101" s="7">
        <v>10794362</v>
      </c>
    </row>
    <row r="102" spans="1:9" ht="14.5" thickBot="1">
      <c r="A102" s="8" t="s">
        <v>97</v>
      </c>
      <c r="B102" s="9">
        <v>5294000</v>
      </c>
      <c r="C102" s="9">
        <v>5294000</v>
      </c>
      <c r="D102" s="9">
        <v>5294000</v>
      </c>
      <c r="E102" s="9">
        <v>5294000</v>
      </c>
      <c r="F102" s="9">
        <v>5294000</v>
      </c>
      <c r="G102" s="9">
        <v>5294000</v>
      </c>
      <c r="H102" s="9">
        <v>5294000</v>
      </c>
      <c r="I102" s="9">
        <v>5294000</v>
      </c>
    </row>
    <row r="103" spans="1:9" ht="14.5" thickBot="1">
      <c r="A103" s="8" t="s">
        <v>98</v>
      </c>
      <c r="B103" s="9">
        <v>5294000</v>
      </c>
      <c r="C103" s="9">
        <v>5294000</v>
      </c>
      <c r="D103" s="9">
        <v>5294000</v>
      </c>
      <c r="E103" s="9">
        <v>5294000</v>
      </c>
      <c r="F103" s="9">
        <v>5294000</v>
      </c>
      <c r="G103" s="9">
        <v>5294000</v>
      </c>
      <c r="H103" s="9">
        <v>5294000</v>
      </c>
      <c r="I103" s="9">
        <v>5294000</v>
      </c>
    </row>
    <row r="104" spans="1:9" ht="14.5" thickBot="1">
      <c r="A104" s="8" t="s">
        <v>99</v>
      </c>
      <c r="B104" s="10"/>
      <c r="C104" s="10"/>
      <c r="D104" s="10"/>
      <c r="E104" s="10"/>
      <c r="F104" s="10"/>
      <c r="G104" s="10"/>
      <c r="H104" s="10"/>
      <c r="I104" s="10"/>
    </row>
    <row r="105" spans="1:9" ht="14.5" thickBot="1">
      <c r="A105" s="8" t="s">
        <v>100</v>
      </c>
      <c r="B105" s="10"/>
      <c r="C105" s="10"/>
      <c r="D105" s="10"/>
      <c r="E105" s="10"/>
      <c r="F105" s="10"/>
      <c r="G105" s="10"/>
      <c r="H105" s="10"/>
      <c r="I105" s="10"/>
    </row>
    <row r="106" spans="1:9" ht="14.5" thickBot="1">
      <c r="A106" s="8" t="s">
        <v>101</v>
      </c>
      <c r="B106" s="10"/>
      <c r="C106" s="10"/>
      <c r="D106" s="10"/>
      <c r="E106" s="10"/>
      <c r="F106" s="10"/>
      <c r="G106" s="10"/>
      <c r="H106" s="10"/>
      <c r="I106" s="10"/>
    </row>
    <row r="107" spans="1:9" ht="14.5" thickBot="1">
      <c r="A107" s="8" t="s">
        <v>102</v>
      </c>
      <c r="B107" s="9">
        <v>2499</v>
      </c>
      <c r="C107" s="9">
        <v>3665</v>
      </c>
      <c r="D107" s="9">
        <v>3665</v>
      </c>
      <c r="E107" s="9">
        <v>3665</v>
      </c>
      <c r="F107" s="9">
        <v>3665</v>
      </c>
      <c r="G107" s="9">
        <v>3665</v>
      </c>
      <c r="H107" s="9">
        <v>3665</v>
      </c>
      <c r="I107" s="9">
        <v>3665</v>
      </c>
    </row>
    <row r="108" spans="1:9" ht="14.5" thickBot="1">
      <c r="A108" s="8" t="s">
        <v>103</v>
      </c>
      <c r="B108" s="10"/>
      <c r="C108" s="10"/>
      <c r="D108" s="10"/>
      <c r="E108" s="10"/>
      <c r="F108" s="10"/>
      <c r="G108" s="10"/>
      <c r="H108" s="10"/>
      <c r="I108" s="10"/>
    </row>
    <row r="109" spans="1:9" ht="14.5" thickBot="1">
      <c r="A109" s="8" t="s">
        <v>104</v>
      </c>
      <c r="B109" s="10"/>
      <c r="C109" s="10"/>
      <c r="D109" s="10"/>
      <c r="E109" s="10"/>
      <c r="F109" s="10"/>
      <c r="G109" s="10"/>
      <c r="H109" s="10"/>
      <c r="I109" s="10"/>
    </row>
    <row r="110" spans="1:9" ht="14.5" thickBot="1">
      <c r="A110" s="8" t="s">
        <v>105</v>
      </c>
      <c r="B110" s="10"/>
      <c r="C110" s="10"/>
      <c r="D110" s="10"/>
      <c r="E110" s="10"/>
      <c r="F110" s="10"/>
      <c r="G110" s="10"/>
      <c r="H110" s="10"/>
      <c r="I110" s="10"/>
    </row>
    <row r="111" spans="1:9" ht="14.5" thickBot="1">
      <c r="A111" s="8" t="s">
        <v>106</v>
      </c>
      <c r="B111" s="9">
        <v>317733</v>
      </c>
      <c r="C111" s="9">
        <v>352538</v>
      </c>
      <c r="D111" s="9">
        <v>418967</v>
      </c>
      <c r="E111" s="9">
        <v>965858</v>
      </c>
      <c r="F111" s="9">
        <v>2260185</v>
      </c>
      <c r="G111" s="9">
        <v>2593275</v>
      </c>
      <c r="H111" s="9">
        <v>2964212</v>
      </c>
      <c r="I111" s="9">
        <v>3553277</v>
      </c>
    </row>
    <row r="112" spans="1:9" ht="14.5" thickBot="1">
      <c r="A112" s="8" t="s">
        <v>107</v>
      </c>
      <c r="B112" s="10"/>
      <c r="C112" s="10"/>
      <c r="D112" s="10"/>
      <c r="E112" s="10"/>
      <c r="F112" s="10"/>
      <c r="G112" s="10"/>
      <c r="H112" s="10"/>
      <c r="I112" s="10"/>
    </row>
    <row r="113" spans="1:9" ht="14.5" thickBot="1">
      <c r="A113" s="8" t="s">
        <v>108</v>
      </c>
      <c r="B113" s="10"/>
      <c r="C113" s="10"/>
      <c r="D113" s="10"/>
      <c r="E113" s="10"/>
      <c r="F113" s="10"/>
      <c r="G113" s="10"/>
      <c r="H113" s="10"/>
      <c r="I113" s="10"/>
    </row>
    <row r="114" spans="1:9" ht="14.5" thickBot="1">
      <c r="A114" s="8" t="s">
        <v>109</v>
      </c>
      <c r="B114" s="9">
        <v>626042</v>
      </c>
      <c r="C114" s="9">
        <v>428846</v>
      </c>
      <c r="D114" s="9">
        <v>583467</v>
      </c>
      <c r="E114" s="9">
        <v>1187985</v>
      </c>
      <c r="F114" s="9">
        <v>3018455</v>
      </c>
      <c r="G114" s="9">
        <v>2044851</v>
      </c>
      <c r="H114" s="9">
        <v>1882513</v>
      </c>
      <c r="I114" s="9">
        <v>1911971</v>
      </c>
    </row>
    <row r="115" spans="1:9" ht="14.5" thickBot="1">
      <c r="A115" s="8" t="s">
        <v>110</v>
      </c>
      <c r="B115" s="9">
        <v>114025</v>
      </c>
      <c r="C115" s="9">
        <v>146210</v>
      </c>
      <c r="D115" s="9">
        <v>110779</v>
      </c>
      <c r="E115" s="9">
        <v>106429</v>
      </c>
      <c r="F115" s="9">
        <v>234726</v>
      </c>
      <c r="G115" s="9">
        <v>1425163</v>
      </c>
      <c r="H115" s="9">
        <v>984148</v>
      </c>
      <c r="I115" s="9">
        <v>804066</v>
      </c>
    </row>
    <row r="116" spans="1:9" ht="14.5" thickBot="1">
      <c r="A116" s="8" t="s">
        <v>111</v>
      </c>
      <c r="B116" s="9">
        <v>512017</v>
      </c>
      <c r="C116" s="9">
        <v>282636</v>
      </c>
      <c r="D116" s="9">
        <v>472689</v>
      </c>
      <c r="E116" s="9">
        <v>1081556</v>
      </c>
      <c r="F116" s="9">
        <v>2783729</v>
      </c>
      <c r="G116" s="9">
        <v>619688</v>
      </c>
      <c r="H116" s="9">
        <v>898365</v>
      </c>
      <c r="I116" s="9">
        <v>1107905</v>
      </c>
    </row>
    <row r="117" spans="1:9" ht="14.5" thickBot="1">
      <c r="A117" s="8" t="s">
        <v>112</v>
      </c>
      <c r="B117" s="10"/>
      <c r="C117" s="10"/>
      <c r="D117" s="10"/>
      <c r="E117" s="10"/>
      <c r="F117" s="10"/>
      <c r="G117" s="10"/>
      <c r="H117" s="10"/>
      <c r="I117" s="10"/>
    </row>
    <row r="118" spans="1:9" ht="14.5" thickBot="1">
      <c r="A118" s="8" t="s">
        <v>113</v>
      </c>
      <c r="B118" s="9">
        <v>28598</v>
      </c>
      <c r="C118" s="9">
        <v>27278</v>
      </c>
      <c r="D118" s="9">
        <v>26347</v>
      </c>
      <c r="E118" s="9">
        <v>26588</v>
      </c>
      <c r="F118" s="9">
        <v>29143</v>
      </c>
      <c r="G118" s="9">
        <v>27591</v>
      </c>
      <c r="H118" s="9">
        <v>32786</v>
      </c>
      <c r="I118" s="9">
        <v>31449</v>
      </c>
    </row>
    <row r="119" spans="1:9" ht="14.5" thickBot="1">
      <c r="A119" s="8" t="s">
        <v>114</v>
      </c>
      <c r="B119" s="10"/>
      <c r="C119" s="10"/>
      <c r="D119" s="10"/>
      <c r="E119" s="10"/>
      <c r="F119" s="10"/>
      <c r="G119" s="10"/>
      <c r="H119" s="10"/>
      <c r="I119" s="10"/>
    </row>
    <row r="120" spans="1:9" ht="14.5" thickBot="1">
      <c r="A120" s="6" t="s">
        <v>115</v>
      </c>
      <c r="B120" s="11"/>
      <c r="C120" s="11"/>
      <c r="D120" s="11"/>
      <c r="E120" s="11"/>
      <c r="F120" s="11"/>
      <c r="G120" s="11"/>
      <c r="H120" s="11"/>
      <c r="I120" s="11"/>
    </row>
    <row r="121" spans="1:9" ht="14.5" thickBot="1">
      <c r="A121" s="8" t="s">
        <v>116</v>
      </c>
      <c r="B121" s="10"/>
      <c r="C121" s="10"/>
      <c r="D121" s="10"/>
      <c r="E121" s="10"/>
      <c r="F121" s="10"/>
      <c r="G121" s="10"/>
      <c r="H121" s="10"/>
      <c r="I121" s="10"/>
    </row>
    <row r="122" spans="1:9" ht="14.5" thickBot="1">
      <c r="A122" s="8" t="s">
        <v>117</v>
      </c>
      <c r="B122" s="10"/>
      <c r="C122" s="10"/>
      <c r="D122" s="10"/>
      <c r="E122" s="10"/>
      <c r="F122" s="10"/>
      <c r="G122" s="10"/>
      <c r="H122" s="10"/>
      <c r="I122" s="10"/>
    </row>
    <row r="123" spans="1:9" ht="14.5" thickBot="1">
      <c r="A123" s="3" t="s">
        <v>118</v>
      </c>
      <c r="B123" s="4"/>
      <c r="C123" s="4"/>
      <c r="D123" s="4"/>
      <c r="E123" s="4"/>
      <c r="F123" s="4"/>
      <c r="G123" s="4"/>
      <c r="H123" s="4"/>
      <c r="I123" s="4"/>
    </row>
    <row r="124" spans="1:9">
      <c r="A124" s="3" t="s">
        <v>119</v>
      </c>
      <c r="B124" s="5">
        <v>11030586</v>
      </c>
      <c r="C124" s="5">
        <v>10172595</v>
      </c>
      <c r="D124" s="5">
        <v>8717481</v>
      </c>
      <c r="E124" s="5">
        <v>11072121</v>
      </c>
      <c r="F124" s="5">
        <v>14166861</v>
      </c>
      <c r="G124" s="5">
        <v>15237966</v>
      </c>
      <c r="H124" s="5">
        <v>15728847</v>
      </c>
      <c r="I124" s="5">
        <v>17643638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19313-D3C7-41D4-BAF5-8B505FE08FC0}">
  <dimension ref="A1:I25"/>
  <sheetViews>
    <sheetView topLeftCell="A4" workbookViewId="0">
      <selection activeCell="H28" sqref="H28"/>
    </sheetView>
  </sheetViews>
  <sheetFormatPr defaultColWidth="8.75" defaultRowHeight="14"/>
  <cols>
    <col min="1" max="1" width="50.5" style="12" customWidth="1"/>
    <col min="2" max="4" width="9.5" style="12" bestFit="1" customWidth="1"/>
    <col min="5" max="6" width="10.5" style="12" bestFit="1" customWidth="1"/>
    <col min="7" max="7" width="10.6640625" style="12" bestFit="1" customWidth="1"/>
    <col min="8" max="9" width="10.6640625" style="12" customWidth="1"/>
    <col min="10" max="16384" width="8.75" style="12"/>
  </cols>
  <sheetData>
    <row r="1" spans="1:9" ht="14.5" thickBot="1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</row>
    <row r="2" spans="1:9" ht="14.5" thickBot="1">
      <c r="A2" s="6" t="s">
        <v>120</v>
      </c>
      <c r="B2" s="7">
        <v>6827334</v>
      </c>
      <c r="C2" s="7">
        <v>7176575</v>
      </c>
      <c r="D2" s="7">
        <v>7716890</v>
      </c>
      <c r="E2" s="7">
        <v>10088157</v>
      </c>
      <c r="F2" s="7">
        <v>16380040</v>
      </c>
      <c r="G2" s="7">
        <v>12949489</v>
      </c>
      <c r="H2" s="7">
        <v>13942548</v>
      </c>
      <c r="I2" s="7">
        <v>17223063</v>
      </c>
    </row>
    <row r="3" spans="1:9" ht="14.5" thickBot="1">
      <c r="A3" s="8" t="s">
        <v>121</v>
      </c>
      <c r="B3" s="9">
        <v>138005</v>
      </c>
      <c r="C3" s="9">
        <v>133609</v>
      </c>
      <c r="D3" s="9">
        <v>155615</v>
      </c>
      <c r="E3" s="9">
        <v>218394</v>
      </c>
      <c r="F3" s="9">
        <v>455513</v>
      </c>
      <c r="G3" s="9">
        <v>378947</v>
      </c>
      <c r="H3" s="9">
        <v>486963</v>
      </c>
      <c r="I3" s="9">
        <v>592133</v>
      </c>
    </row>
    <row r="4" spans="1:9" ht="14.5" thickBot="1">
      <c r="A4" s="6" t="s">
        <v>122</v>
      </c>
      <c r="B4" s="7">
        <v>6689329</v>
      </c>
      <c r="C4" s="7">
        <v>7042967</v>
      </c>
      <c r="D4" s="7">
        <v>7561275</v>
      </c>
      <c r="E4" s="7">
        <v>9869763</v>
      </c>
      <c r="F4" s="7">
        <v>15924527</v>
      </c>
      <c r="G4" s="7">
        <v>12570542</v>
      </c>
      <c r="H4" s="7">
        <v>13455585</v>
      </c>
      <c r="I4" s="7">
        <v>16630930</v>
      </c>
    </row>
    <row r="5" spans="1:9" ht="14.5" thickBot="1">
      <c r="A5" s="8" t="s">
        <v>123</v>
      </c>
      <c r="B5" s="9">
        <v>5252270</v>
      </c>
      <c r="C5" s="9">
        <v>6083775</v>
      </c>
      <c r="D5" s="9">
        <v>6244427</v>
      </c>
      <c r="E5" s="9">
        <v>7088826</v>
      </c>
      <c r="F5" s="9">
        <v>10221097</v>
      </c>
      <c r="G5" s="9">
        <v>10538742</v>
      </c>
      <c r="H5" s="9">
        <v>10942101</v>
      </c>
      <c r="I5" s="9">
        <v>12582273</v>
      </c>
    </row>
    <row r="6" spans="1:9" ht="14.5" thickBot="1">
      <c r="A6" s="6" t="s">
        <v>124</v>
      </c>
      <c r="B6" s="7">
        <v>1437058</v>
      </c>
      <c r="C6" s="7">
        <v>959192</v>
      </c>
      <c r="D6" s="7">
        <v>1316848</v>
      </c>
      <c r="E6" s="7">
        <v>2780937</v>
      </c>
      <c r="F6" s="7">
        <v>5703429</v>
      </c>
      <c r="G6" s="7">
        <v>2031800</v>
      </c>
      <c r="H6" s="7">
        <v>2513484</v>
      </c>
      <c r="I6" s="7">
        <v>4048657</v>
      </c>
    </row>
    <row r="7" spans="1:9" ht="14.5" thickBot="1">
      <c r="A7" s="8" t="s">
        <v>125</v>
      </c>
      <c r="B7" s="9">
        <v>176153</v>
      </c>
      <c r="C7" s="9">
        <v>127016</v>
      </c>
      <c r="D7" s="9">
        <v>128317</v>
      </c>
      <c r="E7" s="9">
        <v>167532</v>
      </c>
      <c r="F7" s="9">
        <v>301008</v>
      </c>
      <c r="G7" s="9">
        <v>577088</v>
      </c>
      <c r="H7" s="9">
        <v>381804</v>
      </c>
      <c r="I7" s="9">
        <v>394908</v>
      </c>
    </row>
    <row r="8" spans="1:9" ht="14.5" thickBot="1">
      <c r="A8" s="8" t="s">
        <v>126</v>
      </c>
      <c r="B8" s="9">
        <v>260130</v>
      </c>
      <c r="C8" s="9">
        <v>102753</v>
      </c>
      <c r="D8" s="9">
        <v>63235</v>
      </c>
      <c r="E8" s="9">
        <v>45073</v>
      </c>
      <c r="F8" s="9">
        <v>60402</v>
      </c>
      <c r="G8" s="9">
        <v>27372</v>
      </c>
      <c r="H8" s="9">
        <v>76569</v>
      </c>
      <c r="I8" s="9">
        <v>97431</v>
      </c>
    </row>
    <row r="9" spans="1:9" ht="14.5" thickBot="1">
      <c r="A9" s="8" t="s">
        <v>127</v>
      </c>
      <c r="B9" s="9">
        <v>142053</v>
      </c>
      <c r="C9" s="9">
        <v>87173</v>
      </c>
      <c r="D9" s="9">
        <v>43301</v>
      </c>
      <c r="E9" s="9">
        <v>18580</v>
      </c>
      <c r="F9" s="9">
        <v>10275</v>
      </c>
      <c r="G9" s="9">
        <v>10156</v>
      </c>
      <c r="H9" s="9">
        <v>44381</v>
      </c>
      <c r="I9" s="9">
        <v>70405</v>
      </c>
    </row>
    <row r="10" spans="1:9" ht="14.5" thickBot="1">
      <c r="A10" s="8" t="s">
        <v>128</v>
      </c>
      <c r="B10" s="10"/>
      <c r="C10" s="10"/>
      <c r="D10" s="10"/>
      <c r="E10" s="10"/>
      <c r="F10" s="10"/>
      <c r="G10" s="10"/>
      <c r="H10" s="10"/>
      <c r="I10" s="10"/>
    </row>
    <row r="11" spans="1:9" ht="14.5" thickBot="1">
      <c r="A11" s="8" t="s">
        <v>129</v>
      </c>
      <c r="B11" s="9">
        <v>336115</v>
      </c>
      <c r="C11" s="9">
        <v>364059</v>
      </c>
      <c r="D11" s="9">
        <v>369000</v>
      </c>
      <c r="E11" s="9">
        <v>420401</v>
      </c>
      <c r="F11" s="9">
        <v>698295</v>
      </c>
      <c r="G11" s="9">
        <v>800631</v>
      </c>
      <c r="H11" s="9">
        <v>1014370</v>
      </c>
      <c r="I11" s="9">
        <v>1175972</v>
      </c>
    </row>
    <row r="12" spans="1:9" ht="14.5" thickBot="1">
      <c r="A12" s="8" t="s">
        <v>130</v>
      </c>
      <c r="B12" s="9">
        <v>320103</v>
      </c>
      <c r="C12" s="9">
        <v>201319</v>
      </c>
      <c r="D12" s="9">
        <v>304407</v>
      </c>
      <c r="E12" s="9">
        <v>528492</v>
      </c>
      <c r="F12" s="9">
        <v>652594</v>
      </c>
      <c r="G12" s="9">
        <v>548557</v>
      </c>
      <c r="H12" s="9">
        <v>481047</v>
      </c>
      <c r="I12" s="9">
        <v>967951</v>
      </c>
    </row>
    <row r="13" spans="1:9" ht="14.5" thickBot="1">
      <c r="A13" s="6" t="s">
        <v>131</v>
      </c>
      <c r="B13" s="7">
        <v>696863</v>
      </c>
      <c r="C13" s="7">
        <v>418077</v>
      </c>
      <c r="D13" s="7">
        <v>708523</v>
      </c>
      <c r="E13" s="7">
        <v>1954503</v>
      </c>
      <c r="F13" s="7">
        <v>4593146</v>
      </c>
      <c r="G13" s="7">
        <v>1232327</v>
      </c>
      <c r="H13" s="7">
        <v>1323302</v>
      </c>
      <c r="I13" s="7">
        <v>2202212</v>
      </c>
    </row>
    <row r="14" spans="1:9" ht="14.5" thickBot="1">
      <c r="A14" s="8" t="s">
        <v>132</v>
      </c>
      <c r="B14" s="9">
        <v>14254</v>
      </c>
      <c r="C14" s="9">
        <v>48483</v>
      </c>
      <c r="D14" s="9">
        <v>10735</v>
      </c>
      <c r="E14" s="9">
        <v>4371</v>
      </c>
      <c r="F14" s="9">
        <v>15226</v>
      </c>
      <c r="G14" s="9">
        <v>24752</v>
      </c>
      <c r="H14" s="9">
        <v>199877</v>
      </c>
      <c r="I14" s="9" t="s">
        <v>300</v>
      </c>
    </row>
    <row r="15" spans="1:9" ht="14.5" thickBot="1">
      <c r="A15" s="8" t="s">
        <v>133</v>
      </c>
      <c r="B15" s="9">
        <v>4918</v>
      </c>
      <c r="C15" s="9">
        <v>3472</v>
      </c>
      <c r="D15" s="9">
        <v>2725</v>
      </c>
      <c r="E15" s="9">
        <v>2604</v>
      </c>
      <c r="F15" s="9">
        <v>12059</v>
      </c>
      <c r="G15" s="9">
        <v>2269</v>
      </c>
      <c r="H15" s="9">
        <v>1116</v>
      </c>
      <c r="I15" s="9">
        <v>1816</v>
      </c>
    </row>
    <row r="16" spans="1:9" ht="14.5" thickBot="1">
      <c r="A16" s="6" t="s">
        <v>134</v>
      </c>
      <c r="B16" s="7">
        <v>9336</v>
      </c>
      <c r="C16" s="7">
        <v>45011</v>
      </c>
      <c r="D16" s="7">
        <v>8011</v>
      </c>
      <c r="E16" s="7">
        <v>1767</v>
      </c>
      <c r="F16" s="7">
        <v>3166</v>
      </c>
      <c r="G16" s="7">
        <v>22482</v>
      </c>
      <c r="H16" s="7">
        <v>198761</v>
      </c>
      <c r="I16" s="7">
        <v>5223</v>
      </c>
    </row>
    <row r="17" spans="1:9" ht="14.5" thickBot="1">
      <c r="A17" s="6" t="s">
        <v>135</v>
      </c>
      <c r="B17" s="11"/>
      <c r="C17" s="11"/>
      <c r="D17" s="11"/>
      <c r="E17" s="11"/>
      <c r="F17" s="11"/>
      <c r="G17" s="11"/>
      <c r="H17" s="11"/>
      <c r="I17" s="11"/>
    </row>
    <row r="18" spans="1:9" ht="14.5" thickBot="1">
      <c r="A18" s="6" t="s">
        <v>136</v>
      </c>
      <c r="B18" s="7">
        <v>706199</v>
      </c>
      <c r="C18" s="7">
        <v>463088</v>
      </c>
      <c r="D18" s="7">
        <v>716534</v>
      </c>
      <c r="E18" s="7">
        <v>1956270</v>
      </c>
      <c r="F18" s="7">
        <v>4596313</v>
      </c>
      <c r="G18" s="7">
        <v>1254810</v>
      </c>
      <c r="H18" s="7">
        <v>1522063</v>
      </c>
      <c r="I18" s="7">
        <v>2207435</v>
      </c>
    </row>
    <row r="19" spans="1:9" ht="14.5" thickBot="1">
      <c r="A19" s="8" t="s">
        <v>137</v>
      </c>
      <c r="B19" s="9">
        <v>45721</v>
      </c>
      <c r="C19" s="9">
        <v>41018</v>
      </c>
      <c r="D19" s="9">
        <v>52562</v>
      </c>
      <c r="E19" s="9">
        <v>138029</v>
      </c>
      <c r="F19" s="9">
        <v>269999</v>
      </c>
      <c r="G19" s="9">
        <v>146469</v>
      </c>
      <c r="H19" s="9">
        <v>99848</v>
      </c>
      <c r="I19" s="9">
        <v>260385</v>
      </c>
    </row>
    <row r="20" spans="1:9" ht="14.5" thickBot="1">
      <c r="A20" s="8" t="s">
        <v>138</v>
      </c>
      <c r="B20" s="9">
        <v>1418</v>
      </c>
      <c r="C20" s="9">
        <v>-5653</v>
      </c>
      <c r="D20" s="9">
        <v>1526</v>
      </c>
      <c r="E20" s="9">
        <v>-7884</v>
      </c>
      <c r="F20" s="9">
        <v>5233</v>
      </c>
      <c r="G20" s="9">
        <v>-1802</v>
      </c>
      <c r="H20" s="9">
        <v>-5791</v>
      </c>
      <c r="I20" s="9">
        <v>-14788</v>
      </c>
    </row>
    <row r="21" spans="1:9" ht="14.5" thickBot="1">
      <c r="A21" s="6" t="s">
        <v>139</v>
      </c>
      <c r="B21" s="7">
        <v>659059</v>
      </c>
      <c r="C21" s="7">
        <v>427724</v>
      </c>
      <c r="D21" s="7">
        <v>662446</v>
      </c>
      <c r="E21" s="7">
        <v>1826124</v>
      </c>
      <c r="F21" s="7">
        <v>4321081</v>
      </c>
      <c r="G21" s="7">
        <v>1110143</v>
      </c>
      <c r="H21" s="7">
        <v>1428007</v>
      </c>
      <c r="I21" s="7">
        <v>1961838</v>
      </c>
    </row>
    <row r="22" spans="1:9" ht="14.5" thickBot="1">
      <c r="A22" s="8" t="s">
        <v>140</v>
      </c>
      <c r="B22" s="9">
        <v>2914</v>
      </c>
      <c r="C22" s="9">
        <v>1548</v>
      </c>
      <c r="D22" s="9">
        <v>1400</v>
      </c>
      <c r="E22" s="9">
        <v>2665</v>
      </c>
      <c r="F22" s="9">
        <v>5127</v>
      </c>
      <c r="G22" s="9">
        <v>1250</v>
      </c>
      <c r="H22" s="9">
        <v>8349</v>
      </c>
      <c r="I22" s="9">
        <v>2025</v>
      </c>
    </row>
    <row r="23" spans="1:9" ht="14.5" thickBot="1">
      <c r="A23" s="8" t="s">
        <v>141</v>
      </c>
      <c r="B23" s="9">
        <v>656145</v>
      </c>
      <c r="C23" s="9">
        <v>426175</v>
      </c>
      <c r="D23" s="9">
        <v>661046</v>
      </c>
      <c r="E23" s="9">
        <v>1823459</v>
      </c>
      <c r="F23" s="9">
        <v>4315953</v>
      </c>
      <c r="G23" s="9">
        <v>1108893</v>
      </c>
      <c r="H23" s="9">
        <v>1419658</v>
      </c>
      <c r="I23" s="9">
        <v>1959812</v>
      </c>
    </row>
    <row r="24" spans="1:9" ht="14.5" thickBot="1">
      <c r="A24" s="8" t="s">
        <v>142</v>
      </c>
      <c r="B24" s="9">
        <v>1114</v>
      </c>
      <c r="C24" s="10">
        <v>595</v>
      </c>
      <c r="D24" s="9">
        <v>1017</v>
      </c>
      <c r="E24" s="9">
        <v>3073</v>
      </c>
      <c r="F24" s="9">
        <v>7701</v>
      </c>
      <c r="G24" s="9">
        <v>1797</v>
      </c>
      <c r="H24" s="9">
        <v>2394</v>
      </c>
      <c r="I24" s="9">
        <v>3203</v>
      </c>
    </row>
    <row r="25" spans="1:9">
      <c r="A25" s="8" t="s">
        <v>143</v>
      </c>
      <c r="B25" s="10"/>
      <c r="C25" s="10"/>
      <c r="D25" s="10"/>
      <c r="E25" s="9">
        <v>3073</v>
      </c>
      <c r="F25" s="10"/>
      <c r="G25" s="10"/>
      <c r="H25" s="10"/>
      <c r="I25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20C46-5F75-4BCF-B9D1-2DA2E367C059}">
  <dimension ref="A1:I51"/>
  <sheetViews>
    <sheetView topLeftCell="A37" zoomScale="90" zoomScaleNormal="90" workbookViewId="0">
      <selection activeCell="J50" sqref="J50"/>
    </sheetView>
  </sheetViews>
  <sheetFormatPr defaultColWidth="8.75" defaultRowHeight="14"/>
  <cols>
    <col min="1" max="1" width="90" style="12" customWidth="1"/>
    <col min="2" max="5" width="10.1640625" style="12" bestFit="1" customWidth="1"/>
    <col min="6" max="6" width="11.25" style="12" bestFit="1" customWidth="1"/>
    <col min="7" max="9" width="11.25" style="12" customWidth="1"/>
    <col min="10" max="16384" width="8.75" style="12"/>
  </cols>
  <sheetData>
    <row r="1" spans="1:9" ht="14.5" thickBot="1">
      <c r="A1" s="1" t="s">
        <v>144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</row>
    <row r="2" spans="1:9" ht="14.5" thickBot="1">
      <c r="A2" s="6" t="s">
        <v>145</v>
      </c>
      <c r="B2" s="7">
        <v>285772</v>
      </c>
      <c r="C2" s="7">
        <v>471173</v>
      </c>
      <c r="D2" s="7">
        <v>509995</v>
      </c>
      <c r="E2" s="7">
        <v>427653</v>
      </c>
      <c r="F2" s="7">
        <v>2125625</v>
      </c>
      <c r="G2" s="7">
        <v>2284400</v>
      </c>
      <c r="H2" s="7">
        <v>1903248</v>
      </c>
      <c r="I2" s="7">
        <v>3590268</v>
      </c>
    </row>
    <row r="3" spans="1:9" ht="14.5" thickBot="1">
      <c r="A3" s="6" t="s">
        <v>146</v>
      </c>
      <c r="B3" s="11"/>
      <c r="C3" s="11"/>
      <c r="D3" s="11"/>
      <c r="E3" s="11"/>
      <c r="F3" s="11"/>
      <c r="G3" s="11"/>
      <c r="H3" s="11"/>
      <c r="I3" s="11"/>
    </row>
    <row r="4" spans="1:9" ht="14.5" thickBot="1">
      <c r="A4" s="6" t="s">
        <v>147</v>
      </c>
      <c r="B4" s="7">
        <v>706199</v>
      </c>
      <c r="C4" s="7">
        <v>463088</v>
      </c>
      <c r="D4" s="7">
        <v>716534</v>
      </c>
      <c r="E4" s="7">
        <v>1956270</v>
      </c>
      <c r="F4" s="7">
        <v>4596313</v>
      </c>
      <c r="G4" s="7">
        <v>1254810</v>
      </c>
      <c r="H4" s="7">
        <v>1522063</v>
      </c>
      <c r="I4" s="7">
        <v>2207435</v>
      </c>
    </row>
    <row r="5" spans="1:9" ht="14.5" thickBot="1">
      <c r="A5" s="6" t="s">
        <v>148</v>
      </c>
      <c r="B5" s="11"/>
      <c r="C5" s="11"/>
      <c r="D5" s="11"/>
      <c r="E5" s="11"/>
      <c r="F5" s="11"/>
      <c r="G5" s="11"/>
      <c r="H5" s="11"/>
      <c r="I5" s="11"/>
    </row>
    <row r="6" spans="1:9" ht="14.5" thickBot="1">
      <c r="A6" s="8" t="s">
        <v>149</v>
      </c>
      <c r="B6" s="9">
        <v>1303376</v>
      </c>
      <c r="C6" s="9">
        <v>1318841</v>
      </c>
      <c r="D6" s="9">
        <v>1318152</v>
      </c>
      <c r="E6" s="9">
        <v>1385811</v>
      </c>
      <c r="F6" s="9">
        <v>1398029</v>
      </c>
      <c r="G6" s="9">
        <v>1083381</v>
      </c>
      <c r="H6" s="9">
        <v>268081</v>
      </c>
      <c r="I6" s="9">
        <v>342065</v>
      </c>
    </row>
    <row r="7" spans="1:9" ht="14.5" thickBot="1">
      <c r="A7" s="8" t="s">
        <v>150</v>
      </c>
      <c r="B7" s="10"/>
      <c r="C7" s="9">
        <v>8918</v>
      </c>
      <c r="D7" s="9">
        <v>-8482</v>
      </c>
      <c r="E7" s="9">
        <v>37053</v>
      </c>
      <c r="F7" s="9">
        <v>822620</v>
      </c>
      <c r="G7" s="9">
        <v>-212576</v>
      </c>
      <c r="H7" s="9">
        <v>9477</v>
      </c>
      <c r="I7" s="9">
        <v>-576885</v>
      </c>
    </row>
    <row r="8" spans="1:9" ht="14.5" thickBot="1">
      <c r="A8" s="8" t="s">
        <v>151</v>
      </c>
      <c r="B8" s="9">
        <v>49850</v>
      </c>
      <c r="C8" s="9">
        <v>-2435</v>
      </c>
      <c r="D8" s="9">
        <v>-1535</v>
      </c>
      <c r="E8" s="9">
        <v>-7009</v>
      </c>
      <c r="F8" s="9">
        <v>9327</v>
      </c>
      <c r="G8" s="9">
        <v>-43610</v>
      </c>
      <c r="H8" s="9" t="s">
        <v>301</v>
      </c>
      <c r="I8" s="9">
        <v>2478</v>
      </c>
    </row>
    <row r="9" spans="1:9" ht="14.5" thickBot="1">
      <c r="A9" s="8" t="s">
        <v>152</v>
      </c>
      <c r="B9" s="9">
        <v>-158476</v>
      </c>
      <c r="C9" s="9">
        <v>-117700</v>
      </c>
      <c r="D9" s="9">
        <v>-111928</v>
      </c>
      <c r="E9" s="9">
        <v>-130836</v>
      </c>
      <c r="F9" s="9">
        <v>-265290</v>
      </c>
      <c r="G9" s="9">
        <v>-518475</v>
      </c>
      <c r="H9" s="9">
        <v>-451859</v>
      </c>
      <c r="I9" s="9">
        <v>-288398</v>
      </c>
    </row>
    <row r="10" spans="1:9" ht="14.5" thickBot="1">
      <c r="A10" s="8" t="s">
        <v>153</v>
      </c>
      <c r="B10" s="9">
        <v>142053</v>
      </c>
      <c r="C10" s="9">
        <v>87173</v>
      </c>
      <c r="D10" s="9">
        <v>43301</v>
      </c>
      <c r="E10" s="9">
        <v>18580</v>
      </c>
      <c r="F10" s="9">
        <v>10275</v>
      </c>
      <c r="G10" s="9">
        <v>10156</v>
      </c>
      <c r="H10" s="9">
        <v>44381</v>
      </c>
      <c r="I10" s="9">
        <v>70405</v>
      </c>
    </row>
    <row r="11" spans="1:9" ht="14.5" thickBot="1">
      <c r="A11" s="8" t="s">
        <v>154</v>
      </c>
      <c r="B11" s="10"/>
      <c r="C11" s="10"/>
      <c r="D11" s="10"/>
      <c r="E11" s="10"/>
      <c r="F11" s="10"/>
      <c r="G11" s="10"/>
      <c r="H11" s="10"/>
      <c r="I11" s="10"/>
    </row>
    <row r="12" spans="1:9" ht="14.5" thickBot="1">
      <c r="A12" s="8" t="s">
        <v>155</v>
      </c>
      <c r="B12" s="9">
        <v>71306</v>
      </c>
      <c r="C12" s="10"/>
      <c r="D12" s="10"/>
      <c r="E12" s="10"/>
      <c r="F12" s="10"/>
      <c r="G12" s="10"/>
      <c r="H12" s="10"/>
      <c r="I12" s="10"/>
    </row>
    <row r="13" spans="1:9" ht="14.5" thickBot="1">
      <c r="A13" s="8" t="s">
        <v>156</v>
      </c>
      <c r="B13" s="10"/>
      <c r="C13" s="10"/>
      <c r="D13" s="10"/>
      <c r="E13" s="10"/>
      <c r="F13" s="10"/>
      <c r="G13" s="10"/>
      <c r="H13" s="10"/>
      <c r="I13" s="10"/>
    </row>
    <row r="14" spans="1:9" ht="14.5" thickBot="1">
      <c r="A14" s="8" t="s">
        <v>157</v>
      </c>
      <c r="B14" s="10"/>
      <c r="C14" s="10"/>
      <c r="D14" s="9">
        <v>79425</v>
      </c>
      <c r="E14" s="9">
        <v>216728</v>
      </c>
      <c r="F14" s="9">
        <v>318817</v>
      </c>
      <c r="G14" s="9">
        <v>108886</v>
      </c>
      <c r="H14" s="9">
        <v>40508</v>
      </c>
      <c r="I14" s="9">
        <v>187993</v>
      </c>
    </row>
    <row r="15" spans="1:9" ht="14.5" thickBot="1">
      <c r="A15" s="6" t="s">
        <v>158</v>
      </c>
      <c r="B15" s="7">
        <v>2114307</v>
      </c>
      <c r="C15" s="7">
        <v>1757884</v>
      </c>
      <c r="D15" s="7">
        <v>2035468</v>
      </c>
      <c r="E15" s="7">
        <v>3476598</v>
      </c>
      <c r="F15" s="7">
        <v>6890091</v>
      </c>
      <c r="G15" s="7">
        <v>1682571</v>
      </c>
      <c r="H15" s="7">
        <v>1435602</v>
      </c>
      <c r="I15" s="7">
        <v>1945094</v>
      </c>
    </row>
    <row r="16" spans="1:9" ht="14.5" thickBot="1">
      <c r="A16" s="8" t="s">
        <v>159</v>
      </c>
      <c r="B16" s="9">
        <v>-48477</v>
      </c>
      <c r="C16" s="9">
        <v>55144</v>
      </c>
      <c r="D16" s="9">
        <v>135340</v>
      </c>
      <c r="E16" s="9">
        <v>30361</v>
      </c>
      <c r="F16" s="9">
        <v>-50565</v>
      </c>
      <c r="G16" s="9">
        <v>-140256</v>
      </c>
      <c r="H16" s="9">
        <v>-40518</v>
      </c>
      <c r="I16" s="9">
        <v>-1139307</v>
      </c>
    </row>
    <row r="17" spans="1:9" ht="14.5" thickBot="1">
      <c r="A17" s="8" t="s">
        <v>160</v>
      </c>
      <c r="B17" s="9">
        <v>-611979</v>
      </c>
      <c r="C17" s="9">
        <v>-327196</v>
      </c>
      <c r="D17" s="9">
        <v>475407</v>
      </c>
      <c r="E17" s="9">
        <v>-1369647</v>
      </c>
      <c r="F17" s="9">
        <v>-217765</v>
      </c>
      <c r="G17" s="9">
        <v>229648</v>
      </c>
      <c r="H17" s="9">
        <v>-616691</v>
      </c>
      <c r="I17" s="9">
        <v>-1903155</v>
      </c>
    </row>
    <row r="18" spans="1:9" ht="14.5" thickBot="1">
      <c r="A18" s="8" t="s">
        <v>161</v>
      </c>
      <c r="B18" s="9">
        <v>411357</v>
      </c>
      <c r="C18" s="9">
        <v>93621</v>
      </c>
      <c r="D18" s="9">
        <v>-702525</v>
      </c>
      <c r="E18" s="9">
        <v>988217</v>
      </c>
      <c r="F18" s="9">
        <v>-413865</v>
      </c>
      <c r="G18" s="9">
        <v>875346</v>
      </c>
      <c r="H18" s="9" t="s">
        <v>302</v>
      </c>
      <c r="I18" s="9">
        <v>825659</v>
      </c>
    </row>
    <row r="19" spans="1:9" ht="14.5" thickBot="1">
      <c r="A19" s="8" t="s">
        <v>162</v>
      </c>
      <c r="B19" s="9">
        <v>-50958</v>
      </c>
      <c r="C19" s="9">
        <v>8943</v>
      </c>
      <c r="D19" s="9">
        <v>20815</v>
      </c>
      <c r="E19" s="9">
        <v>-283791</v>
      </c>
      <c r="F19" s="9">
        <v>-5626</v>
      </c>
      <c r="G19" s="9">
        <v>-1716</v>
      </c>
      <c r="H19" s="9">
        <v>-20966</v>
      </c>
      <c r="I19" s="9">
        <v>99861</v>
      </c>
    </row>
    <row r="20" spans="1:9" ht="14.5" thickBot="1">
      <c r="A20" s="8" t="s">
        <v>163</v>
      </c>
      <c r="B20" s="10"/>
      <c r="C20" s="10"/>
      <c r="D20" s="10"/>
      <c r="E20" s="10"/>
      <c r="F20" s="10"/>
      <c r="G20" s="10"/>
      <c r="H20" s="10"/>
      <c r="I20" s="10"/>
    </row>
    <row r="21" spans="1:9" ht="14.5" thickBot="1">
      <c r="A21" s="8" t="s">
        <v>164</v>
      </c>
      <c r="B21" s="9">
        <v>-174064</v>
      </c>
      <c r="C21" s="9">
        <v>-100442</v>
      </c>
      <c r="D21" s="9">
        <v>-57260</v>
      </c>
      <c r="E21" s="9">
        <v>-22321</v>
      </c>
      <c r="F21" s="9">
        <v>-11564</v>
      </c>
      <c r="G21" s="9">
        <v>-9755</v>
      </c>
      <c r="H21" s="9">
        <v>-40667</v>
      </c>
      <c r="I21" s="9">
        <v>-71328</v>
      </c>
    </row>
    <row r="22" spans="1:9" ht="14.5" thickBot="1">
      <c r="A22" s="8" t="s">
        <v>165</v>
      </c>
      <c r="B22" s="9">
        <v>-29470</v>
      </c>
      <c r="C22" s="9">
        <v>-52401</v>
      </c>
      <c r="D22" s="9">
        <v>-42054</v>
      </c>
      <c r="E22" s="9">
        <v>-78860</v>
      </c>
      <c r="F22" s="9">
        <v>-294531</v>
      </c>
      <c r="G22" s="9">
        <v>-153898</v>
      </c>
      <c r="H22" s="9" t="s">
        <v>303</v>
      </c>
      <c r="I22" s="9">
        <v>-222895</v>
      </c>
    </row>
    <row r="23" spans="1:9" ht="14.5" thickBot="1">
      <c r="A23" s="8" t="s">
        <v>166</v>
      </c>
      <c r="B23" s="10"/>
      <c r="C23" s="10">
        <v>3</v>
      </c>
      <c r="D23" s="10"/>
      <c r="E23" s="10"/>
      <c r="F23" s="10"/>
      <c r="G23" s="10"/>
      <c r="H23" s="10"/>
      <c r="I23" s="10"/>
    </row>
    <row r="24" spans="1:9" ht="14.5" thickBot="1">
      <c r="A24" s="8" t="s">
        <v>167</v>
      </c>
      <c r="B24" s="9">
        <v>-81717</v>
      </c>
      <c r="C24" s="9">
        <v>-64794</v>
      </c>
      <c r="D24" s="9">
        <v>-84561</v>
      </c>
      <c r="E24" s="9">
        <v>-171728</v>
      </c>
      <c r="F24" s="9">
        <v>-164565</v>
      </c>
      <c r="G24" s="9">
        <v>-168990</v>
      </c>
      <c r="H24" s="9">
        <v>-287601</v>
      </c>
      <c r="I24" s="9">
        <v>-309771</v>
      </c>
    </row>
    <row r="25" spans="1:9" ht="14.5" thickBot="1">
      <c r="A25" s="8" t="s">
        <v>168</v>
      </c>
      <c r="B25" s="9">
        <v>1529000</v>
      </c>
      <c r="C25" s="9">
        <v>1370763</v>
      </c>
      <c r="D25" s="9">
        <v>1780630</v>
      </c>
      <c r="E25" s="9">
        <v>2568828</v>
      </c>
      <c r="F25" s="9">
        <v>5731610</v>
      </c>
      <c r="G25" s="9">
        <v>2312950</v>
      </c>
      <c r="H25" s="9">
        <v>77549</v>
      </c>
      <c r="I25" s="9">
        <v>-775842</v>
      </c>
    </row>
    <row r="26" spans="1:9" ht="14.5" thickBot="1">
      <c r="A26" s="6" t="s">
        <v>169</v>
      </c>
      <c r="B26" s="11"/>
      <c r="C26" s="11"/>
      <c r="D26" s="11"/>
      <c r="E26" s="11"/>
      <c r="F26" s="11"/>
      <c r="G26" s="11"/>
      <c r="H26" s="11"/>
      <c r="I26" s="11"/>
    </row>
    <row r="27" spans="1:9" ht="14.5" thickBot="1">
      <c r="A27" s="8" t="s">
        <v>170</v>
      </c>
      <c r="B27" s="9">
        <v>-341454</v>
      </c>
      <c r="C27" s="9">
        <v>-414763</v>
      </c>
      <c r="D27" s="9">
        <v>-272862</v>
      </c>
      <c r="E27" s="9">
        <v>-156948</v>
      </c>
      <c r="F27" s="9">
        <v>-146931</v>
      </c>
      <c r="G27" s="9">
        <v>-544068</v>
      </c>
      <c r="H27" s="9" t="s">
        <v>304</v>
      </c>
      <c r="I27" s="9">
        <v>-694635</v>
      </c>
    </row>
    <row r="28" spans="1:9" ht="14.5" thickBot="1">
      <c r="A28" s="8" t="s">
        <v>171</v>
      </c>
      <c r="B28" s="10"/>
      <c r="C28" s="10"/>
      <c r="D28" s="10"/>
      <c r="E28" s="10"/>
      <c r="F28" s="9">
        <v>3141</v>
      </c>
      <c r="G28" s="10"/>
      <c r="H28" s="10">
        <v>4092</v>
      </c>
      <c r="I28" s="10">
        <v>1582</v>
      </c>
    </row>
    <row r="29" spans="1:9" ht="14.5" thickBot="1">
      <c r="A29" s="8" t="s">
        <v>172</v>
      </c>
      <c r="B29" s="9">
        <v>-5572000</v>
      </c>
      <c r="C29" s="9">
        <v>-3220000</v>
      </c>
      <c r="D29" s="9">
        <v>-3290000</v>
      </c>
      <c r="E29" s="9">
        <v>-6530000</v>
      </c>
      <c r="F29" s="9">
        <v>-12260000</v>
      </c>
      <c r="G29" s="9">
        <v>-13920000</v>
      </c>
      <c r="H29" s="9">
        <v>-13442051</v>
      </c>
      <c r="I29" s="9">
        <v>-11572000</v>
      </c>
    </row>
    <row r="30" spans="1:9" ht="14.5" thickBot="1">
      <c r="A30" s="8" t="s">
        <v>173</v>
      </c>
      <c r="B30" s="9">
        <v>5170000</v>
      </c>
      <c r="C30" s="9">
        <v>3720000</v>
      </c>
      <c r="D30" s="9">
        <v>2990000</v>
      </c>
      <c r="E30" s="9">
        <v>4470000</v>
      </c>
      <c r="F30" s="9">
        <v>9810000</v>
      </c>
      <c r="G30" s="9">
        <v>12490000</v>
      </c>
      <c r="H30" s="9">
        <v>14645000</v>
      </c>
      <c r="I30" s="9">
        <v>14529051</v>
      </c>
    </row>
    <row r="31" spans="1:9" ht="14.5" thickBot="1">
      <c r="A31" s="8" t="s">
        <v>174</v>
      </c>
      <c r="B31" s="10"/>
      <c r="C31" s="10"/>
      <c r="D31" s="10"/>
      <c r="E31" s="10"/>
      <c r="F31" s="10"/>
      <c r="G31" s="10"/>
      <c r="H31" s="10">
        <v>-598584</v>
      </c>
      <c r="I31" s="10">
        <v>-745</v>
      </c>
    </row>
    <row r="32" spans="1:9" ht="14.5" thickBot="1">
      <c r="A32" s="8" t="s">
        <v>175</v>
      </c>
      <c r="B32" s="10"/>
      <c r="C32" s="10"/>
      <c r="D32" s="10"/>
      <c r="E32" s="10"/>
      <c r="F32" s="10"/>
      <c r="G32" s="10"/>
      <c r="H32" s="10"/>
      <c r="I32" s="10"/>
    </row>
    <row r="33" spans="1:9" ht="14.5" thickBot="1">
      <c r="A33" s="8" t="s">
        <v>176</v>
      </c>
      <c r="B33" s="9">
        <v>162437</v>
      </c>
      <c r="C33" s="9">
        <v>124405</v>
      </c>
      <c r="D33" s="9">
        <v>111386</v>
      </c>
      <c r="E33" s="9">
        <v>114722</v>
      </c>
      <c r="F33" s="9">
        <v>209034</v>
      </c>
      <c r="G33" s="9">
        <v>504959</v>
      </c>
      <c r="H33" s="9">
        <v>323803</v>
      </c>
      <c r="I33" s="9" t="s">
        <v>305</v>
      </c>
    </row>
    <row r="34" spans="1:9" ht="14.5" thickBot="1">
      <c r="A34" s="8" t="s">
        <v>177</v>
      </c>
      <c r="B34" s="10"/>
      <c r="C34" s="10"/>
      <c r="D34" s="10"/>
      <c r="E34" s="10"/>
      <c r="F34" s="10"/>
      <c r="G34" s="10"/>
      <c r="H34" s="10"/>
      <c r="I34" s="10"/>
    </row>
    <row r="35" spans="1:9" ht="14.5" thickBot="1">
      <c r="A35" s="8" t="s">
        <v>178</v>
      </c>
      <c r="B35" s="10"/>
      <c r="C35" s="10"/>
      <c r="D35" s="10"/>
      <c r="E35" s="10"/>
      <c r="F35" s="10"/>
      <c r="G35" s="10"/>
      <c r="H35" s="10"/>
      <c r="I35" s="10"/>
    </row>
    <row r="36" spans="1:9" ht="14.5" thickBot="1">
      <c r="A36" s="8" t="s">
        <v>179</v>
      </c>
      <c r="B36" s="10"/>
      <c r="C36" s="10"/>
      <c r="D36" s="10"/>
      <c r="E36" s="10"/>
      <c r="F36" s="10"/>
      <c r="G36" s="10"/>
      <c r="H36" s="10"/>
      <c r="I36" s="10"/>
    </row>
    <row r="37" spans="1:9" ht="14.5" thickBot="1">
      <c r="A37" s="8" t="s">
        <v>180</v>
      </c>
      <c r="B37" s="10"/>
      <c r="C37" s="10"/>
      <c r="D37" s="10"/>
      <c r="E37" s="10"/>
      <c r="F37" s="10"/>
      <c r="G37" s="10"/>
      <c r="H37" s="10"/>
      <c r="I37" s="10"/>
    </row>
    <row r="38" spans="1:9" ht="14.5" thickBot="1">
      <c r="A38" s="8" t="s">
        <v>181</v>
      </c>
      <c r="B38" s="9">
        <v>-581017</v>
      </c>
      <c r="C38" s="9">
        <v>209642</v>
      </c>
      <c r="D38" s="9">
        <v>-461476</v>
      </c>
      <c r="E38" s="9">
        <v>-2102226</v>
      </c>
      <c r="F38" s="9">
        <v>-2384756</v>
      </c>
      <c r="G38" s="9">
        <v>-1469109</v>
      </c>
      <c r="H38" s="9" t="s">
        <v>306</v>
      </c>
      <c r="I38" s="9">
        <v>2590122</v>
      </c>
    </row>
    <row r="39" spans="1:9" ht="14.5" thickBot="1">
      <c r="A39" s="6" t="s">
        <v>182</v>
      </c>
      <c r="B39" s="11"/>
      <c r="C39" s="11"/>
      <c r="D39" s="11"/>
      <c r="E39" s="11"/>
      <c r="F39" s="11"/>
      <c r="G39" s="11"/>
      <c r="H39" s="11"/>
      <c r="I39" s="11"/>
    </row>
    <row r="40" spans="1:9" ht="14.5" thickBot="1">
      <c r="A40" s="8" t="s">
        <v>183</v>
      </c>
      <c r="B40" s="10"/>
      <c r="C40" s="10"/>
      <c r="D40" s="10"/>
      <c r="E40" s="10"/>
      <c r="F40" s="10"/>
      <c r="G40" s="10"/>
      <c r="H40" s="10"/>
      <c r="I40" s="10"/>
    </row>
    <row r="41" spans="1:9" ht="14.5" thickBot="1">
      <c r="A41" s="8" t="s">
        <v>184</v>
      </c>
      <c r="B41" s="10"/>
      <c r="C41" s="10"/>
      <c r="D41" s="10"/>
      <c r="E41" s="10"/>
      <c r="F41" s="10"/>
      <c r="G41" s="10"/>
      <c r="H41" s="10"/>
      <c r="I41" s="10"/>
    </row>
    <row r="42" spans="1:9" ht="14.5" thickBot="1">
      <c r="A42" s="8" t="s">
        <v>185</v>
      </c>
      <c r="B42" s="9">
        <v>543170</v>
      </c>
      <c r="C42" s="9">
        <v>1674819</v>
      </c>
      <c r="D42" s="9">
        <v>1722885</v>
      </c>
      <c r="E42" s="9">
        <v>1381262</v>
      </c>
      <c r="F42" s="9">
        <v>1392381</v>
      </c>
      <c r="G42" s="9">
        <v>1702632</v>
      </c>
      <c r="H42" s="9">
        <v>454726</v>
      </c>
      <c r="I42" s="9">
        <v>1775249</v>
      </c>
    </row>
    <row r="43" spans="1:9" ht="14.5" thickBot="1">
      <c r="A43" s="8" t="s">
        <v>186</v>
      </c>
      <c r="B43" s="9">
        <v>-2624917</v>
      </c>
      <c r="C43" s="9">
        <v>-2591523</v>
      </c>
      <c r="D43" s="9">
        <v>-2683436</v>
      </c>
      <c r="E43" s="9">
        <v>-1504931</v>
      </c>
      <c r="F43" s="9">
        <v>-2075186</v>
      </c>
      <c r="G43" s="9">
        <v>-866771</v>
      </c>
      <c r="H43" s="9" t="s">
        <v>307</v>
      </c>
      <c r="I43" s="9">
        <v>-841331</v>
      </c>
    </row>
    <row r="44" spans="1:9" ht="14.5" thickBot="1">
      <c r="A44" s="8" t="s">
        <v>187</v>
      </c>
      <c r="B44" s="10"/>
      <c r="C44" s="10"/>
      <c r="D44" s="10"/>
      <c r="E44" s="10"/>
      <c r="F44" s="10"/>
      <c r="G44" s="10"/>
      <c r="H44" s="10">
        <v>-2911</v>
      </c>
      <c r="I44" s="10">
        <v>-2371</v>
      </c>
    </row>
    <row r="45" spans="1:9" ht="14.5" thickBot="1">
      <c r="A45" s="8" t="s">
        <v>188</v>
      </c>
      <c r="B45" s="9">
        <v>-476515</v>
      </c>
      <c r="C45" s="9">
        <v>-478082</v>
      </c>
      <c r="D45" s="9">
        <v>-319486</v>
      </c>
      <c r="E45" s="9">
        <v>-425325</v>
      </c>
      <c r="F45" s="9">
        <v>-948281</v>
      </c>
      <c r="G45" s="9">
        <v>-1589883</v>
      </c>
      <c r="H45" s="9">
        <v>-1058906</v>
      </c>
      <c r="I45" s="9">
        <v>-1058953</v>
      </c>
    </row>
    <row r="46" spans="1:9" ht="14.5" thickBot="1">
      <c r="A46" s="8" t="s">
        <v>189</v>
      </c>
      <c r="B46" s="10"/>
      <c r="C46" s="10"/>
      <c r="D46" s="10"/>
      <c r="E46" s="10"/>
      <c r="F46" s="10"/>
      <c r="G46" s="10"/>
      <c r="H46" s="10"/>
      <c r="I46" s="10"/>
    </row>
    <row r="47" spans="1:9" ht="14.5" thickBot="1">
      <c r="A47" s="8" t="s">
        <v>190</v>
      </c>
      <c r="B47" s="10"/>
      <c r="C47" s="10"/>
      <c r="D47" s="10"/>
      <c r="E47" s="10"/>
      <c r="F47" s="10"/>
      <c r="G47" s="10"/>
      <c r="H47" s="10"/>
      <c r="I47" s="10"/>
    </row>
    <row r="48" spans="1:9" ht="14.5" thickBot="1">
      <c r="A48" s="8" t="s">
        <v>191</v>
      </c>
      <c r="B48" s="9">
        <v>-2558261</v>
      </c>
      <c r="C48" s="9">
        <v>-1394786</v>
      </c>
      <c r="D48" s="9">
        <v>-1280037</v>
      </c>
      <c r="E48" s="9">
        <v>-548993</v>
      </c>
      <c r="F48" s="9">
        <v>-1631086</v>
      </c>
      <c r="G48" s="9">
        <v>-754022</v>
      </c>
      <c r="H48" s="9">
        <v>-624761</v>
      </c>
      <c r="I48" s="9">
        <v>-127406</v>
      </c>
    </row>
    <row r="49" spans="1:9" ht="14.5" thickBot="1">
      <c r="A49" s="6" t="s">
        <v>192</v>
      </c>
      <c r="B49" s="7">
        <v>-1610278</v>
      </c>
      <c r="C49" s="7">
        <v>185619</v>
      </c>
      <c r="D49" s="7">
        <v>39117</v>
      </c>
      <c r="E49" s="7">
        <v>-82391</v>
      </c>
      <c r="F49" s="7">
        <v>1715768</v>
      </c>
      <c r="G49" s="7">
        <v>89819</v>
      </c>
      <c r="H49" s="7">
        <v>-406102</v>
      </c>
      <c r="I49" s="7">
        <v>1686874</v>
      </c>
    </row>
    <row r="50" spans="1:9" ht="14.5" thickBot="1">
      <c r="A50" s="6" t="s">
        <v>193</v>
      </c>
      <c r="B50" s="7">
        <v>1896185</v>
      </c>
      <c r="C50" s="7">
        <v>285772</v>
      </c>
      <c r="D50" s="7">
        <v>471173</v>
      </c>
      <c r="E50" s="7">
        <v>509995</v>
      </c>
      <c r="F50" s="7">
        <v>427653</v>
      </c>
      <c r="G50" s="7">
        <v>2125625</v>
      </c>
      <c r="H50" s="7">
        <v>2284400</v>
      </c>
      <c r="I50" s="7">
        <v>1903248</v>
      </c>
    </row>
    <row r="51" spans="1:9">
      <c r="A51" s="8" t="s">
        <v>194</v>
      </c>
      <c r="B51" s="10">
        <v>-134</v>
      </c>
      <c r="C51" s="10">
        <v>-218</v>
      </c>
      <c r="D51" s="10">
        <v>-295</v>
      </c>
      <c r="E51" s="10">
        <v>49</v>
      </c>
      <c r="F51" s="9">
        <v>-17795</v>
      </c>
      <c r="G51" s="9">
        <v>68955</v>
      </c>
      <c r="H51" s="9" t="s">
        <v>308</v>
      </c>
      <c r="I51" s="9">
        <v>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07387-055F-42BC-A4DF-473E6E93C5E3}">
  <dimension ref="A1:L27"/>
  <sheetViews>
    <sheetView tabSelected="1" workbookViewId="0">
      <selection activeCell="J18" sqref="J18"/>
    </sheetView>
  </sheetViews>
  <sheetFormatPr defaultColWidth="8.83203125" defaultRowHeight="10.5"/>
  <cols>
    <col min="1" max="1" width="22.4140625" style="13" customWidth="1"/>
    <col min="2" max="12" width="9.4140625" style="13" customWidth="1"/>
    <col min="13" max="16384" width="8.83203125" style="13"/>
  </cols>
  <sheetData>
    <row r="1" spans="1:12" ht="15" customHeight="1" thickBot="1">
      <c r="A1" s="210" t="s">
        <v>195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2"/>
    </row>
    <row r="2" spans="1:12" ht="11" thickBot="1">
      <c r="A2" s="14" t="s">
        <v>196</v>
      </c>
      <c r="B2" s="50">
        <v>2018</v>
      </c>
      <c r="C2" s="50">
        <v>2019</v>
      </c>
      <c r="D2" s="50">
        <v>2020</v>
      </c>
      <c r="E2" s="50">
        <v>2021</v>
      </c>
      <c r="F2" s="50">
        <v>2022</v>
      </c>
      <c r="G2" s="50">
        <v>2023</v>
      </c>
      <c r="H2" s="50">
        <v>2024</v>
      </c>
      <c r="I2" s="50">
        <v>2025</v>
      </c>
      <c r="J2" s="50">
        <v>2026</v>
      </c>
      <c r="K2" s="50">
        <v>2027</v>
      </c>
      <c r="L2" s="50">
        <v>2028</v>
      </c>
    </row>
    <row r="3" spans="1:12">
      <c r="A3" s="15" t="s">
        <v>197</v>
      </c>
      <c r="B3" s="90">
        <f>BL!B11</f>
        <v>452950</v>
      </c>
      <c r="C3" s="91">
        <f>BL!C11</f>
        <v>401910</v>
      </c>
      <c r="D3" s="91">
        <f>BL!D11</f>
        <v>217396</v>
      </c>
      <c r="E3" s="91">
        <f>BL!E11</f>
        <v>187458</v>
      </c>
      <c r="F3" s="91">
        <f>BL!F11</f>
        <v>188150</v>
      </c>
      <c r="G3" s="91">
        <f>BL!G11</f>
        <v>365838</v>
      </c>
      <c r="H3" s="91">
        <f>BL!H11</f>
        <v>528623</v>
      </c>
      <c r="I3" s="91">
        <f>BL!I11</f>
        <v>1258875</v>
      </c>
      <c r="J3" s="91">
        <f>(J18*J20)/365</f>
        <v>698911.4429819634</v>
      </c>
      <c r="K3" s="91">
        <f t="shared" ref="I3:L3" si="0">(K18*K20)/365</f>
        <v>825663.4637594443</v>
      </c>
      <c r="L3" s="92">
        <f t="shared" si="0"/>
        <v>975402.7670209948</v>
      </c>
    </row>
    <row r="4" spans="1:12">
      <c r="A4" s="15" t="s">
        <v>198</v>
      </c>
      <c r="B4" s="93">
        <f>BL!B20</f>
        <v>982641</v>
      </c>
      <c r="C4" s="16">
        <f>BL!C20</f>
        <v>1301123</v>
      </c>
      <c r="D4" s="16">
        <f>BL!D20</f>
        <v>834135</v>
      </c>
      <c r="E4" s="16">
        <f>BL!E20</f>
        <v>2204078</v>
      </c>
      <c r="F4" s="16">
        <f>BL!F20</f>
        <v>2282528</v>
      </c>
      <c r="G4" s="16">
        <f>BL!G20</f>
        <v>2160588</v>
      </c>
      <c r="H4" s="16">
        <f>BL!H20</f>
        <v>2950301</v>
      </c>
      <c r="I4" s="16">
        <f>BL!I20</f>
        <v>4808860</v>
      </c>
      <c r="J4" s="16">
        <f t="shared" ref="J4:L4" si="1">(J19*J21)/365</f>
        <v>3193659.8629788589</v>
      </c>
      <c r="K4" s="16">
        <f t="shared" si="1"/>
        <v>3772850.3246221514</v>
      </c>
      <c r="L4" s="94">
        <f t="shared" si="1"/>
        <v>4457080.6481327852</v>
      </c>
    </row>
    <row r="5" spans="1:12">
      <c r="A5" s="15" t="s">
        <v>199</v>
      </c>
      <c r="B5" s="93">
        <f>BL!B23</f>
        <v>94985</v>
      </c>
      <c r="C5" s="16">
        <f>BL!C23</f>
        <v>73831</v>
      </c>
      <c r="D5" s="16">
        <f>BL!D23</f>
        <v>114666</v>
      </c>
      <c r="E5" s="16">
        <f>BL!E23</f>
        <v>95103</v>
      </c>
      <c r="F5" s="16">
        <f>BL!F23</f>
        <v>215884</v>
      </c>
      <c r="G5" s="16">
        <f>BL!G23</f>
        <v>451669</v>
      </c>
      <c r="H5" s="16">
        <f>BL!H23</f>
        <v>499639</v>
      </c>
      <c r="I5" s="16">
        <f>BL!I23</f>
        <v>707092</v>
      </c>
      <c r="J5" s="16">
        <f t="shared" ref="I5:L5" si="2">J18*J23</f>
        <v>324080.0154234881</v>
      </c>
      <c r="K5" s="16">
        <f t="shared" si="2"/>
        <v>382853.98065327818</v>
      </c>
      <c r="L5" s="94">
        <f t="shared" si="2"/>
        <v>452286.97706189181</v>
      </c>
    </row>
    <row r="6" spans="1:12">
      <c r="A6" s="14" t="s">
        <v>200</v>
      </c>
      <c r="B6" s="95">
        <f>SUM(B3:B5)</f>
        <v>1530576</v>
      </c>
      <c r="C6" s="18">
        <f t="shared" ref="C6:L6" si="3">SUM(C3:C5)</f>
        <v>1776864</v>
      </c>
      <c r="D6" s="18">
        <f t="shared" si="3"/>
        <v>1166197</v>
      </c>
      <c r="E6" s="18">
        <f t="shared" si="3"/>
        <v>2486639</v>
      </c>
      <c r="F6" s="18">
        <f t="shared" si="3"/>
        <v>2686562</v>
      </c>
      <c r="G6" s="18">
        <f t="shared" ref="G6" si="4">SUM(G3:G5)</f>
        <v>2978095</v>
      </c>
      <c r="H6" s="18">
        <f>SUM(H3:H5)</f>
        <v>3978563</v>
      </c>
      <c r="I6" s="18">
        <f>SUM(I3:I5)</f>
        <v>6774827</v>
      </c>
      <c r="J6" s="18">
        <f t="shared" si="3"/>
        <v>4216651.3213843107</v>
      </c>
      <c r="K6" s="18">
        <f t="shared" si="3"/>
        <v>4981367.7690348746</v>
      </c>
      <c r="L6" s="108">
        <f t="shared" si="3"/>
        <v>5884770.3922156719</v>
      </c>
    </row>
    <row r="7" spans="1:12">
      <c r="A7" s="15" t="s">
        <v>201</v>
      </c>
      <c r="B7" s="93">
        <f>BL!B71</f>
        <v>760187</v>
      </c>
      <c r="C7" s="16">
        <f>BL!C71</f>
        <v>879302</v>
      </c>
      <c r="D7" s="16">
        <f>BL!D71</f>
        <v>709127</v>
      </c>
      <c r="E7" s="16">
        <f>BL!E71</f>
        <v>794797</v>
      </c>
      <c r="F7" s="16">
        <f>BL!F71</f>
        <v>1028476</v>
      </c>
      <c r="G7" s="16">
        <f>BL!G71</f>
        <v>1989283</v>
      </c>
      <c r="H7" s="16">
        <f>BL!H71</f>
        <v>1611511</v>
      </c>
      <c r="I7" s="16">
        <f>BL!I71</f>
        <v>1765886</v>
      </c>
      <c r="J7" s="16">
        <f t="shared" ref="I7:L7" si="5">(J18*J22)/365</f>
        <v>2633787.3239035984</v>
      </c>
      <c r="K7" s="16">
        <f t="shared" si="5"/>
        <v>3111441.3513989109</v>
      </c>
      <c r="L7" s="94">
        <f t="shared" si="5"/>
        <v>3675720.9647613238</v>
      </c>
    </row>
    <row r="8" spans="1:12">
      <c r="A8" s="15" t="s">
        <v>202</v>
      </c>
      <c r="B8" s="93">
        <f>BL!B74</f>
        <v>24338</v>
      </c>
      <c r="C8" s="16">
        <f>BL!C74</f>
        <v>94837</v>
      </c>
      <c r="D8" s="16">
        <f>BL!D74</f>
        <v>98041</v>
      </c>
      <c r="E8" s="16">
        <f>BL!E74</f>
        <v>187589</v>
      </c>
      <c r="F8" s="16">
        <f>BL!F74</f>
        <v>136581</v>
      </c>
      <c r="G8" s="16">
        <f>BL!G74</f>
        <v>150052</v>
      </c>
      <c r="H8" s="16">
        <f>BL!H74</f>
        <v>168883</v>
      </c>
      <c r="I8" s="16">
        <f>BL!I74</f>
        <v>329644</v>
      </c>
      <c r="J8" s="16">
        <f>J18*J24</f>
        <v>227873.1581268294</v>
      </c>
      <c r="K8" s="16">
        <f t="shared" ref="I8:L8" si="6">K18*K24</f>
        <v>269199.39990402618</v>
      </c>
      <c r="L8" s="94">
        <f t="shared" si="6"/>
        <v>318020.41760598001</v>
      </c>
    </row>
    <row r="9" spans="1:12">
      <c r="A9" s="15" t="s">
        <v>203</v>
      </c>
      <c r="B9" s="93">
        <f>BL!B82</f>
        <v>41586</v>
      </c>
      <c r="C9" s="16">
        <f>BL!C82</f>
        <v>104358</v>
      </c>
      <c r="D9" s="16">
        <f>BL!D82</f>
        <v>154922</v>
      </c>
      <c r="E9" s="16">
        <f>BL!E82</f>
        <v>195121</v>
      </c>
      <c r="F9" s="16">
        <f>BL!F82</f>
        <v>306565</v>
      </c>
      <c r="G9" s="16">
        <f>BL!G82</f>
        <v>335746</v>
      </c>
      <c r="H9" s="16">
        <f>BL!H82</f>
        <v>240509</v>
      </c>
      <c r="I9" s="16">
        <f>BL!I82</f>
        <v>289984</v>
      </c>
      <c r="J9" s="16">
        <f t="shared" ref="I9:L9" si="7">J18*J25</f>
        <v>351199.68122764863</v>
      </c>
      <c r="K9" s="16">
        <f t="shared" si="7"/>
        <v>414891.96977007622</v>
      </c>
      <c r="L9" s="94">
        <f t="shared" si="7"/>
        <v>490135.25860268425</v>
      </c>
    </row>
    <row r="10" spans="1:12">
      <c r="A10" s="15" t="s">
        <v>204</v>
      </c>
      <c r="B10" s="93">
        <f>BL!B72</f>
        <v>139371</v>
      </c>
      <c r="C10" s="16">
        <f>BL!C72</f>
        <v>45098</v>
      </c>
      <c r="D10" s="16">
        <f>BL!D72</f>
        <v>118183</v>
      </c>
      <c r="E10" s="16">
        <f>BL!E72</f>
        <v>285547</v>
      </c>
      <c r="F10" s="16">
        <f>BL!F72</f>
        <v>106451</v>
      </c>
      <c r="G10" s="16">
        <f>BL!G72</f>
        <v>23308</v>
      </c>
      <c r="H10" s="16">
        <f>BL!H72</f>
        <v>233212</v>
      </c>
      <c r="I10" s="16">
        <f>BL!I72</f>
        <v>697167</v>
      </c>
      <c r="J10" s="16">
        <f t="shared" ref="I10:L10" si="8">J18*J26</f>
        <v>263069.21265559964</v>
      </c>
      <c r="K10" s="16">
        <f t="shared" si="8"/>
        <v>310778.48203910101</v>
      </c>
      <c r="L10" s="94">
        <f t="shared" si="8"/>
        <v>367140.12986753799</v>
      </c>
    </row>
    <row r="11" spans="1:12">
      <c r="A11" s="15" t="s">
        <v>205</v>
      </c>
      <c r="B11" s="93">
        <f>BL!B79</f>
        <v>231678</v>
      </c>
      <c r="C11" s="16">
        <f>BL!C79</f>
        <v>203311</v>
      </c>
      <c r="D11" s="16">
        <f>BL!D79</f>
        <v>127382</v>
      </c>
      <c r="E11" s="16">
        <f>BL!E79</f>
        <v>386498</v>
      </c>
      <c r="F11" s="16">
        <f>BL!F79</f>
        <v>304137</v>
      </c>
      <c r="G11" s="16">
        <f>BL!G79</f>
        <v>65902</v>
      </c>
      <c r="H11" s="16">
        <f>BL!H79</f>
        <v>64017</v>
      </c>
      <c r="I11" s="16">
        <f>BL!I79</f>
        <v>102443</v>
      </c>
      <c r="J11" s="16">
        <f t="shared" ref="I11:L11" si="9">J18*J27</f>
        <v>471034.42012480891</v>
      </c>
      <c r="K11" s="16">
        <f t="shared" si="9"/>
        <v>556459.49823174917</v>
      </c>
      <c r="L11" s="94">
        <f t="shared" si="9"/>
        <v>657376.95578655053</v>
      </c>
    </row>
    <row r="12" spans="1:12" ht="11" thickBot="1">
      <c r="A12" s="20" t="s">
        <v>206</v>
      </c>
      <c r="B12" s="99">
        <f>SUM(B7:B11)</f>
        <v>1197160</v>
      </c>
      <c r="C12" s="21">
        <f t="shared" ref="C12:L12" si="10">SUM(C7:C11)</f>
        <v>1326906</v>
      </c>
      <c r="D12" s="21">
        <f t="shared" si="10"/>
        <v>1207655</v>
      </c>
      <c r="E12" s="21">
        <f t="shared" si="10"/>
        <v>1849552</v>
      </c>
      <c r="F12" s="21">
        <f>SUM(F7:F11)</f>
        <v>1882210</v>
      </c>
      <c r="G12" s="21">
        <f>SUM(G7:G11)</f>
        <v>2564291</v>
      </c>
      <c r="H12" s="21">
        <f>SUM(H7:H11)</f>
        <v>2318132</v>
      </c>
      <c r="I12" s="21">
        <f>SUM(I7:I11)</f>
        <v>3185124</v>
      </c>
      <c r="J12" s="21">
        <f>SUM(J7:J11)</f>
        <v>3946963.7960384847</v>
      </c>
      <c r="K12" s="21">
        <f>SUM(K7:K11)</f>
        <v>4662770.7013438633</v>
      </c>
      <c r="L12" s="100">
        <f t="shared" si="10"/>
        <v>5508393.7266240763</v>
      </c>
    </row>
    <row r="15" spans="1:12" ht="11" thickBot="1"/>
    <row r="16" spans="1:12" ht="15" customHeight="1" thickBot="1">
      <c r="A16" s="210" t="s">
        <v>207</v>
      </c>
      <c r="B16" s="211"/>
      <c r="C16" s="211"/>
      <c r="D16" s="211"/>
      <c r="E16" s="211"/>
      <c r="F16" s="211"/>
      <c r="G16" s="211"/>
      <c r="H16" s="211"/>
      <c r="I16" s="211"/>
      <c r="J16" s="211"/>
      <c r="K16" s="211"/>
      <c r="L16" s="212"/>
    </row>
    <row r="17" spans="1:12" ht="11" thickBot="1">
      <c r="A17" s="22" t="s">
        <v>196</v>
      </c>
      <c r="B17" s="50">
        <v>2018</v>
      </c>
      <c r="C17" s="50">
        <v>2019</v>
      </c>
      <c r="D17" s="50">
        <v>2020</v>
      </c>
      <c r="E17" s="50">
        <v>2021</v>
      </c>
      <c r="F17" s="50">
        <v>2022</v>
      </c>
      <c r="G17" s="50">
        <v>2023</v>
      </c>
      <c r="H17" s="50">
        <v>2024</v>
      </c>
      <c r="I17" s="50">
        <v>2025</v>
      </c>
      <c r="J17" s="50">
        <v>2026</v>
      </c>
      <c r="K17" s="50">
        <v>2027</v>
      </c>
      <c r="L17" s="50">
        <v>2028</v>
      </c>
    </row>
    <row r="18" spans="1:12">
      <c r="A18" s="15" t="s">
        <v>208</v>
      </c>
      <c r="B18" s="90">
        <f>IS!B4</f>
        <v>6689329</v>
      </c>
      <c r="C18" s="91">
        <f>IS!C4</f>
        <v>7042967</v>
      </c>
      <c r="D18" s="91">
        <f>IS!D4</f>
        <v>7561275</v>
      </c>
      <c r="E18" s="91">
        <f>IS!E4</f>
        <v>9869763</v>
      </c>
      <c r="F18" s="91">
        <f>IS!F4</f>
        <v>15924527</v>
      </c>
      <c r="G18" s="91">
        <f>IS!G4</f>
        <v>12570542</v>
      </c>
      <c r="H18" s="91">
        <f>IS!H4</f>
        <v>13455585</v>
      </c>
      <c r="I18" s="91">
        <f>IS!I4</f>
        <v>16630930</v>
      </c>
      <c r="J18" s="91">
        <f>Data!J3</f>
        <v>19647054.583559342</v>
      </c>
      <c r="K18" s="91">
        <f>Data!K3</f>
        <v>23210172.480394069</v>
      </c>
      <c r="L18" s="92">
        <f>Data!L3</f>
        <v>27419484.395408385</v>
      </c>
    </row>
    <row r="19" spans="1:12">
      <c r="A19" s="15" t="s">
        <v>209</v>
      </c>
      <c r="B19" s="93">
        <f>IS!B5</f>
        <v>5252270</v>
      </c>
      <c r="C19" s="16">
        <f>IS!C5</f>
        <v>6083775</v>
      </c>
      <c r="D19" s="16">
        <f>IS!D5</f>
        <v>6244427</v>
      </c>
      <c r="E19" s="16">
        <f>IS!E5</f>
        <v>7088826</v>
      </c>
      <c r="F19" s="16">
        <f>IS!F5</f>
        <v>10221097</v>
      </c>
      <c r="G19" s="16">
        <f>IS!G5</f>
        <v>10538742</v>
      </c>
      <c r="H19" s="16">
        <f>IS!H5</f>
        <v>10942101</v>
      </c>
      <c r="I19" s="16">
        <f>IS!I5</f>
        <v>12582273</v>
      </c>
      <c r="J19" s="16">
        <f>Data!J4</f>
        <v>15043272.242035378</v>
      </c>
      <c r="K19" s="16">
        <f>Data!K4</f>
        <v>17771465.026586737</v>
      </c>
      <c r="L19" s="94">
        <f>Data!L4</f>
        <v>20994432.867384173</v>
      </c>
    </row>
    <row r="20" spans="1:12">
      <c r="A20" s="15" t="s">
        <v>210</v>
      </c>
      <c r="B20" s="93">
        <f>(B3/B18)*365</f>
        <v>24.714997573000222</v>
      </c>
      <c r="C20" s="16">
        <f t="shared" ref="C20:E20" si="11">(C3/C18)*365</f>
        <v>20.828885042340819</v>
      </c>
      <c r="D20" s="16">
        <f t="shared" si="11"/>
        <v>10.494201044136075</v>
      </c>
      <c r="E20" s="16">
        <f t="shared" si="11"/>
        <v>6.9325038503964072</v>
      </c>
      <c r="F20" s="16">
        <f>(F3/F18)*365</f>
        <v>4.312514274364319</v>
      </c>
      <c r="G20" s="16">
        <f>(G3/G18)*365</f>
        <v>10.622522879283965</v>
      </c>
      <c r="H20" s="16">
        <f>AVERAGE(B20:G20)</f>
        <v>12.984270777253634</v>
      </c>
      <c r="I20" s="16">
        <f t="shared" ref="I20:I25" si="12">H20</f>
        <v>12.984270777253634</v>
      </c>
      <c r="J20" s="16">
        <f t="shared" ref="J20:J26" si="13">I20</f>
        <v>12.984270777253634</v>
      </c>
      <c r="K20" s="16">
        <f t="shared" ref="K20:K26" si="14">J20</f>
        <v>12.984270777253634</v>
      </c>
      <c r="L20" s="94">
        <f t="shared" ref="L20:L26" si="15">K20</f>
        <v>12.984270777253634</v>
      </c>
    </row>
    <row r="21" spans="1:12">
      <c r="A21" s="15" t="s">
        <v>211</v>
      </c>
      <c r="B21" s="93">
        <f>(B4/B19)*365</f>
        <v>68.287419534791624</v>
      </c>
      <c r="C21" s="16">
        <f>(C4/C19)*365</f>
        <v>78.061712505804365</v>
      </c>
      <c r="D21" s="16">
        <f t="shared" ref="D21" si="16">(D4/D19)*365</f>
        <v>48.756959605741244</v>
      </c>
      <c r="E21" s="16">
        <f>(E4/E19)*365</f>
        <v>113.48684112150589</v>
      </c>
      <c r="F21" s="16">
        <f>(F4/F19)*365</f>
        <v>81.510107965906201</v>
      </c>
      <c r="G21" s="16">
        <f>(G4/G19)*365</f>
        <v>74.830052771004361</v>
      </c>
      <c r="H21" s="16">
        <f t="shared" ref="H21:H27" si="17">AVERAGE(B21:G21)</f>
        <v>77.488848917458952</v>
      </c>
      <c r="I21" s="16">
        <f t="shared" si="12"/>
        <v>77.488848917458952</v>
      </c>
      <c r="J21" s="16">
        <f t="shared" si="13"/>
        <v>77.488848917458952</v>
      </c>
      <c r="K21" s="16">
        <f t="shared" si="14"/>
        <v>77.488848917458952</v>
      </c>
      <c r="L21" s="94">
        <f t="shared" si="15"/>
        <v>77.488848917458952</v>
      </c>
    </row>
    <row r="22" spans="1:12">
      <c r="A22" s="15" t="s">
        <v>212</v>
      </c>
      <c r="B22" s="93">
        <f>(B7/B19)*365</f>
        <v>52.828254259586807</v>
      </c>
      <c r="C22" s="16">
        <f>(C7/C19)*365</f>
        <v>52.754289894021397</v>
      </c>
      <c r="D22" s="16">
        <f t="shared" ref="D22" si="18">(D7/D19)*365</f>
        <v>41.449976915415938</v>
      </c>
      <c r="E22" s="16">
        <f>(E7/E19)*365</f>
        <v>40.923688210149322</v>
      </c>
      <c r="F22" s="16">
        <f>(F7/F19)*365</f>
        <v>36.727343454425686</v>
      </c>
      <c r="G22" s="16">
        <f>(G7/G19)*365</f>
        <v>68.897055739669867</v>
      </c>
      <c r="H22" s="16">
        <f t="shared" si="17"/>
        <v>48.930101412211506</v>
      </c>
      <c r="I22" s="16">
        <f t="shared" si="12"/>
        <v>48.930101412211506</v>
      </c>
      <c r="J22" s="16">
        <f t="shared" si="13"/>
        <v>48.930101412211506</v>
      </c>
      <c r="K22" s="16">
        <f t="shared" si="14"/>
        <v>48.930101412211506</v>
      </c>
      <c r="L22" s="94">
        <f t="shared" si="15"/>
        <v>48.930101412211506</v>
      </c>
    </row>
    <row r="23" spans="1:12">
      <c r="A23" s="15" t="s">
        <v>213</v>
      </c>
      <c r="B23" s="36">
        <f>B5/B18</f>
        <v>1.4199480994282088E-2</v>
      </c>
      <c r="C23" s="23">
        <f>C5/C18</f>
        <v>1.0482939931423787E-2</v>
      </c>
      <c r="D23" s="23">
        <f t="shared" ref="D23" si="19">D5/D18</f>
        <v>1.5164902744576807E-2</v>
      </c>
      <c r="E23" s="23">
        <f>E5/E18</f>
        <v>9.6357936862313722E-3</v>
      </c>
      <c r="F23" s="23">
        <f>F5/F18</f>
        <v>1.3556697790772686E-2</v>
      </c>
      <c r="G23" s="23">
        <f>G5/G18</f>
        <v>3.5930749843562829E-2</v>
      </c>
      <c r="H23" s="23">
        <f t="shared" si="17"/>
        <v>1.6495094165141593E-2</v>
      </c>
      <c r="I23" s="23">
        <f t="shared" si="12"/>
        <v>1.6495094165141593E-2</v>
      </c>
      <c r="J23" s="23">
        <f t="shared" si="13"/>
        <v>1.6495094165141593E-2</v>
      </c>
      <c r="K23" s="23">
        <f t="shared" si="14"/>
        <v>1.6495094165141593E-2</v>
      </c>
      <c r="L23" s="106">
        <f t="shared" si="15"/>
        <v>1.6495094165141593E-2</v>
      </c>
    </row>
    <row r="24" spans="1:12">
      <c r="A24" s="15" t="s">
        <v>214</v>
      </c>
      <c r="B24" s="36">
        <f>B8/B18</f>
        <v>3.6383320359934458E-3</v>
      </c>
      <c r="C24" s="23">
        <f t="shared" ref="C24" si="20">C8/C18</f>
        <v>1.3465489757370722E-2</v>
      </c>
      <c r="D24" s="23">
        <f>D8/D18</f>
        <v>1.2966199483552708E-2</v>
      </c>
      <c r="E24" s="23">
        <f t="shared" ref="E24:F24" si="21">E8/E18</f>
        <v>1.9006434095732591E-2</v>
      </c>
      <c r="F24" s="23">
        <f t="shared" si="21"/>
        <v>8.5767696585273764E-3</v>
      </c>
      <c r="G24" s="23">
        <f t="shared" ref="G24:H24" si="22">G8/G18</f>
        <v>1.1936796360888815E-2</v>
      </c>
      <c r="H24" s="23">
        <f t="shared" si="17"/>
        <v>1.1598336898677611E-2</v>
      </c>
      <c r="I24" s="23">
        <f t="shared" si="12"/>
        <v>1.1598336898677611E-2</v>
      </c>
      <c r="J24" s="23">
        <f t="shared" si="13"/>
        <v>1.1598336898677611E-2</v>
      </c>
      <c r="K24" s="23">
        <f t="shared" si="14"/>
        <v>1.1598336898677611E-2</v>
      </c>
      <c r="L24" s="106">
        <f t="shared" si="15"/>
        <v>1.1598336898677611E-2</v>
      </c>
    </row>
    <row r="25" spans="1:12">
      <c r="A25" s="15" t="s">
        <v>215</v>
      </c>
      <c r="B25" s="36">
        <f>B9/B18</f>
        <v>6.2167670329864172E-3</v>
      </c>
      <c r="C25" s="23">
        <f t="shared" ref="C25:F25" si="23">C9/C18</f>
        <v>1.4817334796542424E-2</v>
      </c>
      <c r="D25" s="23">
        <f t="shared" si="23"/>
        <v>2.0488872577706801E-2</v>
      </c>
      <c r="E25" s="23">
        <f t="shared" si="23"/>
        <v>1.9769572987720172E-2</v>
      </c>
      <c r="F25" s="23">
        <f t="shared" si="23"/>
        <v>1.9251121242094035E-2</v>
      </c>
      <c r="G25" s="23">
        <f t="shared" ref="G25:H25" si="24">G9/G18</f>
        <v>2.6708951769939593E-2</v>
      </c>
      <c r="H25" s="23">
        <f t="shared" si="17"/>
        <v>1.7875436734498238E-2</v>
      </c>
      <c r="I25" s="23">
        <f t="shared" si="12"/>
        <v>1.7875436734498238E-2</v>
      </c>
      <c r="J25" s="23">
        <f t="shared" si="13"/>
        <v>1.7875436734498238E-2</v>
      </c>
      <c r="K25" s="23">
        <f t="shared" si="14"/>
        <v>1.7875436734498238E-2</v>
      </c>
      <c r="L25" s="106">
        <f t="shared" si="15"/>
        <v>1.7875436734498238E-2</v>
      </c>
    </row>
    <row r="26" spans="1:12">
      <c r="A26" s="15" t="s">
        <v>216</v>
      </c>
      <c r="B26" s="36">
        <f>B10/B18</f>
        <v>2.0834825137169961E-2</v>
      </c>
      <c r="C26" s="23">
        <f t="shared" ref="C26:E26" si="25">C10/C18</f>
        <v>6.4032672593808829E-3</v>
      </c>
      <c r="D26" s="23">
        <f t="shared" si="25"/>
        <v>1.5630035939705935E-2</v>
      </c>
      <c r="E26" s="23">
        <f t="shared" si="25"/>
        <v>2.8931495112901901E-2</v>
      </c>
      <c r="F26" s="23">
        <f>F10/F18</f>
        <v>6.6847197408123962E-3</v>
      </c>
      <c r="G26" s="23">
        <f>G10/G18</f>
        <v>1.8541762161090587E-3</v>
      </c>
      <c r="H26" s="23">
        <f t="shared" si="17"/>
        <v>1.338975323434669E-2</v>
      </c>
      <c r="I26" s="23">
        <f>H26</f>
        <v>1.338975323434669E-2</v>
      </c>
      <c r="J26" s="23">
        <f t="shared" si="13"/>
        <v>1.338975323434669E-2</v>
      </c>
      <c r="K26" s="23">
        <f t="shared" si="14"/>
        <v>1.338975323434669E-2</v>
      </c>
      <c r="L26" s="106">
        <f t="shared" si="15"/>
        <v>1.338975323434669E-2</v>
      </c>
    </row>
    <row r="27" spans="1:12" ht="11" thickBot="1">
      <c r="A27" s="25" t="s">
        <v>217</v>
      </c>
      <c r="B27" s="38">
        <f>B11/B18</f>
        <v>3.4633967024196299E-2</v>
      </c>
      <c r="C27" s="26">
        <f t="shared" ref="C27:E27" si="26">C11/C18</f>
        <v>2.8867237344715656E-2</v>
      </c>
      <c r="D27" s="26">
        <f t="shared" si="26"/>
        <v>1.6846629702001317E-2</v>
      </c>
      <c r="E27" s="26">
        <f t="shared" si="26"/>
        <v>3.9159805559667443E-2</v>
      </c>
      <c r="F27" s="26">
        <f>F11/F18</f>
        <v>1.9098652035316341E-2</v>
      </c>
      <c r="G27" s="26">
        <f>G11/G18</f>
        <v>5.2425742660897195E-3</v>
      </c>
      <c r="H27" s="26">
        <f t="shared" si="17"/>
        <v>2.3974810988664459E-2</v>
      </c>
      <c r="I27" s="26">
        <f>H27</f>
        <v>2.3974810988664459E-2</v>
      </c>
      <c r="J27" s="26">
        <f t="shared" ref="J27:L27" si="27">I27</f>
        <v>2.3974810988664459E-2</v>
      </c>
      <c r="K27" s="26">
        <f t="shared" si="27"/>
        <v>2.3974810988664459E-2</v>
      </c>
      <c r="L27" s="107">
        <f t="shared" si="27"/>
        <v>2.3974810988664459E-2</v>
      </c>
    </row>
  </sheetData>
  <mergeCells count="2">
    <mergeCell ref="A16:L16"/>
    <mergeCell ref="A1:L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BA137-4433-4DA9-BC0D-58A36E6F8138}">
  <dimension ref="A1:P40"/>
  <sheetViews>
    <sheetView topLeftCell="B7" zoomScaleNormal="100" workbookViewId="0">
      <selection activeCell="L17" sqref="L17"/>
    </sheetView>
  </sheetViews>
  <sheetFormatPr defaultColWidth="8.83203125" defaultRowHeight="10.5"/>
  <cols>
    <col min="1" max="1" width="29" style="13" customWidth="1"/>
    <col min="2" max="5" width="8.33203125" style="13" bestFit="1" customWidth="1"/>
    <col min="6" max="6" width="8.9140625" style="13" bestFit="1" customWidth="1"/>
    <col min="7" max="7" width="8.9140625" style="13" customWidth="1"/>
    <col min="8" max="11" width="8.9140625" style="13" bestFit="1" customWidth="1"/>
    <col min="12" max="14" width="8.9140625" style="13" customWidth="1"/>
    <col min="15" max="16384" width="8.83203125" style="13"/>
  </cols>
  <sheetData>
    <row r="1" spans="1:14" ht="15" customHeight="1" thickBot="1">
      <c r="A1" s="208" t="s">
        <v>218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22"/>
      <c r="N1" s="222"/>
    </row>
    <row r="2" spans="1:14" ht="11" thickBot="1">
      <c r="A2" s="28" t="s">
        <v>196</v>
      </c>
      <c r="B2" s="50">
        <v>2018</v>
      </c>
      <c r="C2" s="50">
        <v>2019</v>
      </c>
      <c r="D2" s="50">
        <v>2020</v>
      </c>
      <c r="E2" s="50">
        <v>2021</v>
      </c>
      <c r="F2" s="50">
        <v>2022</v>
      </c>
      <c r="G2" s="50">
        <v>2023</v>
      </c>
      <c r="H2" s="50">
        <v>2024</v>
      </c>
      <c r="I2" s="50">
        <v>2025</v>
      </c>
      <c r="J2" s="50">
        <v>2026</v>
      </c>
      <c r="K2" s="50">
        <v>2027</v>
      </c>
      <c r="L2" s="50">
        <v>2028</v>
      </c>
      <c r="M2" s="50">
        <v>2029</v>
      </c>
      <c r="N2" s="50">
        <v>2030</v>
      </c>
    </row>
    <row r="3" spans="1:14">
      <c r="A3" s="29" t="s">
        <v>208</v>
      </c>
      <c r="B3" s="90">
        <f>IS!B4</f>
        <v>6689329</v>
      </c>
      <c r="C3" s="91">
        <f>IS!C4</f>
        <v>7042967</v>
      </c>
      <c r="D3" s="91">
        <f>IS!D4</f>
        <v>7561275</v>
      </c>
      <c r="E3" s="91">
        <f>IS!E4</f>
        <v>9869763</v>
      </c>
      <c r="F3" s="91">
        <f>IS!F4</f>
        <v>15924527</v>
      </c>
      <c r="G3" s="91">
        <f>IS!G4</f>
        <v>12570542</v>
      </c>
      <c r="H3" s="91">
        <f>IS!H4</f>
        <v>13455585</v>
      </c>
      <c r="I3" s="91">
        <f>IS!I4</f>
        <v>16630930</v>
      </c>
      <c r="J3" s="91">
        <f t="shared" ref="J3:L3" si="0">I3*(1+J27)</f>
        <v>19647054.583559342</v>
      </c>
      <c r="K3" s="91">
        <f t="shared" si="0"/>
        <v>23210172.480394069</v>
      </c>
      <c r="L3" s="91">
        <f t="shared" si="0"/>
        <v>27419484.395408385</v>
      </c>
      <c r="M3" s="91">
        <f t="shared" ref="M3" si="1">L3*(1+M27)</f>
        <v>32392181.710201539</v>
      </c>
      <c r="N3" s="91">
        <f t="shared" ref="N3" si="2">M3*(1+N27)</f>
        <v>38266709.206334352</v>
      </c>
    </row>
    <row r="4" spans="1:14">
      <c r="A4" s="29" t="s">
        <v>219</v>
      </c>
      <c r="B4" s="93">
        <f>IS!B5</f>
        <v>5252270</v>
      </c>
      <c r="C4" s="16">
        <f>IS!C5</f>
        <v>6083775</v>
      </c>
      <c r="D4" s="16">
        <f>IS!D5</f>
        <v>6244427</v>
      </c>
      <c r="E4" s="16">
        <f>IS!E5</f>
        <v>7088826</v>
      </c>
      <c r="F4" s="16">
        <f>IS!F5</f>
        <v>10221097</v>
      </c>
      <c r="G4" s="16">
        <f>IS!G5</f>
        <v>10538742</v>
      </c>
      <c r="H4" s="16">
        <f>IS!H5</f>
        <v>10942101</v>
      </c>
      <c r="I4" s="16">
        <f>IS!I5</f>
        <v>12582273</v>
      </c>
      <c r="J4" s="16">
        <f t="shared" ref="J4:L4" si="3">J3*J28</f>
        <v>15043272.242035378</v>
      </c>
      <c r="K4" s="16">
        <f t="shared" si="3"/>
        <v>17771465.026586737</v>
      </c>
      <c r="L4" s="94">
        <f t="shared" si="3"/>
        <v>20994432.867384173</v>
      </c>
      <c r="M4" s="16">
        <f t="shared" ref="M4:N4" si="4">M3*M28</f>
        <v>24801906.357393667</v>
      </c>
      <c r="N4" s="94">
        <f t="shared" si="4"/>
        <v>29299889.301442601</v>
      </c>
    </row>
    <row r="5" spans="1:14">
      <c r="A5" s="30" t="s">
        <v>220</v>
      </c>
      <c r="B5" s="95">
        <f>B3-B4</f>
        <v>1437059</v>
      </c>
      <c r="C5" s="18">
        <f t="shared" ref="C5:D5" si="5">C3-C4</f>
        <v>959192</v>
      </c>
      <c r="D5" s="18">
        <f t="shared" si="5"/>
        <v>1316848</v>
      </c>
      <c r="E5" s="19">
        <f>E3-E4</f>
        <v>2780937</v>
      </c>
      <c r="F5" s="19">
        <f>F3-F4</f>
        <v>5703430</v>
      </c>
      <c r="G5" s="19">
        <f>G3-G4</f>
        <v>2031800</v>
      </c>
      <c r="H5" s="16">
        <f>H3-H4</f>
        <v>2513484</v>
      </c>
      <c r="I5" s="16">
        <f t="shared" ref="I5:L5" si="6">I3-I4</f>
        <v>4048657</v>
      </c>
      <c r="J5" s="16">
        <f t="shared" si="6"/>
        <v>4603782.341523964</v>
      </c>
      <c r="K5" s="16">
        <f t="shared" si="6"/>
        <v>5438707.4538073316</v>
      </c>
      <c r="L5" s="94">
        <f t="shared" si="6"/>
        <v>6425051.5280242115</v>
      </c>
      <c r="M5" s="16">
        <f t="shared" ref="M5:N5" si="7">M3-M4</f>
        <v>7590275.352807872</v>
      </c>
      <c r="N5" s="94">
        <f t="shared" si="7"/>
        <v>8966819.9048917517</v>
      </c>
    </row>
    <row r="6" spans="1:14">
      <c r="A6" s="29" t="s">
        <v>221</v>
      </c>
      <c r="B6" s="93">
        <f>IS!B11+IS!B12</f>
        <v>656218</v>
      </c>
      <c r="C6" s="16">
        <f>IS!C11+IS!C12</f>
        <v>565378</v>
      </c>
      <c r="D6" s="16">
        <f>IS!D11+IS!D12</f>
        <v>673407</v>
      </c>
      <c r="E6" s="16">
        <f>IS!E11+IS!E12</f>
        <v>948893</v>
      </c>
      <c r="F6" s="16">
        <f>IS!F11+IS!F12</f>
        <v>1350889</v>
      </c>
      <c r="G6" s="16">
        <f>IS!G11+IS!G12</f>
        <v>1349188</v>
      </c>
      <c r="H6" s="16">
        <f>IS!H11+IS!H12</f>
        <v>1495417</v>
      </c>
      <c r="I6" s="16">
        <f>IS!I11+IS!I12</f>
        <v>2143923</v>
      </c>
      <c r="J6" s="16">
        <f t="shared" ref="J6:L6" si="8">J3*J29</f>
        <v>2021716.3547264575</v>
      </c>
      <c r="K6" s="16">
        <f t="shared" si="8"/>
        <v>2388367.4318745453</v>
      </c>
      <c r="L6" s="94">
        <f t="shared" si="8"/>
        <v>2821513.0061658989</v>
      </c>
      <c r="M6" s="16">
        <f t="shared" ref="M6:N6" si="9">M3*M29</f>
        <v>3333212.2761844359</v>
      </c>
      <c r="N6" s="94">
        <f t="shared" si="9"/>
        <v>3937711.4526238567</v>
      </c>
    </row>
    <row r="7" spans="1:14">
      <c r="A7" s="29" t="s">
        <v>222</v>
      </c>
      <c r="B7" s="93">
        <f t="shared" ref="B7:L7" si="10">B6</f>
        <v>656218</v>
      </c>
      <c r="C7" s="17">
        <f t="shared" si="10"/>
        <v>565378</v>
      </c>
      <c r="D7" s="17">
        <f t="shared" si="10"/>
        <v>673407</v>
      </c>
      <c r="E7" s="17">
        <f t="shared" si="10"/>
        <v>948893</v>
      </c>
      <c r="F7" s="17">
        <f>F6</f>
        <v>1350889</v>
      </c>
      <c r="G7" s="17">
        <f t="shared" ref="G7" si="11">G6</f>
        <v>1349188</v>
      </c>
      <c r="H7" s="17">
        <f>H6</f>
        <v>1495417</v>
      </c>
      <c r="I7" s="16">
        <f t="shared" si="10"/>
        <v>2143923</v>
      </c>
      <c r="J7" s="16">
        <f t="shared" si="10"/>
        <v>2021716.3547264575</v>
      </c>
      <c r="K7" s="16">
        <f t="shared" si="10"/>
        <v>2388367.4318745453</v>
      </c>
      <c r="L7" s="94">
        <f t="shared" si="10"/>
        <v>2821513.0061658989</v>
      </c>
      <c r="M7" s="16">
        <f t="shared" ref="M7:N7" si="12">M6</f>
        <v>3333212.2761844359</v>
      </c>
      <c r="N7" s="94">
        <f t="shared" si="12"/>
        <v>3937711.4526238567</v>
      </c>
    </row>
    <row r="8" spans="1:14" ht="9.75" customHeight="1">
      <c r="A8" s="30" t="s">
        <v>223</v>
      </c>
      <c r="B8" s="93">
        <f>B5-B7</f>
        <v>780841</v>
      </c>
      <c r="C8" s="17">
        <f>C5-C7</f>
        <v>393814</v>
      </c>
      <c r="D8" s="17">
        <f>D5-D7</f>
        <v>643441</v>
      </c>
      <c r="E8" s="17">
        <f>E5-E6</f>
        <v>1832044</v>
      </c>
      <c r="F8" s="17">
        <f>F5-F6</f>
        <v>4352541</v>
      </c>
      <c r="G8" s="17">
        <f>G5-G6</f>
        <v>682612</v>
      </c>
      <c r="H8" s="17">
        <f>H5-H6</f>
        <v>1018067</v>
      </c>
      <c r="I8" s="16">
        <f>I5-I6</f>
        <v>1904734</v>
      </c>
      <c r="J8" s="16">
        <f t="shared" ref="J8:L8" si="13">J5-J6</f>
        <v>2582065.9867975065</v>
      </c>
      <c r="K8" s="16">
        <f t="shared" si="13"/>
        <v>3050340.0219327863</v>
      </c>
      <c r="L8" s="94">
        <f t="shared" si="13"/>
        <v>3603538.5218583127</v>
      </c>
      <c r="M8" s="16">
        <f t="shared" ref="M8:N8" si="14">M5-M6</f>
        <v>4257063.0766234361</v>
      </c>
      <c r="N8" s="94">
        <f t="shared" si="14"/>
        <v>5029108.4522678945</v>
      </c>
    </row>
    <row r="9" spans="1:14">
      <c r="A9" s="29" t="s">
        <v>224</v>
      </c>
      <c r="B9" s="93">
        <f>-7755170+6461600-67111+53815</f>
        <v>-1306866</v>
      </c>
      <c r="C9" s="16">
        <f>BL!C41-BL!B41+BL!C44-BL!B44+BL!C47-BL!B47</f>
        <v>-1322226</v>
      </c>
      <c r="D9" s="16">
        <f>BL!D41-BL!C41+BL!D44-BL!C44+BL!D47-BL!C47</f>
        <v>-1319237</v>
      </c>
      <c r="E9" s="16">
        <f>BL!E41-BL!D41+BL!E44-BL!D44+BL!E47-BL!D47</f>
        <v>-1387785</v>
      </c>
      <c r="F9" s="16">
        <f>BL!F41-BL!E41+BL!F44-BL!E44+BL!F47-BL!E47</f>
        <v>-1391022</v>
      </c>
      <c r="G9" s="16">
        <f>BL!G41-BL!F41+BL!G44-BL!F44+BL!G47-BL!F47</f>
        <v>-1087768</v>
      </c>
      <c r="H9" s="16">
        <f>BL!H41-BL!G41+BL!H44-BL!G44+BL!H47-BL!G47</f>
        <v>-759771</v>
      </c>
      <c r="I9" s="16">
        <f>BL!I41-BL!H41+BL!I44-BL!H44+BL!I47-BL!H47</f>
        <v>-344644</v>
      </c>
      <c r="J9" s="16">
        <f>Capex!J4</f>
        <v>-828464.03375516506</v>
      </c>
      <c r="K9" s="17">
        <f>Capex!K4</f>
        <v>-756908.54145292274</v>
      </c>
      <c r="L9" s="94">
        <f>Capex!L4</f>
        <v>-691533.38803082227</v>
      </c>
      <c r="M9" s="17">
        <f>Capex!M4</f>
        <v>-631804.7697591366</v>
      </c>
      <c r="N9" s="94">
        <f>Capex!N4</f>
        <v>-577234.98821520957</v>
      </c>
    </row>
    <row r="10" spans="1:14" s="31" customFormat="1">
      <c r="A10" s="30" t="s">
        <v>225</v>
      </c>
      <c r="B10" s="95">
        <f>B8+B9</f>
        <v>-526025</v>
      </c>
      <c r="C10" s="19">
        <f>C8+C9</f>
        <v>-928412</v>
      </c>
      <c r="D10" s="19">
        <f>D8+D9</f>
        <v>-675796</v>
      </c>
      <c r="E10" s="19">
        <f t="shared" ref="E10:J10" si="15">E8-E9</f>
        <v>3219829</v>
      </c>
      <c r="F10" s="19">
        <f t="shared" si="15"/>
        <v>5743563</v>
      </c>
      <c r="G10" s="19">
        <f t="shared" si="15"/>
        <v>1770380</v>
      </c>
      <c r="H10" s="51">
        <f t="shared" si="15"/>
        <v>1777838</v>
      </c>
      <c r="I10" s="51">
        <f t="shared" si="15"/>
        <v>2249378</v>
      </c>
      <c r="J10" s="51">
        <f t="shared" si="15"/>
        <v>3410530.0205526715</v>
      </c>
      <c r="K10" s="51">
        <f t="shared" ref="K10:L10" si="16">K8-K9</f>
        <v>3807248.5633857092</v>
      </c>
      <c r="L10" s="96">
        <f t="shared" si="16"/>
        <v>4295071.9098891346</v>
      </c>
      <c r="M10" s="51">
        <f t="shared" ref="M10:N10" si="17">M8-M9</f>
        <v>4888867.8463825723</v>
      </c>
      <c r="N10" s="96">
        <f t="shared" si="17"/>
        <v>5606343.4404831044</v>
      </c>
    </row>
    <row r="11" spans="1:14">
      <c r="A11" s="29" t="s">
        <v>226</v>
      </c>
      <c r="B11" s="93">
        <f>IS!B19+IS!B20</f>
        <v>47139</v>
      </c>
      <c r="C11" s="16">
        <f>IS!C19+IS!C20</f>
        <v>35365</v>
      </c>
      <c r="D11" s="16">
        <f>IS!D19+IS!D20</f>
        <v>54088</v>
      </c>
      <c r="E11" s="16">
        <f>IS!E19+IS!E20</f>
        <v>130145</v>
      </c>
      <c r="F11" s="16">
        <f>IS!F19+IS!F20</f>
        <v>275232</v>
      </c>
      <c r="G11" s="16">
        <f>IS!G19+IS!G20</f>
        <v>144667</v>
      </c>
      <c r="H11" s="16">
        <f>IS!H19+IS!H20</f>
        <v>94057</v>
      </c>
      <c r="I11" s="16">
        <f>IS!I19+IS!I20</f>
        <v>245597</v>
      </c>
      <c r="J11" s="16">
        <f>J8*J30</f>
        <v>108493.61116439405</v>
      </c>
      <c r="K11" s="16">
        <f t="shared" ref="K11:L11" si="18">K8*K30</f>
        <v>128169.61532002802</v>
      </c>
      <c r="L11" s="94">
        <f t="shared" si="18"/>
        <v>151413.9875609118</v>
      </c>
      <c r="M11" s="16">
        <f t="shared" ref="M11:N11" si="19">M8*M30</f>
        <v>178873.87406017634</v>
      </c>
      <c r="N11" s="94">
        <f t="shared" si="19"/>
        <v>211313.78505188847</v>
      </c>
    </row>
    <row r="12" spans="1:14" s="31" customFormat="1">
      <c r="A12" s="30" t="s">
        <v>227</v>
      </c>
      <c r="B12" s="95">
        <f t="shared" ref="B12:L12" si="20">B10-B11</f>
        <v>-573164</v>
      </c>
      <c r="C12" s="19">
        <f t="shared" si="20"/>
        <v>-963777</v>
      </c>
      <c r="D12" s="19">
        <f t="shared" si="20"/>
        <v>-729884</v>
      </c>
      <c r="E12" s="19">
        <f t="shared" si="20"/>
        <v>3089684</v>
      </c>
      <c r="F12" s="19">
        <f t="shared" si="20"/>
        <v>5468331</v>
      </c>
      <c r="G12" s="19">
        <f t="shared" ref="G12" si="21">G10-G11</f>
        <v>1625713</v>
      </c>
      <c r="H12" s="19">
        <f t="shared" si="20"/>
        <v>1683781</v>
      </c>
      <c r="I12" s="19">
        <f t="shared" si="20"/>
        <v>2003781</v>
      </c>
      <c r="J12" s="19">
        <f t="shared" si="20"/>
        <v>3302036.4093882777</v>
      </c>
      <c r="K12" s="19">
        <f t="shared" si="20"/>
        <v>3679078.9480656814</v>
      </c>
      <c r="L12" s="97">
        <f t="shared" si="20"/>
        <v>4143657.9223282225</v>
      </c>
      <c r="M12" s="19">
        <f t="shared" ref="M12:N12" si="22">M10-M11</f>
        <v>4709993.972322396</v>
      </c>
      <c r="N12" s="97">
        <f t="shared" si="22"/>
        <v>5395029.6554312157</v>
      </c>
    </row>
    <row r="13" spans="1:14">
      <c r="A13" s="166" t="s">
        <v>228</v>
      </c>
      <c r="B13" s="168">
        <f>-B9</f>
        <v>1306866</v>
      </c>
      <c r="C13" s="168">
        <f t="shared" ref="C13:F13" si="23">-C9</f>
        <v>1322226</v>
      </c>
      <c r="D13" s="168">
        <f t="shared" si="23"/>
        <v>1319237</v>
      </c>
      <c r="E13" s="168">
        <f t="shared" si="23"/>
        <v>1387785</v>
      </c>
      <c r="F13" s="168">
        <f t="shared" si="23"/>
        <v>1391022</v>
      </c>
      <c r="G13" s="168">
        <f t="shared" ref="G13" si="24">-G9</f>
        <v>1087768</v>
      </c>
      <c r="H13" s="168">
        <f>-H9</f>
        <v>759771</v>
      </c>
      <c r="I13" s="168">
        <f>-I9</f>
        <v>344644</v>
      </c>
      <c r="J13" s="168">
        <f t="shared" ref="J13:L13" si="25">-J9</f>
        <v>828464.03375516506</v>
      </c>
      <c r="K13" s="168">
        <f t="shared" si="25"/>
        <v>756908.54145292274</v>
      </c>
      <c r="L13" s="168">
        <f t="shared" si="25"/>
        <v>691533.38803082227</v>
      </c>
      <c r="M13" s="168">
        <f t="shared" ref="M13:N13" si="26">-M9</f>
        <v>631804.7697591366</v>
      </c>
      <c r="N13" s="168">
        <f t="shared" si="26"/>
        <v>577234.98821520957</v>
      </c>
    </row>
    <row r="14" spans="1:14">
      <c r="A14" s="166" t="s">
        <v>229</v>
      </c>
      <c r="B14" s="167">
        <f>-Capex!B5</f>
        <v>2471995</v>
      </c>
      <c r="C14" s="167">
        <f>-Capex!C5</f>
        <v>2471005</v>
      </c>
      <c r="D14" s="167">
        <f>-Capex!D5</f>
        <v>2551444</v>
      </c>
      <c r="E14" s="167">
        <f>-Capex!E5</f>
        <v>1937591</v>
      </c>
      <c r="F14" s="167">
        <f>-Capex!F5</f>
        <v>2589792</v>
      </c>
      <c r="G14" s="167">
        <f>-Capex!H5</f>
        <v>413752</v>
      </c>
      <c r="H14" s="167">
        <f>-Capex!H5</f>
        <v>413752</v>
      </c>
      <c r="I14" s="167">
        <f>-Capex!I5</f>
        <v>115364</v>
      </c>
      <c r="J14" s="167">
        <f>-Capex!J5</f>
        <v>1016362.4900769667</v>
      </c>
      <c r="K14" s="167">
        <f>-Capex!K5</f>
        <v>928577.96911792771</v>
      </c>
      <c r="L14" s="167">
        <f>-Capex!L5</f>
        <v>848375.50888549467</v>
      </c>
      <c r="M14" s="167">
        <f>-Capex!M5</f>
        <v>775100.23715123918</v>
      </c>
      <c r="N14" s="167">
        <f>-Capex!N5</f>
        <v>708153.84383402183</v>
      </c>
    </row>
    <row r="15" spans="1:14">
      <c r="A15" s="166" t="s">
        <v>230</v>
      </c>
      <c r="B15" s="168">
        <f>(B16-((400479+370663+71383)-(437540+53669+83530+41228+221138)))</f>
        <v>327996</v>
      </c>
      <c r="C15" s="168">
        <f>(C16-B16)</f>
        <v>116542</v>
      </c>
      <c r="D15" s="168">
        <f t="shared" ref="D15" si="27">(D16-C16)</f>
        <v>-491416</v>
      </c>
      <c r="E15" s="168">
        <f>(E16-D16)</f>
        <v>678545</v>
      </c>
      <c r="F15" s="168">
        <f>(F16-E16)</f>
        <v>167265</v>
      </c>
      <c r="G15" s="168">
        <f>(G16-F16)</f>
        <v>-390548</v>
      </c>
      <c r="H15" s="168">
        <f>(H16-G16)</f>
        <v>1246627</v>
      </c>
      <c r="I15" s="168">
        <f>(I16-H16)</f>
        <v>1929272</v>
      </c>
      <c r="J15" s="168">
        <f>(J16-I16)</f>
        <v>-3320015.4746541739</v>
      </c>
      <c r="K15" s="168">
        <f t="shared" ref="K15" si="28">(K16-J16)</f>
        <v>48909.542345185298</v>
      </c>
      <c r="L15" s="168">
        <f t="shared" ref="L15" si="29">(L16-K16)</f>
        <v>57779.59790058434</v>
      </c>
      <c r="M15" s="168">
        <f t="shared" ref="M15" si="30">(M16-L16)</f>
        <v>-376376.66559159569</v>
      </c>
      <c r="N15" s="168">
        <f t="shared" ref="N15" si="31">(N16-M16)</f>
        <v>0</v>
      </c>
    </row>
    <row r="16" spans="1:14">
      <c r="A16" s="29" t="s">
        <v>231</v>
      </c>
      <c r="B16" s="93">
        <f>B17-B18</f>
        <v>333416</v>
      </c>
      <c r="C16" s="17">
        <f>C17-C18</f>
        <v>449958</v>
      </c>
      <c r="D16" s="17">
        <f t="shared" ref="D16:L16" si="32">D17-D18</f>
        <v>-41458</v>
      </c>
      <c r="E16" s="17">
        <f>E17-E18</f>
        <v>637087</v>
      </c>
      <c r="F16" s="17">
        <f>F17-F18</f>
        <v>804352</v>
      </c>
      <c r="G16" s="17">
        <f>G17-G18</f>
        <v>413804</v>
      </c>
      <c r="H16" s="17">
        <f>H17-H18</f>
        <v>1660431</v>
      </c>
      <c r="I16" s="17">
        <f t="shared" si="32"/>
        <v>3589703</v>
      </c>
      <c r="J16" s="17">
        <f t="shared" si="32"/>
        <v>269687.52534582606</v>
      </c>
      <c r="K16" s="17">
        <f t="shared" si="32"/>
        <v>318597.06769101135</v>
      </c>
      <c r="L16" s="98">
        <f t="shared" si="32"/>
        <v>376376.66559159569</v>
      </c>
      <c r="M16" s="17">
        <f>M17-M18</f>
        <v>0</v>
      </c>
      <c r="N16" s="98">
        <f t="shared" ref="M16:N16" si="33">N17-N18</f>
        <v>0</v>
      </c>
    </row>
    <row r="17" spans="1:16">
      <c r="A17" s="29" t="s">
        <v>232</v>
      </c>
      <c r="B17" s="93">
        <f>NWC!B6</f>
        <v>1530576</v>
      </c>
      <c r="C17" s="16">
        <f>NWC!C6</f>
        <v>1776864</v>
      </c>
      <c r="D17" s="16">
        <f>NWC!D6</f>
        <v>1166197</v>
      </c>
      <c r="E17" s="16">
        <f>NWC!E6</f>
        <v>2486639</v>
      </c>
      <c r="F17" s="16">
        <f>NWC!F6</f>
        <v>2686562</v>
      </c>
      <c r="G17" s="16">
        <f>NWC!G6</f>
        <v>2978095</v>
      </c>
      <c r="H17" s="16">
        <f>NWC!H6</f>
        <v>3978563</v>
      </c>
      <c r="I17" s="16">
        <f>NWC!I6</f>
        <v>6774827</v>
      </c>
      <c r="J17" s="16">
        <f>NWC!J6</f>
        <v>4216651.3213843107</v>
      </c>
      <c r="K17" s="16">
        <f>NWC!K6</f>
        <v>4981367.7690348746</v>
      </c>
      <c r="L17" s="94">
        <f>NWC!L6</f>
        <v>5884770.3922156719</v>
      </c>
      <c r="M17" s="16">
        <f>NWC!M6</f>
        <v>0</v>
      </c>
      <c r="N17" s="94">
        <f>NWC!N6</f>
        <v>0</v>
      </c>
    </row>
    <row r="18" spans="1:16">
      <c r="A18" s="29" t="s">
        <v>206</v>
      </c>
      <c r="B18" s="93">
        <f>NWC!B12</f>
        <v>1197160</v>
      </c>
      <c r="C18" s="16">
        <f>NWC!C12</f>
        <v>1326906</v>
      </c>
      <c r="D18" s="16">
        <f>NWC!D12</f>
        <v>1207655</v>
      </c>
      <c r="E18" s="16">
        <f>NWC!E12</f>
        <v>1849552</v>
      </c>
      <c r="F18" s="16">
        <f>NWC!F12</f>
        <v>1882210</v>
      </c>
      <c r="G18" s="16">
        <f>NWC!G12</f>
        <v>2564291</v>
      </c>
      <c r="H18" s="16">
        <f>NWC!H12</f>
        <v>2318132</v>
      </c>
      <c r="I18" s="16">
        <f>NWC!I12</f>
        <v>3185124</v>
      </c>
      <c r="J18" s="16">
        <f>NWC!J12</f>
        <v>3946963.7960384847</v>
      </c>
      <c r="K18" s="16">
        <f>NWC!K12</f>
        <v>4662770.7013438633</v>
      </c>
      <c r="L18" s="94">
        <f>NWC!L12</f>
        <v>5508393.7266240763</v>
      </c>
      <c r="M18" s="16">
        <f>NWC!M12</f>
        <v>0</v>
      </c>
      <c r="N18" s="94">
        <f>NWC!N12</f>
        <v>0</v>
      </c>
    </row>
    <row r="19" spans="1:16" s="31" customFormat="1">
      <c r="A19" s="30" t="s">
        <v>233</v>
      </c>
      <c r="B19" s="95">
        <f>B12+B13-B14-B15</f>
        <v>-2066289</v>
      </c>
      <c r="C19" s="19">
        <f>C12+C13-C14-C15</f>
        <v>-2229098</v>
      </c>
      <c r="D19" s="19">
        <f t="shared" ref="D19" si="34">D12+D13-D14-D15</f>
        <v>-1470675</v>
      </c>
      <c r="E19" s="19">
        <f>E12+E13-E14-E15</f>
        <v>1861333</v>
      </c>
      <c r="F19" s="19">
        <f>F12+F13-F14-F15</f>
        <v>4102296</v>
      </c>
      <c r="G19" s="19">
        <f>G12+G13-G14-G15</f>
        <v>2690277</v>
      </c>
      <c r="H19" s="19">
        <f>H12+H13-H14-H15</f>
        <v>783173</v>
      </c>
      <c r="I19" s="19">
        <f t="shared" ref="I19:K19" si="35">I12+I13-I14-I15</f>
        <v>303789</v>
      </c>
      <c r="J19" s="19">
        <f t="shared" si="35"/>
        <v>6434153.4277206501</v>
      </c>
      <c r="K19" s="19">
        <f t="shared" si="35"/>
        <v>3458499.9780554911</v>
      </c>
      <c r="L19" s="19">
        <f>L12+L13-L14-L15</f>
        <v>3929036.2035729662</v>
      </c>
      <c r="M19" s="19">
        <f t="shared" ref="M19:N19" si="36">M12+M13-M14-M15</f>
        <v>4943075.1705218889</v>
      </c>
      <c r="N19" s="19">
        <f>N12+N13-N14-N15</f>
        <v>5264110.7998124035</v>
      </c>
      <c r="P19" s="31" t="s">
        <v>293</v>
      </c>
    </row>
    <row r="20" spans="1:16">
      <c r="A20" s="29" t="s">
        <v>234</v>
      </c>
      <c r="B20" s="93">
        <f>IS!B9</f>
        <v>142053</v>
      </c>
      <c r="C20" s="16">
        <f>IS!C9</f>
        <v>87173</v>
      </c>
      <c r="D20" s="16">
        <f>IS!D9</f>
        <v>43301</v>
      </c>
      <c r="E20" s="16">
        <f>IS!E9</f>
        <v>18580</v>
      </c>
      <c r="F20" s="16">
        <f>IS!F9</f>
        <v>10275</v>
      </c>
      <c r="G20" s="16">
        <f>IS!G9</f>
        <v>10156</v>
      </c>
      <c r="H20" s="16">
        <f>IS!H9</f>
        <v>44381</v>
      </c>
      <c r="I20" s="16">
        <f>IS!I9</f>
        <v>70405</v>
      </c>
      <c r="J20" s="16">
        <f t="shared" ref="J20:L20" si="37">J3*J31</f>
        <v>64802.528427634112</v>
      </c>
      <c r="K20" s="16">
        <f t="shared" si="37"/>
        <v>76554.877759114097</v>
      </c>
      <c r="L20" s="94">
        <f t="shared" si="37"/>
        <v>90438.590143246794</v>
      </c>
      <c r="M20" s="16">
        <f t="shared" ref="M20:N20" si="38">M3*M31</f>
        <v>106840.20178092996</v>
      </c>
      <c r="N20" s="94">
        <f t="shared" si="38"/>
        <v>126216.34966345386</v>
      </c>
    </row>
    <row r="21" spans="1:16" s="31" customFormat="1" ht="11" thickBot="1">
      <c r="A21" s="32" t="s">
        <v>235</v>
      </c>
      <c r="B21" s="99">
        <f>B19-B20</f>
        <v>-2208342</v>
      </c>
      <c r="C21" s="21">
        <f t="shared" ref="C21:L21" si="39">C19-C20</f>
        <v>-2316271</v>
      </c>
      <c r="D21" s="21">
        <f t="shared" si="39"/>
        <v>-1513976</v>
      </c>
      <c r="E21" s="21">
        <f t="shared" si="39"/>
        <v>1842753</v>
      </c>
      <c r="F21" s="21">
        <f t="shared" si="39"/>
        <v>4092021</v>
      </c>
      <c r="G21" s="21">
        <f t="shared" ref="G21" si="40">G19-G20</f>
        <v>2680121</v>
      </c>
      <c r="H21" s="21">
        <f t="shared" si="39"/>
        <v>738792</v>
      </c>
      <c r="I21" s="21">
        <f t="shared" si="39"/>
        <v>233384</v>
      </c>
      <c r="J21" s="21">
        <f t="shared" si="39"/>
        <v>6369350.8992930157</v>
      </c>
      <c r="K21" s="21">
        <f t="shared" si="39"/>
        <v>3381945.1002963772</v>
      </c>
      <c r="L21" s="100">
        <f t="shared" si="39"/>
        <v>3838597.6134297196</v>
      </c>
      <c r="M21" s="21">
        <f t="shared" ref="M21:N21" si="41">M19-M20</f>
        <v>4836234.9687409587</v>
      </c>
      <c r="N21" s="100">
        <f t="shared" si="41"/>
        <v>5137894.4501489494</v>
      </c>
    </row>
    <row r="24" spans="1:16" ht="11" thickBot="1"/>
    <row r="25" spans="1:16" ht="15" customHeight="1" thickBot="1">
      <c r="A25" s="209" t="s">
        <v>207</v>
      </c>
      <c r="B25" s="209"/>
      <c r="C25" s="209"/>
      <c r="D25" s="209"/>
      <c r="E25" s="209"/>
      <c r="F25" s="209"/>
      <c r="G25" s="209"/>
      <c r="H25" s="209"/>
      <c r="I25" s="209"/>
      <c r="J25" s="209"/>
      <c r="K25" s="209"/>
      <c r="L25" s="209"/>
      <c r="M25" s="223"/>
      <c r="N25" s="223"/>
    </row>
    <row r="26" spans="1:16" ht="11" thickBot="1">
      <c r="A26" s="33" t="s">
        <v>196</v>
      </c>
      <c r="B26" s="50">
        <v>2018</v>
      </c>
      <c r="C26" s="50">
        <v>2019</v>
      </c>
      <c r="D26" s="50">
        <v>2020</v>
      </c>
      <c r="E26" s="50">
        <v>2021</v>
      </c>
      <c r="F26" s="50">
        <v>2022</v>
      </c>
      <c r="G26" s="50">
        <v>2023</v>
      </c>
      <c r="H26" s="50">
        <v>2024</v>
      </c>
      <c r="I26" s="50">
        <v>2025</v>
      </c>
      <c r="J26" s="50">
        <v>2026</v>
      </c>
      <c r="K26" s="50">
        <v>2027</v>
      </c>
      <c r="L26" s="50">
        <v>2028</v>
      </c>
      <c r="M26" s="50">
        <v>2029</v>
      </c>
      <c r="N26" s="50">
        <v>2030</v>
      </c>
    </row>
    <row r="27" spans="1:16">
      <c r="A27" s="34" t="s">
        <v>236</v>
      </c>
      <c r="B27" s="101">
        <f>(B3-5832973)/5832973</f>
        <v>0.1468129545602217</v>
      </c>
      <c r="C27" s="102">
        <f>(C3-B3)/B3</f>
        <v>5.2865989996904027E-2</v>
      </c>
      <c r="D27" s="102">
        <f>(D3-C3)/C3</f>
        <v>7.3592280071736807E-2</v>
      </c>
      <c r="E27" s="102">
        <f>(E3-D3)/D3</f>
        <v>0.30530406578255653</v>
      </c>
      <c r="F27" s="102">
        <f>(F3-E3)/E3</f>
        <v>0.61346599710651617</v>
      </c>
      <c r="G27" s="102">
        <f>(G3-F3)/F3</f>
        <v>-0.21061755868792836</v>
      </c>
      <c r="H27" s="102">
        <f>(H3-G3)/G3</f>
        <v>7.0406112958375219E-2</v>
      </c>
      <c r="I27" s="102">
        <f>(I3-H3)/H3</f>
        <v>0.23598713842616281</v>
      </c>
      <c r="J27" s="102">
        <f>AVERAGE(D27:I27)</f>
        <v>0.18135633927623651</v>
      </c>
      <c r="K27" s="102">
        <f t="shared" ref="K27:L27" si="42">J27</f>
        <v>0.18135633927623651</v>
      </c>
      <c r="L27" s="103">
        <f t="shared" si="42"/>
        <v>0.18135633927623651</v>
      </c>
      <c r="M27" s="102">
        <f t="shared" ref="M27:M31" si="43">L27</f>
        <v>0.18135633927623651</v>
      </c>
      <c r="N27" s="103">
        <f t="shared" ref="N27:N31" si="44">M27</f>
        <v>0.18135633927623651</v>
      </c>
    </row>
    <row r="28" spans="1:16">
      <c r="A28" s="34" t="s">
        <v>237</v>
      </c>
      <c r="B28" s="36">
        <f>B4/B3</f>
        <v>0.78517142750790103</v>
      </c>
      <c r="C28" s="24">
        <f>C4/C3</f>
        <v>0.86380853410217595</v>
      </c>
      <c r="D28" s="24">
        <f>D4/D3</f>
        <v>0.82584312830838713</v>
      </c>
      <c r="E28" s="24">
        <f t="shared" ref="E28:H28" si="45">E4/E3</f>
        <v>0.71823669930068235</v>
      </c>
      <c r="F28" s="35">
        <f t="shared" si="45"/>
        <v>0.64184619109880003</v>
      </c>
      <c r="G28" s="35">
        <f t="shared" ref="G28:I28" si="46">G4/G3</f>
        <v>0.83836814673543913</v>
      </c>
      <c r="H28" s="35">
        <f t="shared" si="45"/>
        <v>0.81320143271362788</v>
      </c>
      <c r="I28" s="35">
        <f t="shared" si="46"/>
        <v>0.75655859293497119</v>
      </c>
      <c r="J28" s="35">
        <f>AVERAGE(D28:I28)</f>
        <v>0.76567569851531792</v>
      </c>
      <c r="K28" s="35">
        <f t="shared" ref="K28:L28" si="47">J28</f>
        <v>0.76567569851531792</v>
      </c>
      <c r="L28" s="104">
        <f t="shared" si="47"/>
        <v>0.76567569851531792</v>
      </c>
      <c r="M28" s="35">
        <f t="shared" si="43"/>
        <v>0.76567569851531792</v>
      </c>
      <c r="N28" s="104">
        <f t="shared" si="44"/>
        <v>0.76567569851531792</v>
      </c>
    </row>
    <row r="29" spans="1:16">
      <c r="A29" s="34" t="s">
        <v>238</v>
      </c>
      <c r="B29" s="36">
        <f t="shared" ref="B29:I29" si="48">B6/B3</f>
        <v>9.809922639475499E-2</v>
      </c>
      <c r="C29" s="24">
        <f t="shared" si="48"/>
        <v>8.0275542963640187E-2</v>
      </c>
      <c r="D29" s="24">
        <f t="shared" si="48"/>
        <v>8.9059979963696592E-2</v>
      </c>
      <c r="E29" s="24">
        <f t="shared" si="48"/>
        <v>9.6141416972221116E-2</v>
      </c>
      <c r="F29" s="35">
        <f t="shared" si="48"/>
        <v>8.4830714281183994E-2</v>
      </c>
      <c r="G29" s="35">
        <f t="shared" si="48"/>
        <v>0.10732934188517886</v>
      </c>
      <c r="H29" s="35">
        <f t="shared" si="48"/>
        <v>0.11113727125204886</v>
      </c>
      <c r="I29" s="35">
        <f t="shared" si="48"/>
        <v>0.12891179266583408</v>
      </c>
      <c r="J29" s="35">
        <f>AVERAGE(D29:I29)</f>
        <v>0.10290175283669391</v>
      </c>
      <c r="K29" s="35">
        <f t="shared" ref="K29:L29" si="49">J29</f>
        <v>0.10290175283669391</v>
      </c>
      <c r="L29" s="104">
        <f t="shared" si="49"/>
        <v>0.10290175283669391</v>
      </c>
      <c r="M29" s="35">
        <f t="shared" si="43"/>
        <v>0.10290175283669391</v>
      </c>
      <c r="N29" s="104">
        <f t="shared" si="44"/>
        <v>0.10290175283669391</v>
      </c>
    </row>
    <row r="30" spans="1:16">
      <c r="A30" s="34" t="s">
        <v>239</v>
      </c>
      <c r="B30" s="36">
        <f t="shared" ref="B30:I30" si="50">B11/B10</f>
        <v>-8.9613611520364997E-2</v>
      </c>
      <c r="C30" s="24">
        <f t="shared" si="50"/>
        <v>-3.8091924705841801E-2</v>
      </c>
      <c r="D30" s="24">
        <f t="shared" si="50"/>
        <v>-8.0035987191400954E-2</v>
      </c>
      <c r="E30" s="24">
        <f t="shared" si="50"/>
        <v>4.0419848383252653E-2</v>
      </c>
      <c r="F30" s="35">
        <f t="shared" si="50"/>
        <v>4.7920080270730907E-2</v>
      </c>
      <c r="G30" s="35">
        <f t="shared" si="50"/>
        <v>8.1715224979947806E-2</v>
      </c>
      <c r="H30" s="35">
        <f t="shared" si="50"/>
        <v>5.2905270333967434E-2</v>
      </c>
      <c r="I30" s="35">
        <f t="shared" si="50"/>
        <v>0.10918440564458264</v>
      </c>
      <c r="J30" s="35">
        <f>AVERAGE(D30:I30)</f>
        <v>4.201814040351342E-2</v>
      </c>
      <c r="K30" s="35">
        <f t="shared" ref="K30:L30" si="51">J30</f>
        <v>4.201814040351342E-2</v>
      </c>
      <c r="L30" s="104">
        <f t="shared" si="51"/>
        <v>4.201814040351342E-2</v>
      </c>
      <c r="M30" s="35">
        <f t="shared" si="43"/>
        <v>4.201814040351342E-2</v>
      </c>
      <c r="N30" s="104">
        <f t="shared" si="44"/>
        <v>4.201814040351342E-2</v>
      </c>
    </row>
    <row r="31" spans="1:16" ht="11" thickBot="1">
      <c r="A31" s="37" t="s">
        <v>240</v>
      </c>
      <c r="B31" s="38">
        <f t="shared" ref="B31:E31" si="52">B20/B3</f>
        <v>2.1235762211725569E-2</v>
      </c>
      <c r="C31" s="27">
        <f t="shared" si="52"/>
        <v>1.2377312005011524E-2</v>
      </c>
      <c r="D31" s="27">
        <f t="shared" si="52"/>
        <v>5.7266796935701979E-3</v>
      </c>
      <c r="E31" s="27">
        <f t="shared" si="52"/>
        <v>1.8825173410952219E-3</v>
      </c>
      <c r="F31" s="105">
        <f>F20/F3</f>
        <v>6.4523109540396393E-4</v>
      </c>
      <c r="G31" s="105">
        <f>G20/G3</f>
        <v>8.0792061312869403E-4</v>
      </c>
      <c r="H31" s="221">
        <f>H20/H3</f>
        <v>3.2983329970417488E-3</v>
      </c>
      <c r="I31" s="221">
        <f>H20/H3</f>
        <v>3.2983329970417488E-3</v>
      </c>
      <c r="J31" s="169">
        <f>+I31</f>
        <v>3.2983329970417488E-3</v>
      </c>
      <c r="K31" s="169">
        <f t="shared" ref="K31:L31" si="53">J31</f>
        <v>3.2983329970417488E-3</v>
      </c>
      <c r="L31" s="170">
        <f t="shared" si="53"/>
        <v>3.2983329970417488E-3</v>
      </c>
      <c r="M31" s="169">
        <f t="shared" si="43"/>
        <v>3.2983329970417488E-3</v>
      </c>
      <c r="N31" s="170">
        <f t="shared" si="44"/>
        <v>3.2983329970417488E-3</v>
      </c>
      <c r="P31" s="129" t="s">
        <v>294</v>
      </c>
    </row>
    <row r="34" spans="1:4">
      <c r="D34" s="198"/>
    </row>
    <row r="35" spans="1:4">
      <c r="A35" s="31"/>
    </row>
    <row r="36" spans="1:4">
      <c r="A36" s="31"/>
    </row>
    <row r="37" spans="1:4">
      <c r="A37" s="31"/>
    </row>
    <row r="38" spans="1:4">
      <c r="A38" s="31"/>
    </row>
    <row r="39" spans="1:4">
      <c r="A39" s="31"/>
    </row>
    <row r="40" spans="1:4">
      <c r="A40" s="31"/>
    </row>
  </sheetData>
  <mergeCells count="2">
    <mergeCell ref="A1:L1"/>
    <mergeCell ref="A25:L25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426FD-170A-4125-84E4-1E67A1EC8578}">
  <dimension ref="A1:N13"/>
  <sheetViews>
    <sheetView zoomScaleNormal="100" workbookViewId="0">
      <selection activeCell="I5" sqref="I5"/>
    </sheetView>
  </sheetViews>
  <sheetFormatPr defaultColWidth="8.75" defaultRowHeight="14"/>
  <cols>
    <col min="1" max="1" width="20.08203125" style="12" customWidth="1"/>
    <col min="2" max="12" width="9.33203125" style="12" customWidth="1"/>
    <col min="13" max="16384" width="8.75" style="12"/>
  </cols>
  <sheetData>
    <row r="1" spans="1:14" ht="15" customHeight="1" thickBot="1">
      <c r="A1" s="213" t="s">
        <v>241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</row>
    <row r="2" spans="1:14" ht="14.5" thickBot="1">
      <c r="A2" s="48" t="s">
        <v>196</v>
      </c>
      <c r="B2" s="49">
        <v>2018</v>
      </c>
      <c r="C2" s="49">
        <v>2019</v>
      </c>
      <c r="D2" s="49">
        <v>2020</v>
      </c>
      <c r="E2" s="49">
        <v>2021</v>
      </c>
      <c r="F2" s="49">
        <v>2022</v>
      </c>
      <c r="G2" s="49">
        <v>2023</v>
      </c>
      <c r="H2" s="49">
        <v>2024</v>
      </c>
      <c r="I2" s="49">
        <v>2025</v>
      </c>
      <c r="J2" s="49">
        <v>2026</v>
      </c>
      <c r="K2" s="49">
        <v>2027</v>
      </c>
      <c r="L2" s="49">
        <v>2028</v>
      </c>
      <c r="M2" s="49">
        <v>2029</v>
      </c>
      <c r="N2" s="49">
        <v>2030</v>
      </c>
    </row>
    <row r="3" spans="1:14">
      <c r="A3" s="41" t="s">
        <v>242</v>
      </c>
      <c r="B3" s="68">
        <v>7501544</v>
      </c>
      <c r="C3" s="82">
        <f>BL!B38</f>
        <v>6336415</v>
      </c>
      <c r="D3" s="82">
        <f>BL!C38</f>
        <v>5187636</v>
      </c>
      <c r="E3" s="82">
        <f>BL!D38</f>
        <v>3955429</v>
      </c>
      <c r="F3" s="82">
        <f>BL!E38</f>
        <v>3405623</v>
      </c>
      <c r="G3" s="82">
        <f>BL!F38</f>
        <v>2206853</v>
      </c>
      <c r="H3" s="82">
        <f>BL!G38</f>
        <v>1600175</v>
      </c>
      <c r="I3" s="82">
        <f>BL!H38</f>
        <v>1946194</v>
      </c>
      <c r="J3" s="82">
        <f>I6</f>
        <v>2175474</v>
      </c>
      <c r="K3" s="82">
        <f t="shared" ref="K3:L3" si="0">J6</f>
        <v>1987575.5436781985</v>
      </c>
      <c r="L3" s="83">
        <f t="shared" si="0"/>
        <v>1815906.1160131935</v>
      </c>
      <c r="M3" s="82">
        <f t="shared" ref="M3" si="1">L6</f>
        <v>1659063.995158521</v>
      </c>
      <c r="N3" s="83">
        <f t="shared" ref="N3" si="2">M6</f>
        <v>1515768.5277664184</v>
      </c>
    </row>
    <row r="4" spans="1:14">
      <c r="A4" s="41" t="s">
        <v>243</v>
      </c>
      <c r="B4" s="71">
        <f>Data!B9</f>
        <v>-1306866</v>
      </c>
      <c r="C4" s="44">
        <f>Data!C9</f>
        <v>-1322226</v>
      </c>
      <c r="D4" s="44">
        <f>Data!D9</f>
        <v>-1319237</v>
      </c>
      <c r="E4" s="44">
        <f>Data!E9</f>
        <v>-1387785</v>
      </c>
      <c r="F4" s="44">
        <f>Data!F9</f>
        <v>-1391022</v>
      </c>
      <c r="G4" s="44">
        <f>Data!G9</f>
        <v>-1087768</v>
      </c>
      <c r="H4" s="44">
        <f>Data!H9</f>
        <v>-759771</v>
      </c>
      <c r="I4" s="44">
        <f>Data!I9</f>
        <v>-344644</v>
      </c>
      <c r="J4" s="44">
        <f>J3*J12</f>
        <v>-828464.03375516506</v>
      </c>
      <c r="K4" s="44">
        <f>K3*K12</f>
        <v>-756908.54145292274</v>
      </c>
      <c r="L4" s="65">
        <f>L3*L12</f>
        <v>-691533.38803082227</v>
      </c>
      <c r="M4" s="44">
        <f>M3*M12</f>
        <v>-631804.7697591366</v>
      </c>
      <c r="N4" s="65">
        <f>N3*N12</f>
        <v>-577234.98821520957</v>
      </c>
    </row>
    <row r="5" spans="1:14">
      <c r="A5" s="41" t="s">
        <v>244</v>
      </c>
      <c r="B5" s="71">
        <f>B6-B3+B4</f>
        <v>-2471995</v>
      </c>
      <c r="C5" s="44">
        <f t="shared" ref="C5:H5" si="3">C6-C3+C4</f>
        <v>-2471005</v>
      </c>
      <c r="D5" s="44">
        <f t="shared" si="3"/>
        <v>-2551444</v>
      </c>
      <c r="E5" s="44">
        <f t="shared" si="3"/>
        <v>-1937591</v>
      </c>
      <c r="F5" s="44">
        <f t="shared" si="3"/>
        <v>-2589792</v>
      </c>
      <c r="G5" s="44">
        <f>G6-G3+G4</f>
        <v>-1694446</v>
      </c>
      <c r="H5" s="44">
        <f t="shared" si="3"/>
        <v>-413752</v>
      </c>
      <c r="I5" s="44">
        <f>I6-I3+I4</f>
        <v>-115364</v>
      </c>
      <c r="J5" s="44">
        <f>J3*J13</f>
        <v>-1016362.4900769667</v>
      </c>
      <c r="K5" s="44">
        <f>K3*K13</f>
        <v>-928577.96911792771</v>
      </c>
      <c r="L5" s="65">
        <f t="shared" ref="I5:L5" si="4">L3*L13</f>
        <v>-848375.50888549467</v>
      </c>
      <c r="M5" s="44">
        <f>M3*M13</f>
        <v>-775100.23715123918</v>
      </c>
      <c r="N5" s="65">
        <f t="shared" ref="N5" si="5">N3*N13</f>
        <v>-708153.84383402183</v>
      </c>
    </row>
    <row r="6" spans="1:14" ht="14.5" thickBot="1">
      <c r="A6" s="42" t="s">
        <v>245</v>
      </c>
      <c r="B6" s="73">
        <f>BL!B38</f>
        <v>6336415</v>
      </c>
      <c r="C6" s="40">
        <f>BL!C38</f>
        <v>5187636</v>
      </c>
      <c r="D6" s="40">
        <f>BL!D38</f>
        <v>3955429</v>
      </c>
      <c r="E6" s="40">
        <f>BL!E38</f>
        <v>3405623</v>
      </c>
      <c r="F6" s="40">
        <f>BL!F38</f>
        <v>2206853</v>
      </c>
      <c r="G6" s="40">
        <f>BL!G38</f>
        <v>1600175</v>
      </c>
      <c r="H6" s="40">
        <f>BL!H38</f>
        <v>1946194</v>
      </c>
      <c r="I6" s="40">
        <f>BL!I38</f>
        <v>2175474</v>
      </c>
      <c r="J6" s="40">
        <f>J3+J5-J4</f>
        <v>1987575.5436781985</v>
      </c>
      <c r="K6" s="40">
        <f>K3+K5-K4</f>
        <v>1815906.1160131935</v>
      </c>
      <c r="L6" s="84">
        <f>L3+L5-L4</f>
        <v>1659063.995158521</v>
      </c>
      <c r="M6" s="40">
        <f>M3+M5-M4</f>
        <v>1515768.5277664184</v>
      </c>
      <c r="N6" s="84">
        <f>N3+N5-N4</f>
        <v>1384849.672147606</v>
      </c>
    </row>
    <row r="7" spans="1:14">
      <c r="A7" s="39"/>
      <c r="B7" s="43"/>
      <c r="C7" s="43"/>
      <c r="D7" s="43"/>
      <c r="E7" s="43"/>
      <c r="F7" s="43"/>
      <c r="G7" s="43"/>
      <c r="H7" s="43"/>
    </row>
    <row r="9" spans="1:14" ht="14.5" thickBot="1">
      <c r="A9" s="39"/>
      <c r="B9" s="39"/>
      <c r="C9" s="39"/>
      <c r="D9" s="39"/>
      <c r="E9" s="39"/>
      <c r="F9" s="39"/>
      <c r="G9" s="39"/>
      <c r="H9" s="39"/>
    </row>
    <row r="10" spans="1:14" ht="15" customHeight="1" thickBot="1">
      <c r="A10" s="213" t="s">
        <v>207</v>
      </c>
      <c r="B10" s="213"/>
      <c r="C10" s="213"/>
      <c r="D10" s="213"/>
      <c r="E10" s="213"/>
      <c r="F10" s="213"/>
      <c r="G10" s="213"/>
      <c r="H10" s="213"/>
      <c r="I10" s="213"/>
      <c r="J10" s="213"/>
      <c r="K10" s="213"/>
      <c r="L10" s="213"/>
    </row>
    <row r="11" spans="1:14" ht="14.5" thickBot="1">
      <c r="A11" s="46" t="s">
        <v>196</v>
      </c>
      <c r="B11" s="49">
        <v>2018</v>
      </c>
      <c r="C11" s="49">
        <v>2019</v>
      </c>
      <c r="D11" s="49">
        <v>2020</v>
      </c>
      <c r="E11" s="49">
        <v>2021</v>
      </c>
      <c r="F11" s="49">
        <v>2022</v>
      </c>
      <c r="G11" s="49">
        <v>2023</v>
      </c>
      <c r="H11" s="49">
        <v>2024</v>
      </c>
      <c r="I11" s="49">
        <v>2025</v>
      </c>
      <c r="J11" s="49">
        <v>2026</v>
      </c>
      <c r="K11" s="49">
        <v>2027</v>
      </c>
      <c r="L11" s="49">
        <v>2028</v>
      </c>
      <c r="M11" s="49">
        <v>2029</v>
      </c>
      <c r="N11" s="49">
        <v>2030</v>
      </c>
    </row>
    <row r="12" spans="1:14">
      <c r="A12" s="41" t="s">
        <v>246</v>
      </c>
      <c r="B12" s="85">
        <f>B4/B3</f>
        <v>-0.17421293536370647</v>
      </c>
      <c r="C12" s="86">
        <f>C4/C3</f>
        <v>-0.20867099140444556</v>
      </c>
      <c r="D12" s="86">
        <f t="shared" ref="D12" si="6">D4/D3</f>
        <v>-0.25430407993159121</v>
      </c>
      <c r="E12" s="86">
        <f>E4/E3</f>
        <v>-0.35085574788474272</v>
      </c>
      <c r="F12" s="86">
        <f>F4/F3</f>
        <v>-0.4084486157158323</v>
      </c>
      <c r="G12" s="86">
        <f>G4/G3</f>
        <v>-0.49290460216425835</v>
      </c>
      <c r="H12" s="86">
        <f t="shared" ref="H12:I12" si="7">H4/H3</f>
        <v>-0.47480494320933647</v>
      </c>
      <c r="I12" s="86">
        <f t="shared" si="7"/>
        <v>-0.17708614865732811</v>
      </c>
      <c r="J12" s="86">
        <f>AVERAGE(E12:I12)</f>
        <v>-0.38082001152629957</v>
      </c>
      <c r="K12" s="86">
        <f t="shared" ref="J12:L12" si="8">J12</f>
        <v>-0.38082001152629957</v>
      </c>
      <c r="L12" s="87">
        <f t="shared" si="8"/>
        <v>-0.38082001152629957</v>
      </c>
      <c r="M12" s="86">
        <f t="shared" ref="M12:M13" si="9">L12</f>
        <v>-0.38082001152629957</v>
      </c>
      <c r="N12" s="87">
        <f t="shared" ref="N12:N13" si="10">M12</f>
        <v>-0.38082001152629957</v>
      </c>
    </row>
    <row r="13" spans="1:14" ht="14.5" thickBot="1">
      <c r="A13" s="45" t="s">
        <v>247</v>
      </c>
      <c r="B13" s="88">
        <f>B5/B3</f>
        <v>-0.3295314937831465</v>
      </c>
      <c r="C13" s="47">
        <f t="shared" ref="C13:I13" si="11">C5/C3</f>
        <v>-0.38996893353733936</v>
      </c>
      <c r="D13" s="47">
        <f t="shared" si="11"/>
        <v>-0.49183173221868304</v>
      </c>
      <c r="E13" s="47">
        <f>E5/E3</f>
        <v>-0.48985609399132179</v>
      </c>
      <c r="F13" s="47">
        <f t="shared" si="11"/>
        <v>-0.76044588611246755</v>
      </c>
      <c r="G13" s="47">
        <f>G5/G3</f>
        <v>-0.76781099602012459</v>
      </c>
      <c r="H13" s="47">
        <f>H5/H3</f>
        <v>-0.2585667192650804</v>
      </c>
      <c r="I13" s="47">
        <f>I5/I3</f>
        <v>-5.9276721642343981E-2</v>
      </c>
      <c r="J13" s="47">
        <f>AVERAGE(E13:I13)</f>
        <v>-0.46719128340626764</v>
      </c>
      <c r="K13" s="47">
        <f t="shared" ref="J13:L13" si="12">J13</f>
        <v>-0.46719128340626764</v>
      </c>
      <c r="L13" s="89">
        <f t="shared" si="12"/>
        <v>-0.46719128340626764</v>
      </c>
      <c r="M13" s="47">
        <f t="shared" si="9"/>
        <v>-0.46719128340626764</v>
      </c>
      <c r="N13" s="89">
        <f t="shared" si="10"/>
        <v>-0.46719128340626764</v>
      </c>
    </row>
  </sheetData>
  <mergeCells count="2">
    <mergeCell ref="A10:L10"/>
    <mergeCell ref="A1:L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A8AF9-30C0-4F92-817F-E269ABB8BB6B}">
  <dimension ref="A1:D13"/>
  <sheetViews>
    <sheetView workbookViewId="0">
      <selection activeCell="A10" sqref="A10:B10"/>
    </sheetView>
  </sheetViews>
  <sheetFormatPr defaultColWidth="8.83203125" defaultRowHeight="10.5"/>
  <cols>
    <col min="1" max="1" width="8.83203125" style="13"/>
    <col min="2" max="2" width="14.75" style="13" bestFit="1" customWidth="1"/>
    <col min="3" max="16384" width="8.83203125" style="13"/>
  </cols>
  <sheetData>
    <row r="1" spans="1:4" ht="10.5" customHeight="1">
      <c r="A1" s="199" t="s">
        <v>249</v>
      </c>
      <c r="B1" s="200">
        <v>3.1399999999999997E-2</v>
      </c>
    </row>
    <row r="2" spans="1:4" ht="10.5" customHeight="1">
      <c r="A2" s="199" t="s">
        <v>250</v>
      </c>
      <c r="B2" s="200">
        <v>0.2</v>
      </c>
    </row>
    <row r="3" spans="1:4" ht="10.5" customHeight="1">
      <c r="A3" s="199" t="s">
        <v>251</v>
      </c>
      <c r="B3" s="200">
        <f>B1*(1-B2)</f>
        <v>2.512E-2</v>
      </c>
    </row>
    <row r="4" spans="1:4" ht="10.5" customHeight="1">
      <c r="A4" s="199" t="s">
        <v>252</v>
      </c>
      <c r="B4" s="200">
        <v>0.33797161924199964</v>
      </c>
      <c r="D4" s="178" t="s">
        <v>291</v>
      </c>
    </row>
    <row r="5" spans="1:4" ht="10.5" customHeight="1">
      <c r="A5" s="199" t="s">
        <v>253</v>
      </c>
      <c r="B5" s="200">
        <v>2.759E-2</v>
      </c>
    </row>
    <row r="6" spans="1:4" ht="10.5" customHeight="1">
      <c r="A6" s="199" t="s">
        <v>258</v>
      </c>
      <c r="B6" s="200">
        <v>0.09</v>
      </c>
    </row>
    <row r="7" spans="1:4" ht="10.5" customHeight="1">
      <c r="A7" s="199" t="s">
        <v>254</v>
      </c>
      <c r="B7" s="201">
        <v>0.98899999999999999</v>
      </c>
    </row>
    <row r="8" spans="1:4" ht="10.5" customHeight="1">
      <c r="A8" s="199" t="s">
        <v>255</v>
      </c>
      <c r="B8" s="200">
        <f>B5+B7*B6</f>
        <v>0.1166</v>
      </c>
    </row>
    <row r="9" spans="1:4" ht="10.5" customHeight="1">
      <c r="A9" s="199" t="s">
        <v>256</v>
      </c>
      <c r="B9" s="200">
        <f>1-B4</f>
        <v>0.6620283807580003</v>
      </c>
    </row>
    <row r="10" spans="1:4" ht="10.5" customHeight="1">
      <c r="A10" s="203" t="s">
        <v>257</v>
      </c>
      <c r="B10" s="204">
        <f>B9*B8+B4*B3</f>
        <v>8.5682356271741866E-2</v>
      </c>
    </row>
    <row r="11" spans="1:4" ht="10.5" customHeight="1"/>
    <row r="12" spans="1:4" ht="10.5" customHeight="1"/>
    <row r="13" spans="1:4" ht="10.5" customHeight="1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147E8-0C19-4596-B247-ED08554A1F0C}">
  <dimension ref="A1:M18"/>
  <sheetViews>
    <sheetView zoomScaleNormal="100" workbookViewId="0">
      <selection activeCell="A9" sqref="A9:B18"/>
    </sheetView>
  </sheetViews>
  <sheetFormatPr defaultColWidth="8.83203125" defaultRowHeight="10.5"/>
  <cols>
    <col min="1" max="1" width="20.75" style="13" customWidth="1"/>
    <col min="2" max="2" width="10.33203125" style="13" customWidth="1"/>
    <col min="3" max="12" width="8.6640625" style="13" customWidth="1"/>
    <col min="13" max="16384" width="8.83203125" style="13"/>
  </cols>
  <sheetData>
    <row r="1" spans="1:13" ht="15" customHeight="1" thickBot="1">
      <c r="A1" s="210" t="s">
        <v>233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2"/>
      <c r="M1" s="34"/>
    </row>
    <row r="2" spans="1:13" ht="11" thickBot="1">
      <c r="A2" s="14" t="s">
        <v>196</v>
      </c>
      <c r="B2" s="50">
        <v>2018</v>
      </c>
      <c r="C2" s="50">
        <v>2019</v>
      </c>
      <c r="D2" s="50">
        <v>2020</v>
      </c>
      <c r="E2" s="50">
        <v>2021</v>
      </c>
      <c r="F2" s="50">
        <v>2022</v>
      </c>
      <c r="G2" s="50">
        <v>2023</v>
      </c>
      <c r="H2" s="50">
        <v>2024</v>
      </c>
      <c r="I2" s="50">
        <v>2025</v>
      </c>
      <c r="J2" s="50">
        <v>2026</v>
      </c>
      <c r="K2" s="50">
        <v>2027</v>
      </c>
      <c r="L2" s="50">
        <v>2028</v>
      </c>
    </row>
    <row r="3" spans="1:13">
      <c r="A3" s="15" t="s">
        <v>233</v>
      </c>
      <c r="B3" s="68">
        <f>Data!B19</f>
        <v>-2066289</v>
      </c>
      <c r="C3" s="81">
        <f>Data!C19</f>
        <v>-2229098</v>
      </c>
      <c r="D3" s="82">
        <f>Data!D19</f>
        <v>-1470675</v>
      </c>
      <c r="E3" s="69">
        <f>Data!E19</f>
        <v>1861333</v>
      </c>
      <c r="F3" s="69">
        <f>Data!F19</f>
        <v>4102296</v>
      </c>
      <c r="G3" s="69">
        <f>Data!G19</f>
        <v>2690277</v>
      </c>
      <c r="H3" s="69">
        <f>Data!H19</f>
        <v>783173</v>
      </c>
      <c r="I3" s="69">
        <f>Data!I19</f>
        <v>303789</v>
      </c>
      <c r="J3" s="69">
        <f>Data!J19</f>
        <v>6434153.4277206501</v>
      </c>
      <c r="K3" s="69">
        <f>Data!K19</f>
        <v>3458499.9780554911</v>
      </c>
      <c r="L3" s="206">
        <f>Data!L19</f>
        <v>3929036.2035729662</v>
      </c>
      <c r="M3" s="34"/>
    </row>
    <row r="4" spans="1:13">
      <c r="A4" s="15" t="s">
        <v>259</v>
      </c>
      <c r="B4" s="71"/>
      <c r="C4" s="52"/>
      <c r="D4" s="44"/>
      <c r="E4" s="52"/>
      <c r="F4" s="52"/>
      <c r="G4" s="52"/>
      <c r="H4" s="52">
        <v>1</v>
      </c>
      <c r="I4" s="52">
        <v>2</v>
      </c>
      <c r="J4" s="52">
        <v>3</v>
      </c>
      <c r="K4" s="52">
        <v>4</v>
      </c>
      <c r="L4" s="72">
        <v>5</v>
      </c>
    </row>
    <row r="5" spans="1:13" s="31" customFormat="1" ht="11" thickBot="1">
      <c r="A5" s="20" t="s">
        <v>260</v>
      </c>
      <c r="B5" s="80"/>
      <c r="C5" s="74"/>
      <c r="D5" s="40"/>
      <c r="E5" s="53"/>
      <c r="F5" s="53"/>
      <c r="G5" s="53"/>
      <c r="H5" s="74">
        <f>H3/(1+$B$12)^H4</f>
        <v>721364.76702949661</v>
      </c>
      <c r="I5" s="74">
        <f>I3/(1+$B$12)^I4</f>
        <v>257730.89637144096</v>
      </c>
      <c r="J5" s="74">
        <f t="shared" ref="J5:L5" si="0">J3/(1+$B$12)^J4</f>
        <v>5027858.8000529753</v>
      </c>
      <c r="K5" s="74">
        <f t="shared" si="0"/>
        <v>2489296.6639118036</v>
      </c>
      <c r="L5" s="75">
        <f t="shared" si="0"/>
        <v>2604786.487948325</v>
      </c>
    </row>
    <row r="8" spans="1:13" ht="11" thickBot="1"/>
    <row r="9" spans="1:13" ht="11" thickBot="1">
      <c r="A9" s="210" t="s">
        <v>261</v>
      </c>
      <c r="B9" s="212"/>
      <c r="M9" s="207"/>
    </row>
    <row r="10" spans="1:13">
      <c r="A10" s="15" t="s">
        <v>262</v>
      </c>
      <c r="B10" s="54">
        <f>SUM(H5:L5)</f>
        <v>11101037.61531404</v>
      </c>
    </row>
    <row r="11" spans="1:13">
      <c r="A11" s="15" t="s">
        <v>288</v>
      </c>
      <c r="B11" s="55">
        <v>0.01</v>
      </c>
    </row>
    <row r="12" spans="1:13">
      <c r="A12" s="15" t="s">
        <v>257</v>
      </c>
      <c r="B12" s="61">
        <f>WACC!B10</f>
        <v>8.5682356271741866E-2</v>
      </c>
    </row>
    <row r="13" spans="1:13">
      <c r="A13" s="15" t="s">
        <v>263</v>
      </c>
      <c r="B13" s="56">
        <f>(L3*(1+B11)/(B12-B11))</f>
        <v>52433972.210909903</v>
      </c>
      <c r="C13" s="60"/>
    </row>
    <row r="14" spans="1:13">
      <c r="A14" s="15" t="s">
        <v>264</v>
      </c>
      <c r="B14" s="56">
        <f>B13/(1+B12)^L4</f>
        <v>34761528.081679247</v>
      </c>
    </row>
    <row r="15" spans="1:13">
      <c r="A15" s="14" t="s">
        <v>265</v>
      </c>
      <c r="B15" s="57">
        <f>B10+B14</f>
        <v>45862565.696993291</v>
      </c>
    </row>
    <row r="16" spans="1:13">
      <c r="A16" s="15" t="s">
        <v>248</v>
      </c>
      <c r="B16" s="56">
        <f>+BL!G80+BL!G93-BL!G4-BL!G7</f>
        <v>-9677630</v>
      </c>
      <c r="D16" s="13" t="s">
        <v>292</v>
      </c>
    </row>
    <row r="17" spans="1:2">
      <c r="A17" s="15" t="s">
        <v>266</v>
      </c>
      <c r="B17" s="58">
        <v>529400000</v>
      </c>
    </row>
    <row r="18" spans="1:2" ht="11" thickBot="1">
      <c r="A18" s="20" t="s">
        <v>267</v>
      </c>
      <c r="B18" s="59">
        <f>(B15-B16)*10^6/B17</f>
        <v>104911.5899074297</v>
      </c>
    </row>
  </sheetData>
  <mergeCells count="2">
    <mergeCell ref="A9:B9"/>
    <mergeCell ref="A1:L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A4E09-D801-49C1-B696-0EFFA3A80E2B}">
  <dimension ref="A1:L17"/>
  <sheetViews>
    <sheetView zoomScaleNormal="100" workbookViewId="0">
      <selection activeCell="A9" sqref="A9:B17"/>
    </sheetView>
  </sheetViews>
  <sheetFormatPr defaultColWidth="8.83203125" defaultRowHeight="10.5"/>
  <cols>
    <col min="1" max="1" width="20.75" style="13" customWidth="1"/>
    <col min="2" max="2" width="10.33203125" style="13" customWidth="1"/>
    <col min="3" max="12" width="8.6640625" style="13" customWidth="1"/>
    <col min="13" max="16384" width="8.83203125" style="13"/>
  </cols>
  <sheetData>
    <row r="1" spans="1:12" ht="15" customHeight="1" thickBot="1">
      <c r="A1" s="214" t="s">
        <v>235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</row>
    <row r="2" spans="1:12" ht="11" thickBot="1">
      <c r="A2" s="22" t="s">
        <v>196</v>
      </c>
      <c r="B2" s="50">
        <v>2018</v>
      </c>
      <c r="C2" s="50">
        <v>2019</v>
      </c>
      <c r="D2" s="50">
        <v>2020</v>
      </c>
      <c r="E2" s="50">
        <v>2021</v>
      </c>
      <c r="F2" s="50">
        <v>2022</v>
      </c>
      <c r="G2" s="50">
        <v>2023</v>
      </c>
      <c r="H2" s="50">
        <v>2024</v>
      </c>
      <c r="I2" s="50">
        <v>2025</v>
      </c>
      <c r="J2" s="50">
        <v>2026</v>
      </c>
      <c r="K2" s="50">
        <v>2027</v>
      </c>
      <c r="L2" s="50">
        <v>2028</v>
      </c>
    </row>
    <row r="3" spans="1:12">
      <c r="A3" s="15" t="s">
        <v>235</v>
      </c>
      <c r="B3" s="68">
        <f>Data!B21</f>
        <v>-2208342</v>
      </c>
      <c r="C3" s="69">
        <f>Data!C21</f>
        <v>-2316271</v>
      </c>
      <c r="D3" s="69">
        <f>Data!D21</f>
        <v>-1513976</v>
      </c>
      <c r="E3" s="69">
        <f>Data!E21</f>
        <v>1842753</v>
      </c>
      <c r="F3" s="69">
        <f>Data!F21</f>
        <v>4092021</v>
      </c>
      <c r="G3" s="69">
        <f>Data!G21</f>
        <v>2680121</v>
      </c>
      <c r="H3" s="69">
        <f>Data!H21</f>
        <v>738792</v>
      </c>
      <c r="I3" s="69">
        <f>Data!I21</f>
        <v>233384</v>
      </c>
      <c r="J3" s="69">
        <f>Data!J21</f>
        <v>6369350.8992930157</v>
      </c>
      <c r="K3" s="69">
        <f>Data!K21</f>
        <v>3381945.1002963772</v>
      </c>
      <c r="L3" s="70">
        <f>Data!L21</f>
        <v>3838597.6134297196</v>
      </c>
    </row>
    <row r="4" spans="1:12">
      <c r="A4" s="15" t="s">
        <v>259</v>
      </c>
      <c r="B4" s="71"/>
      <c r="C4" s="44"/>
      <c r="D4" s="44"/>
      <c r="E4" s="44"/>
      <c r="F4" s="44"/>
      <c r="G4" s="44"/>
      <c r="H4" s="44">
        <v>1</v>
      </c>
      <c r="I4" s="44">
        <v>2</v>
      </c>
      <c r="J4" s="44">
        <v>3</v>
      </c>
      <c r="K4" s="44">
        <v>4</v>
      </c>
      <c r="L4" s="65">
        <v>5</v>
      </c>
    </row>
    <row r="5" spans="1:12" s="31" customFormat="1" ht="11" thickBot="1">
      <c r="A5" s="20" t="s">
        <v>268</v>
      </c>
      <c r="B5" s="76"/>
      <c r="C5" s="77"/>
      <c r="D5" s="77"/>
      <c r="E5" s="77"/>
      <c r="F5" s="77"/>
      <c r="G5" s="77"/>
      <c r="H5" s="78">
        <f>H3/(1+$B$12)^H4</f>
        <v>680486.32800576091</v>
      </c>
      <c r="I5" s="78">
        <f t="shared" ref="I5:L5" si="0">I3/(1+$B$12)^I4</f>
        <v>198000.14983673659</v>
      </c>
      <c r="J5" s="78">
        <f t="shared" si="0"/>
        <v>4977219.9760832479</v>
      </c>
      <c r="K5" s="78">
        <f t="shared" si="0"/>
        <v>2434195.3763532932</v>
      </c>
      <c r="L5" s="79">
        <f t="shared" si="0"/>
        <v>2544829.489491553</v>
      </c>
    </row>
    <row r="8" spans="1:12" ht="11" thickBot="1"/>
    <row r="9" spans="1:12" ht="11" thickBot="1">
      <c r="A9" s="210" t="s">
        <v>261</v>
      </c>
      <c r="B9" s="212"/>
    </row>
    <row r="10" spans="1:12">
      <c r="A10" s="62" t="s">
        <v>269</v>
      </c>
      <c r="B10" s="63">
        <f>SUM(H5:L5)</f>
        <v>10834731.319770593</v>
      </c>
    </row>
    <row r="11" spans="1:12">
      <c r="A11" s="15" t="s">
        <v>288</v>
      </c>
      <c r="B11" s="64">
        <f>FCFF!B11</f>
        <v>0.01</v>
      </c>
    </row>
    <row r="12" spans="1:12">
      <c r="A12" s="15" t="s">
        <v>255</v>
      </c>
      <c r="B12" s="64">
        <f>FCFF!B12</f>
        <v>8.5682356271741866E-2</v>
      </c>
    </row>
    <row r="13" spans="1:12">
      <c r="A13" s="15" t="s">
        <v>263</v>
      </c>
      <c r="B13" s="65">
        <f>L3*(1+B11)/(B12-B11)</f>
        <v>51227046.574018963</v>
      </c>
    </row>
    <row r="14" spans="1:12">
      <c r="A14" s="15" t="s">
        <v>264</v>
      </c>
      <c r="B14" s="65">
        <f>B13/(1+B12)^L4</f>
        <v>33961386.920324437</v>
      </c>
    </row>
    <row r="15" spans="1:12">
      <c r="A15" s="14" t="s">
        <v>270</v>
      </c>
      <c r="B15" s="66">
        <f>B10+B14</f>
        <v>44796118.240095034</v>
      </c>
    </row>
    <row r="16" spans="1:12">
      <c r="A16" s="15" t="s">
        <v>266</v>
      </c>
      <c r="B16" s="110">
        <f>FCFF!B17</f>
        <v>529400000</v>
      </c>
    </row>
    <row r="17" spans="1:2" ht="11" thickBot="1">
      <c r="A17" s="20" t="s">
        <v>267</v>
      </c>
      <c r="B17" s="67">
        <f>B15*10^6/B16</f>
        <v>84616.770381743539</v>
      </c>
    </row>
  </sheetData>
  <mergeCells count="2">
    <mergeCell ref="A9:B9"/>
    <mergeCell ref="A1:L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96DF1-BD45-4517-B2A3-7A8B4C224E7E}">
  <dimension ref="A1:H17"/>
  <sheetViews>
    <sheetView zoomScaleNormal="100" workbookViewId="0">
      <selection sqref="A1:H7"/>
    </sheetView>
  </sheetViews>
  <sheetFormatPr defaultColWidth="8.75" defaultRowHeight="10.5"/>
  <cols>
    <col min="1" max="1" width="19.5" style="111" customWidth="1"/>
    <col min="2" max="2" width="14.25" style="111" bestFit="1" customWidth="1"/>
    <col min="3" max="6" width="12" style="111" bestFit="1" customWidth="1"/>
    <col min="7" max="7" width="12" style="111" customWidth="1"/>
    <col min="8" max="16384" width="8.75" style="111"/>
  </cols>
  <sheetData>
    <row r="1" spans="1:8" ht="10.5" customHeight="1" thickBot="1">
      <c r="A1" s="209" t="s">
        <v>276</v>
      </c>
      <c r="B1" s="209"/>
      <c r="C1" s="209"/>
      <c r="D1" s="209"/>
      <c r="E1" s="209"/>
      <c r="F1" s="209"/>
      <c r="G1" s="209"/>
      <c r="H1" s="209"/>
    </row>
    <row r="2" spans="1:8" ht="10.5" customHeight="1" thickBot="1">
      <c r="B2" s="112">
        <v>2018</v>
      </c>
      <c r="C2" s="112">
        <v>2019</v>
      </c>
      <c r="D2" s="112">
        <v>2020</v>
      </c>
      <c r="E2" s="112">
        <v>2021</v>
      </c>
      <c r="F2" s="112">
        <v>2022</v>
      </c>
      <c r="G2" s="112">
        <v>2023</v>
      </c>
      <c r="H2" s="205" t="s">
        <v>275</v>
      </c>
    </row>
    <row r="3" spans="1:8" ht="10.5" customHeight="1">
      <c r="A3" s="113" t="s">
        <v>266</v>
      </c>
      <c r="B3" s="114">
        <f>FCFF!B17</f>
        <v>529400000</v>
      </c>
      <c r="C3" s="115">
        <f>B3</f>
        <v>529400000</v>
      </c>
      <c r="D3" s="115">
        <f>B3</f>
        <v>529400000</v>
      </c>
      <c r="E3" s="115">
        <f>B3</f>
        <v>529400000</v>
      </c>
      <c r="F3" s="115">
        <f>B3</f>
        <v>529400000</v>
      </c>
      <c r="G3" s="115">
        <f>C3</f>
        <v>529400000</v>
      </c>
      <c r="H3" s="116"/>
    </row>
    <row r="4" spans="1:8" ht="10.5" customHeight="1">
      <c r="A4" s="117" t="s">
        <v>273</v>
      </c>
      <c r="B4" s="118">
        <f>IS!B21</f>
        <v>659059</v>
      </c>
      <c r="C4" s="119">
        <f>IS!C21</f>
        <v>427724</v>
      </c>
      <c r="D4" s="119">
        <f>IS!D21</f>
        <v>662446</v>
      </c>
      <c r="E4" s="119">
        <f>IS!E21</f>
        <v>1826124</v>
      </c>
      <c r="F4" s="119">
        <f>IS!F21</f>
        <v>4321081</v>
      </c>
      <c r="G4" s="119">
        <f>IS!G21</f>
        <v>1110143</v>
      </c>
      <c r="H4" s="120"/>
    </row>
    <row r="5" spans="1:8" ht="10.5" customHeight="1">
      <c r="A5" s="121" t="s">
        <v>271</v>
      </c>
      <c r="B5" s="122">
        <f>B4*10^6/B3</f>
        <v>1244.9168870419342</v>
      </c>
      <c r="C5" s="123">
        <f t="shared" ref="C5:E5" si="0">C4*10^6/C3</f>
        <v>807.94106535700791</v>
      </c>
      <c r="D5" s="123">
        <f t="shared" si="0"/>
        <v>1251.3146958821308</v>
      </c>
      <c r="E5" s="123">
        <f t="shared" si="0"/>
        <v>3449.42198715527</v>
      </c>
      <c r="F5" s="123">
        <f>F4*10^6/F3</f>
        <v>8162.2232716282588</v>
      </c>
      <c r="G5" s="123">
        <f>G4*10^6/G3</f>
        <v>2096.9833774083868</v>
      </c>
      <c r="H5" s="184">
        <f>AVERAGE(B5:G5)</f>
        <v>2835.4668807454977</v>
      </c>
    </row>
    <row r="6" spans="1:8" ht="10.5" customHeight="1">
      <c r="A6" s="121" t="s">
        <v>272</v>
      </c>
      <c r="B6" s="124">
        <v>13.49</v>
      </c>
      <c r="C6" s="125"/>
      <c r="D6" s="125"/>
      <c r="E6" s="125"/>
      <c r="F6" s="125"/>
      <c r="G6" s="188"/>
      <c r="H6" s="120"/>
    </row>
    <row r="7" spans="1:8" ht="10.5" customHeight="1" thickBot="1">
      <c r="A7" s="126" t="s">
        <v>274</v>
      </c>
      <c r="B7" s="183">
        <f>B6*H5</f>
        <v>38250.448221256767</v>
      </c>
      <c r="C7" s="127"/>
      <c r="D7" s="127"/>
      <c r="E7" s="127"/>
      <c r="F7" s="127"/>
      <c r="G7" s="189"/>
      <c r="H7" s="128"/>
    </row>
    <row r="17" spans="5:5">
      <c r="E17" s="129"/>
    </row>
  </sheetData>
  <mergeCells count="1">
    <mergeCell ref="A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A65C4-7E13-4C37-9DC5-7DC7B68ED560}">
  <dimension ref="A1:G9"/>
  <sheetViews>
    <sheetView zoomScale="90" zoomScaleNormal="90" workbookViewId="0">
      <selection sqref="A1:G9"/>
    </sheetView>
  </sheetViews>
  <sheetFormatPr defaultColWidth="8.75" defaultRowHeight="10.5" customHeight="1"/>
  <cols>
    <col min="1" max="1" width="20.4140625" style="109" customWidth="1"/>
    <col min="2" max="3" width="10.83203125" style="109" bestFit="1" customWidth="1"/>
    <col min="4" max="4" width="10.1640625" style="109" bestFit="1" customWidth="1"/>
    <col min="5" max="6" width="10.83203125" style="109" bestFit="1" customWidth="1"/>
    <col min="7" max="7" width="10.9140625" style="109" bestFit="1" customWidth="1"/>
    <col min="8" max="16384" width="8.75" style="109"/>
  </cols>
  <sheetData>
    <row r="1" spans="1:7" ht="10.5" customHeight="1">
      <c r="A1" s="216" t="s">
        <v>277</v>
      </c>
      <c r="B1" s="217"/>
      <c r="C1" s="217"/>
      <c r="D1" s="217"/>
      <c r="E1" s="217"/>
      <c r="F1" s="217"/>
      <c r="G1" s="217"/>
    </row>
    <row r="2" spans="1:7" ht="10.5" customHeight="1" thickBot="1">
      <c r="A2" s="111"/>
      <c r="B2" s="112">
        <v>2018</v>
      </c>
      <c r="C2" s="112">
        <v>2019</v>
      </c>
      <c r="D2" s="112">
        <v>2020</v>
      </c>
      <c r="E2" s="112">
        <v>2021</v>
      </c>
      <c r="F2" s="112">
        <v>2022</v>
      </c>
      <c r="G2" s="112">
        <v>2023</v>
      </c>
    </row>
    <row r="3" spans="1:7" ht="10.5" customHeight="1">
      <c r="A3" s="113" t="s">
        <v>266</v>
      </c>
      <c r="B3" s="114">
        <f>FCFF!B17</f>
        <v>529400000</v>
      </c>
      <c r="C3" s="115">
        <f>B3</f>
        <v>529400000</v>
      </c>
      <c r="D3" s="115">
        <f>B3</f>
        <v>529400000</v>
      </c>
      <c r="E3" s="187">
        <f>B3</f>
        <v>529400000</v>
      </c>
      <c r="F3" s="195">
        <f>B3</f>
        <v>529400000</v>
      </c>
      <c r="G3" s="190">
        <f>C3</f>
        <v>529400000</v>
      </c>
    </row>
    <row r="4" spans="1:7" ht="10.5" customHeight="1">
      <c r="A4" s="117" t="s">
        <v>278</v>
      </c>
      <c r="B4" s="122">
        <f>BL!B67</f>
        <v>11030586</v>
      </c>
      <c r="C4" s="123">
        <f>BL!C67</f>
        <v>10172595</v>
      </c>
      <c r="D4" s="123">
        <f>BL!D67</f>
        <v>8717481</v>
      </c>
      <c r="E4" s="132">
        <f>BL!E67</f>
        <v>11072121</v>
      </c>
      <c r="F4" s="123">
        <f>BL!F67</f>
        <v>14166861</v>
      </c>
      <c r="G4" s="123">
        <f>BL!G67</f>
        <v>15237966</v>
      </c>
    </row>
    <row r="5" spans="1:7" ht="10.5" customHeight="1">
      <c r="A5" s="121" t="s">
        <v>279</v>
      </c>
      <c r="B5" s="122">
        <f>BL!B69</f>
        <v>4761714</v>
      </c>
      <c r="C5" s="132">
        <f>BL!C69</f>
        <v>4066268</v>
      </c>
      <c r="D5" s="132">
        <f>BL!D69</f>
        <v>2391033</v>
      </c>
      <c r="E5" s="132">
        <f>BL!E69</f>
        <v>3594024</v>
      </c>
      <c r="F5" s="123">
        <f>BL!F69</f>
        <v>3561412</v>
      </c>
      <c r="G5" s="123">
        <f>BL!G69</f>
        <v>5274583</v>
      </c>
    </row>
    <row r="6" spans="1:7" ht="10.5" customHeight="1">
      <c r="A6" s="121" t="s">
        <v>280</v>
      </c>
      <c r="B6" s="130">
        <f>B4-B5</f>
        <v>6268872</v>
      </c>
      <c r="C6" s="131">
        <f t="shared" ref="C6:F6" si="0">C4-C5</f>
        <v>6106327</v>
      </c>
      <c r="D6" s="131">
        <f t="shared" si="0"/>
        <v>6326448</v>
      </c>
      <c r="E6" s="131">
        <f t="shared" si="0"/>
        <v>7478097</v>
      </c>
      <c r="F6" s="193">
        <f t="shared" si="0"/>
        <v>10605449</v>
      </c>
      <c r="G6" s="193">
        <f>G4-G5</f>
        <v>9963383</v>
      </c>
    </row>
    <row r="7" spans="1:7" ht="10.5" customHeight="1">
      <c r="A7" s="176" t="s">
        <v>295</v>
      </c>
      <c r="B7" s="177">
        <f>B6*10^6/B3</f>
        <v>11841.465810351341</v>
      </c>
      <c r="C7" s="172">
        <f>C6*10^6/C3</f>
        <v>11534.42954287873</v>
      </c>
      <c r="D7" s="172">
        <f t="shared" ref="D7:E7" si="1">D6*10^6/D3</f>
        <v>11950.222893842085</v>
      </c>
      <c r="E7" s="191">
        <f t="shared" si="1"/>
        <v>14125.608235738571</v>
      </c>
      <c r="F7" s="194">
        <f>F6*10^6/F3</f>
        <v>20032.959954665661</v>
      </c>
      <c r="G7" s="194">
        <f>G6*10^6/G3</f>
        <v>18820.141669814886</v>
      </c>
    </row>
    <row r="8" spans="1:7" ht="10.5" customHeight="1">
      <c r="A8" s="171" t="s">
        <v>296</v>
      </c>
      <c r="B8" s="185">
        <v>2.37</v>
      </c>
      <c r="C8" s="172"/>
      <c r="D8" s="172"/>
      <c r="E8" s="191"/>
      <c r="F8" s="194"/>
      <c r="G8" s="196"/>
    </row>
    <row r="9" spans="1:7" ht="10.5" customHeight="1" thickBot="1">
      <c r="A9" s="173" t="s">
        <v>274</v>
      </c>
      <c r="B9" s="174">
        <f>+B8*G7</f>
        <v>44603.735757461283</v>
      </c>
      <c r="C9" s="175"/>
      <c r="D9" s="175"/>
      <c r="E9" s="192"/>
      <c r="F9" s="175"/>
      <c r="G9" s="197"/>
    </row>
  </sheetData>
  <mergeCells count="1">
    <mergeCell ref="A1:G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DF4C9-4B40-4429-B8F7-938CD14F69A9}">
  <dimension ref="A1:I11"/>
  <sheetViews>
    <sheetView zoomScale="80" zoomScaleNormal="80" workbookViewId="0">
      <selection activeCell="I5" sqref="I5"/>
    </sheetView>
  </sheetViews>
  <sheetFormatPr defaultColWidth="8.75" defaultRowHeight="10.5"/>
  <cols>
    <col min="1" max="1" width="21.83203125" style="111" customWidth="1"/>
    <col min="2" max="9" width="17.4140625" style="111" customWidth="1"/>
    <col min="10" max="16384" width="8.75" style="111"/>
  </cols>
  <sheetData>
    <row r="1" spans="1:9" ht="11" thickBot="1">
      <c r="A1" s="218" t="s">
        <v>281</v>
      </c>
      <c r="B1" s="219"/>
      <c r="C1" s="219"/>
      <c r="D1" s="219"/>
      <c r="E1" s="219"/>
      <c r="F1" s="219"/>
      <c r="G1" s="220"/>
    </row>
    <row r="2" spans="1:9" ht="11" thickBot="1">
      <c r="A2" s="133"/>
      <c r="B2" s="134">
        <v>2018</v>
      </c>
      <c r="C2" s="134">
        <v>2019</v>
      </c>
      <c r="D2" s="134">
        <v>2020</v>
      </c>
      <c r="E2" s="134">
        <v>2021</v>
      </c>
      <c r="F2" s="134">
        <v>2022</v>
      </c>
      <c r="G2" s="134">
        <v>2023</v>
      </c>
      <c r="H2" s="163" t="s">
        <v>287</v>
      </c>
    </row>
    <row r="3" spans="1:9">
      <c r="A3" s="135" t="s">
        <v>266</v>
      </c>
      <c r="B3" s="136">
        <f>FCFF!B17</f>
        <v>529400000</v>
      </c>
      <c r="C3" s="137">
        <f>B3</f>
        <v>529400000</v>
      </c>
      <c r="D3" s="137">
        <f>B3</f>
        <v>529400000</v>
      </c>
      <c r="E3" s="137">
        <f>B3</f>
        <v>529400000</v>
      </c>
      <c r="F3" s="156">
        <f>B3</f>
        <v>529400000</v>
      </c>
      <c r="G3" s="138">
        <f>B3</f>
        <v>529400000</v>
      </c>
    </row>
    <row r="4" spans="1:9">
      <c r="A4" s="117" t="s">
        <v>283</v>
      </c>
      <c r="B4" s="139">
        <v>8.3000000000000007</v>
      </c>
      <c r="C4" s="140">
        <v>5.85</v>
      </c>
      <c r="D4" s="160">
        <v>13.2</v>
      </c>
      <c r="E4" s="140">
        <v>34.6</v>
      </c>
      <c r="F4" s="141">
        <v>26.5</v>
      </c>
      <c r="G4" s="154">
        <v>32.35</v>
      </c>
    </row>
    <row r="5" spans="1:9">
      <c r="A5" s="142" t="s">
        <v>282</v>
      </c>
      <c r="B5" s="143">
        <f>B3*B4*10^3</f>
        <v>4394020000000</v>
      </c>
      <c r="C5" s="144">
        <f>C3*C4*10^3</f>
        <v>3096990000000</v>
      </c>
      <c r="D5" s="144">
        <f>D3*D4*10^3</f>
        <v>6988080000000</v>
      </c>
      <c r="E5" s="144">
        <f>E3*E4*10^3</f>
        <v>18317240000000</v>
      </c>
      <c r="F5" s="157">
        <f>F4*10^3*F3</f>
        <v>14029100000000</v>
      </c>
      <c r="G5" s="155">
        <f>G4*G3*10^3</f>
        <v>17126090000000</v>
      </c>
    </row>
    <row r="6" spans="1:9">
      <c r="A6" s="180" t="s">
        <v>284</v>
      </c>
      <c r="B6" s="179">
        <f>BL!B4+BL!B7</f>
        <v>2787772</v>
      </c>
      <c r="C6" s="179">
        <f>BL!C4+BL!C7</f>
        <v>2473173</v>
      </c>
      <c r="D6" s="179">
        <f>BL!D4+BL!D7</f>
        <v>2811995</v>
      </c>
      <c r="E6" s="179">
        <f>BL!E4+BL!E7</f>
        <v>4789653</v>
      </c>
      <c r="F6" s="179">
        <f>BL!F4+BL!F7</f>
        <v>8937625</v>
      </c>
      <c r="G6" s="155"/>
      <c r="I6" s="181" t="s">
        <v>297</v>
      </c>
    </row>
    <row r="7" spans="1:9">
      <c r="A7" s="142" t="s">
        <v>285</v>
      </c>
      <c r="B7" s="145">
        <f>BL!B80+BL!B93</f>
        <v>2704215</v>
      </c>
      <c r="C7" s="148">
        <f>BL!C80+BL!C93</f>
        <v>1784844</v>
      </c>
      <c r="D7" s="147">
        <f>BL!D80+BL!D93</f>
        <v>822469</v>
      </c>
      <c r="E7" s="147">
        <f>BL!E80+BL!E93</f>
        <v>691839</v>
      </c>
      <c r="F7" s="158">
        <f>BL!F80+BL!F93</f>
        <v>3607</v>
      </c>
      <c r="G7" s="155"/>
    </row>
    <row r="8" spans="1:9">
      <c r="A8" s="149" t="s">
        <v>286</v>
      </c>
      <c r="B8" s="150">
        <f>B5+B7-B6</f>
        <v>4394019916443</v>
      </c>
      <c r="C8" s="146">
        <f>C5+C7-C6</f>
        <v>3096989311671</v>
      </c>
      <c r="D8" s="146">
        <f t="shared" ref="D8:E8" si="0">D5+D7-D6</f>
        <v>6988078010474</v>
      </c>
      <c r="E8" s="147">
        <f t="shared" si="0"/>
        <v>18317235902186</v>
      </c>
      <c r="F8" s="158">
        <f>F5+F7-F6</f>
        <v>14029091065982</v>
      </c>
      <c r="G8" s="155"/>
    </row>
    <row r="9" spans="1:9">
      <c r="A9" s="142" t="s">
        <v>223</v>
      </c>
      <c r="B9" s="150">
        <f>IS!B18+CF!B9+CF!B6</f>
        <v>1851099</v>
      </c>
      <c r="C9" s="147">
        <f>IS!C18+CF!C9+CF!C6</f>
        <v>1664229</v>
      </c>
      <c r="D9" s="147">
        <f>IS!D18+CF!D9+CF!D6</f>
        <v>1922758</v>
      </c>
      <c r="E9" s="147">
        <f>IS!E18+CF!E9+CF!E6</f>
        <v>3211245</v>
      </c>
      <c r="F9" s="158">
        <f>IS!F18+CF!F9+CF!F6</f>
        <v>5729052</v>
      </c>
      <c r="G9" s="155"/>
    </row>
    <row r="10" spans="1:9" ht="11" thickBot="1">
      <c r="A10" s="151" t="s">
        <v>281</v>
      </c>
      <c r="B10" s="152">
        <f>B8/(B9*10^6)</f>
        <v>2.3737357734205462</v>
      </c>
      <c r="C10" s="153">
        <f t="shared" ref="C10:E10" si="1">C8/(C9*10^6)</f>
        <v>1.8609153618107845</v>
      </c>
      <c r="D10" s="153">
        <f t="shared" si="1"/>
        <v>3.6344032948889042</v>
      </c>
      <c r="E10" s="153">
        <f t="shared" si="1"/>
        <v>5.7040916847471932</v>
      </c>
      <c r="F10" s="159">
        <f>F8/(F9*10^6)</f>
        <v>2.4487630878515327</v>
      </c>
      <c r="G10" s="162">
        <v>4.79</v>
      </c>
      <c r="H10" s="164">
        <v>7.48</v>
      </c>
    </row>
    <row r="11" spans="1:9">
      <c r="E11" s="161"/>
    </row>
  </sheetData>
  <mergeCells count="1">
    <mergeCell ref="A1:G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B4F0C-4AA6-4CF4-8862-4AD72B897A36}">
  <dimension ref="B2:F8"/>
  <sheetViews>
    <sheetView zoomScale="70" zoomScaleNormal="70" workbookViewId="0">
      <selection activeCell="D6" sqref="D6"/>
    </sheetView>
  </sheetViews>
  <sheetFormatPr defaultRowHeight="14"/>
  <cols>
    <col min="5" max="5" width="9" bestFit="1" customWidth="1"/>
  </cols>
  <sheetData>
    <row r="2" spans="2:6">
      <c r="B2" t="s">
        <v>233</v>
      </c>
      <c r="C2">
        <f>FCFF!B18</f>
        <v>104911.5899074297</v>
      </c>
      <c r="D2" s="165">
        <v>0.3</v>
      </c>
    </row>
    <row r="3" spans="2:6">
      <c r="B3" t="s">
        <v>235</v>
      </c>
      <c r="C3">
        <f>FCFE!B17</f>
        <v>84616.770381743539</v>
      </c>
      <c r="D3" s="165">
        <v>0.3</v>
      </c>
    </row>
    <row r="4" spans="2:6">
      <c r="B4" t="s">
        <v>289</v>
      </c>
      <c r="C4">
        <f>PE!B7</f>
        <v>38250.448221256767</v>
      </c>
      <c r="D4" s="165">
        <v>0.2</v>
      </c>
    </row>
    <row r="5" spans="2:6">
      <c r="B5" t="s">
        <v>290</v>
      </c>
      <c r="C5" s="182">
        <f>+PB!B9</f>
        <v>44603.735757461283</v>
      </c>
      <c r="D5" s="165">
        <v>0.2</v>
      </c>
    </row>
    <row r="6" spans="2:6">
      <c r="D6">
        <f>C2*D2+C3*D3+C4*D4+C5*D5</f>
        <v>73429.344882495585</v>
      </c>
      <c r="F6">
        <v>33400</v>
      </c>
    </row>
    <row r="8" spans="2:6">
      <c r="E8" s="202">
        <f>(F6-D6)/F6</f>
        <v>-1.1984833797154366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BL</vt:lpstr>
      <vt:lpstr>IS</vt:lpstr>
      <vt:lpstr>CF</vt:lpstr>
      <vt:lpstr>NWC</vt:lpstr>
      <vt:lpstr>Data</vt:lpstr>
      <vt:lpstr>Capex</vt:lpstr>
      <vt:lpstr>WACC</vt:lpstr>
      <vt:lpstr>FCFF</vt:lpstr>
      <vt:lpstr>FCFE</vt:lpstr>
      <vt:lpstr>PE</vt:lpstr>
      <vt:lpstr>PB</vt:lpstr>
      <vt:lpstr>EV.EBITDA</vt:lpstr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 Huyn</dc:creator>
  <cp:lastModifiedBy>Min Huyn</cp:lastModifiedBy>
  <dcterms:created xsi:type="dcterms:W3CDTF">2023-12-05T07:42:51Z</dcterms:created>
  <dcterms:modified xsi:type="dcterms:W3CDTF">2026-03-23T17:46:33Z</dcterms:modified>
</cp:coreProperties>
</file>